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08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2109596\Desktop\"/>
    </mc:Choice>
  </mc:AlternateContent>
  <xr:revisionPtr revIDLastSave="0" documentId="8_{EE1681DF-C897-43A0-86C6-495FFC536044}" xr6:coauthVersionLast="47" xr6:coauthVersionMax="47" xr10:uidLastSave="{00000000-0000-0000-0000-000000000000}"/>
  <bookViews>
    <workbookView xWindow="-120" yWindow="-120" windowWidth="20730" windowHeight="11160" tabRatio="564" firstSheet="1" activeTab="1" xr2:uid="{00000000-000D-0000-FFFF-FFFF00000000}"/>
  </bookViews>
  <sheets>
    <sheet name="Tables_PAQ" sheetId="18" state="veryHidden" r:id="rId1"/>
    <sheet name="Q_Stories" sheetId="6" r:id="rId2"/>
    <sheet name="Tables_Cat" sheetId="4" state="veryHidden" r:id="rId3"/>
    <sheet name="Tables_TechMap" sheetId="5" state="veryHidden" r:id="rId4"/>
  </sheets>
  <definedNames>
    <definedName name="_xlnm._FilterDatabase" localSheetId="1" hidden="1">Q_Stories!$A$4:$AO$462</definedName>
    <definedName name="_xlnm._FilterDatabase" localSheetId="3" hidden="1">Tables_TechMap!#REF!</definedName>
    <definedName name="Category">Tables_TechMap!$A$5:$A$37</definedName>
    <definedName name="I01_Doc_generate">Table2[I01_Doc_generate]</definedName>
    <definedName name="I02_Workflow_appdesigncode">Tables_TechMap!$C$5:$C$40</definedName>
    <definedName name="I03_Agile_tracker">Table4[I03_Agile_tracker]</definedName>
    <definedName name="I04_Chat">Table5[I04_Chat]</definedName>
    <definedName name="I13_Datavisualization">Table14[I13_Datavisualization]</definedName>
    <definedName name="I14_Release_mgmt">Table15[I14_Release_mgmt]</definedName>
    <definedName name="I16_Placeholder">Table17[[#Headers],[I16_Placeholder]]</definedName>
    <definedName name="I17_Testauto_functional">Table18[I17_Testauto_functional]</definedName>
    <definedName name="I18_Testauto_perf">Table19[I18_Testauto_perf]</definedName>
    <definedName name="I19_Testauto_security">Tables_TechMap!$T$5:$T$54</definedName>
    <definedName name="I20_Testauto_UIUXmobile">Table21[I20_Testauto_UIUXmobile]</definedName>
    <definedName name="I21_Testdesign_data_TDDBDD">Tables_TechMap!$V$5:$V$29</definedName>
    <definedName name="I28_Service_workflow">Tables_TechMap!$AC$5:$AC$32</definedName>
    <definedName name="M05_Editor_IDE">Table6[M05_Editor_IDE]</definedName>
    <definedName name="M06_Placeholder">Table7[M06_Placeholder]</definedName>
    <definedName name="M07_Code_quality">Table8[M07_Code_quality]</definedName>
    <definedName name="M08_Continuous_integration">Table9[M08_Continuous_integration]</definedName>
    <definedName name="M09_Continuous_deploy">Tables_TechMap!$J$6:$J$30</definedName>
    <definedName name="M10_Sourcecode_repository">Tables_TechMap!$K$6:$K$13</definedName>
    <definedName name="M11_Binary_repository">Table12[M11_Binary_repository]</definedName>
    <definedName name="M12_Build_package">Table13[M12_Build_package]</definedName>
    <definedName name="M15_Monitoring">Table16[M15_Monitoring]</definedName>
    <definedName name="M22_Env_provision">Table23[M22_Env_provision]</definedName>
    <definedName name="M23_VM_VMclustering">Table24[M23_VM_VMclustering]</definedName>
    <definedName name="M24_HCI">Table25[M24_HCI]</definedName>
    <definedName name="M25_Cloud_mgmt">Table26[M25_Cloud_mgmt]</definedName>
    <definedName name="M26_Container_clustering">Table27[M26_Container_clustering]</definedName>
    <definedName name="M27_Infra_consolidated">Table28[M27_Infra_consolidated]</definedName>
    <definedName name="M29_Bot_AI">Table30[M29_RPA]</definedName>
    <definedName name="M30_Dbdesign_mgmt">Tables_TechMap!$AE$5:$AE$47</definedName>
    <definedName name="M31_AIOps">Tables_TechMap!$AF$5:$AF$36</definedName>
    <definedName name="M32_MLOps">Table33[M32_MLOps]</definedName>
    <definedName name="M33_Placeholder">Table34[M33_Placeholder]</definedName>
    <definedName name="Splunk__variations">Tables_TechMap!$AF$8</definedName>
  </definedNames>
  <calcPr calcId="191028" iterateDelta="1E-4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362" i="6" l="1"/>
  <c r="AJ362" i="6"/>
  <c r="AI362" i="6"/>
  <c r="AH362" i="6"/>
  <c r="AG362" i="6"/>
  <c r="AF362" i="6"/>
  <c r="AD362" i="6"/>
  <c r="AB362" i="6"/>
  <c r="Y362" i="6"/>
  <c r="W362" i="6"/>
  <c r="V362" i="6"/>
  <c r="U362" i="6"/>
  <c r="T362" i="6"/>
  <c r="S362" i="6"/>
  <c r="R362" i="6"/>
  <c r="AK361" i="6"/>
  <c r="AJ361" i="6"/>
  <c r="AI361" i="6"/>
  <c r="AH361" i="6"/>
  <c r="AG361" i="6"/>
  <c r="AF361" i="6"/>
  <c r="AD361" i="6"/>
  <c r="AB361" i="6"/>
  <c r="Y361" i="6"/>
  <c r="W361" i="6"/>
  <c r="V361" i="6"/>
  <c r="U361" i="6"/>
  <c r="T361" i="6"/>
  <c r="S361" i="6"/>
  <c r="R361" i="6"/>
  <c r="AK259" i="6"/>
  <c r="AJ259" i="6"/>
  <c r="AI259" i="6"/>
  <c r="AH259" i="6"/>
  <c r="AG259" i="6"/>
  <c r="AF259" i="6"/>
  <c r="AD259" i="6"/>
  <c r="AB259" i="6"/>
  <c r="Y259" i="6"/>
  <c r="W259" i="6"/>
  <c r="V259" i="6"/>
  <c r="U259" i="6"/>
  <c r="T259" i="6"/>
  <c r="S259" i="6"/>
  <c r="R259" i="6"/>
  <c r="AK258" i="6"/>
  <c r="AJ258" i="6"/>
  <c r="AI258" i="6"/>
  <c r="AH258" i="6"/>
  <c r="AG258" i="6"/>
  <c r="AF258" i="6"/>
  <c r="AD258" i="6"/>
  <c r="AB258" i="6"/>
  <c r="Y258" i="6"/>
  <c r="W258" i="6"/>
  <c r="V258" i="6"/>
  <c r="U258" i="6"/>
  <c r="T258" i="6"/>
  <c r="S258" i="6"/>
  <c r="R258" i="6"/>
  <c r="AK261" i="6"/>
  <c r="AJ261" i="6"/>
  <c r="AI261" i="6"/>
  <c r="AH261" i="6"/>
  <c r="AG261" i="6"/>
  <c r="AF261" i="6"/>
  <c r="AD261" i="6"/>
  <c r="AB261" i="6"/>
  <c r="Y261" i="6"/>
  <c r="W261" i="6"/>
  <c r="V261" i="6"/>
  <c r="U261" i="6"/>
  <c r="T261" i="6"/>
  <c r="S261" i="6"/>
  <c r="R261" i="6"/>
  <c r="AK459" i="6"/>
  <c r="AJ459" i="6"/>
  <c r="AI459" i="6"/>
  <c r="AH459" i="6"/>
  <c r="AG459" i="6"/>
  <c r="AF459" i="6"/>
  <c r="AD459" i="6"/>
  <c r="AB459" i="6"/>
  <c r="Y459" i="6"/>
  <c r="W459" i="6"/>
  <c r="V459" i="6"/>
  <c r="U459" i="6"/>
  <c r="T459" i="6"/>
  <c r="S459" i="6"/>
  <c r="R459" i="6"/>
  <c r="AK458" i="6"/>
  <c r="AJ458" i="6"/>
  <c r="AI458" i="6"/>
  <c r="AH458" i="6"/>
  <c r="AG458" i="6"/>
  <c r="AF458" i="6"/>
  <c r="AD458" i="6"/>
  <c r="AB458" i="6"/>
  <c r="Y458" i="6"/>
  <c r="W458" i="6"/>
  <c r="V458" i="6"/>
  <c r="U458" i="6"/>
  <c r="T458" i="6"/>
  <c r="S458" i="6"/>
  <c r="R458" i="6"/>
  <c r="AK457" i="6"/>
  <c r="AJ457" i="6"/>
  <c r="AI457" i="6"/>
  <c r="AH457" i="6"/>
  <c r="AG457" i="6"/>
  <c r="AF457" i="6"/>
  <c r="AD457" i="6"/>
  <c r="AB457" i="6"/>
  <c r="Y457" i="6"/>
  <c r="W457" i="6"/>
  <c r="V457" i="6"/>
  <c r="U457" i="6"/>
  <c r="T457" i="6"/>
  <c r="S457" i="6"/>
  <c r="R457" i="6"/>
  <c r="AK404" i="6"/>
  <c r="AJ404" i="6"/>
  <c r="AI404" i="6"/>
  <c r="AH404" i="6"/>
  <c r="AG404" i="6"/>
  <c r="AF404" i="6"/>
  <c r="AD404" i="6"/>
  <c r="AB404" i="6"/>
  <c r="Y404" i="6"/>
  <c r="W404" i="6"/>
  <c r="V404" i="6"/>
  <c r="U404" i="6"/>
  <c r="T404" i="6"/>
  <c r="S404" i="6"/>
  <c r="R404" i="6"/>
  <c r="AK403" i="6"/>
  <c r="AJ403" i="6"/>
  <c r="AI403" i="6"/>
  <c r="AH403" i="6"/>
  <c r="AG403" i="6"/>
  <c r="AF403" i="6"/>
  <c r="AD403" i="6"/>
  <c r="AB403" i="6"/>
  <c r="Y403" i="6"/>
  <c r="W403" i="6"/>
  <c r="V403" i="6"/>
  <c r="U403" i="6"/>
  <c r="T403" i="6"/>
  <c r="S403" i="6"/>
  <c r="R403" i="6"/>
  <c r="AK402" i="6"/>
  <c r="AJ402" i="6"/>
  <c r="AI402" i="6"/>
  <c r="AH402" i="6"/>
  <c r="AG402" i="6"/>
  <c r="AF402" i="6"/>
  <c r="AD402" i="6"/>
  <c r="AB402" i="6"/>
  <c r="Y402" i="6"/>
  <c r="W402" i="6"/>
  <c r="V402" i="6"/>
  <c r="U402" i="6"/>
  <c r="T402" i="6"/>
  <c r="S402" i="6"/>
  <c r="R402" i="6"/>
  <c r="AK278" i="6"/>
  <c r="AJ278" i="6"/>
  <c r="AI278" i="6"/>
  <c r="AH278" i="6"/>
  <c r="AG278" i="6"/>
  <c r="AF278" i="6"/>
  <c r="AD278" i="6"/>
  <c r="AB278" i="6"/>
  <c r="Y278" i="6"/>
  <c r="W278" i="6"/>
  <c r="V278" i="6"/>
  <c r="U278" i="6"/>
  <c r="T278" i="6"/>
  <c r="S278" i="6"/>
  <c r="R278" i="6"/>
  <c r="AK277" i="6"/>
  <c r="AJ277" i="6"/>
  <c r="AI277" i="6"/>
  <c r="AH277" i="6"/>
  <c r="AG277" i="6"/>
  <c r="AF277" i="6"/>
  <c r="AD277" i="6"/>
  <c r="AB277" i="6"/>
  <c r="Y277" i="6"/>
  <c r="W277" i="6"/>
  <c r="V277" i="6"/>
  <c r="U277" i="6"/>
  <c r="T277" i="6"/>
  <c r="S277" i="6"/>
  <c r="R277" i="6"/>
  <c r="AK276" i="6"/>
  <c r="AJ276" i="6"/>
  <c r="AI276" i="6"/>
  <c r="AH276" i="6"/>
  <c r="AG276" i="6"/>
  <c r="AF276" i="6"/>
  <c r="AD276" i="6"/>
  <c r="AB276" i="6"/>
  <c r="Y276" i="6"/>
  <c r="W276" i="6"/>
  <c r="V276" i="6"/>
  <c r="U276" i="6"/>
  <c r="T276" i="6"/>
  <c r="S276" i="6"/>
  <c r="R276" i="6"/>
  <c r="AK275" i="6"/>
  <c r="AJ275" i="6"/>
  <c r="AI275" i="6"/>
  <c r="AH275" i="6"/>
  <c r="AG275" i="6"/>
  <c r="AF275" i="6"/>
  <c r="AD275" i="6"/>
  <c r="AB275" i="6"/>
  <c r="Y275" i="6"/>
  <c r="W275" i="6"/>
  <c r="V275" i="6"/>
  <c r="U275" i="6"/>
  <c r="T275" i="6"/>
  <c r="S275" i="6"/>
  <c r="R275" i="6"/>
  <c r="AK375" i="6"/>
  <c r="AJ375" i="6"/>
  <c r="AI375" i="6"/>
  <c r="AH375" i="6"/>
  <c r="AG375" i="6"/>
  <c r="AF375" i="6"/>
  <c r="AD375" i="6"/>
  <c r="AB375" i="6"/>
  <c r="Y375" i="6"/>
  <c r="W375" i="6"/>
  <c r="V375" i="6"/>
  <c r="U375" i="6"/>
  <c r="T375" i="6"/>
  <c r="S375" i="6"/>
  <c r="R375" i="6"/>
  <c r="AK377" i="6"/>
  <c r="AJ377" i="6"/>
  <c r="AI377" i="6"/>
  <c r="AH377" i="6"/>
  <c r="AG377" i="6"/>
  <c r="AF377" i="6"/>
  <c r="AD377" i="6"/>
  <c r="AB377" i="6"/>
  <c r="Y377" i="6"/>
  <c r="W377" i="6"/>
  <c r="V377" i="6"/>
  <c r="U377" i="6"/>
  <c r="T377" i="6"/>
  <c r="S377" i="6"/>
  <c r="R377" i="6"/>
  <c r="AK376" i="6"/>
  <c r="AJ376" i="6"/>
  <c r="AI376" i="6"/>
  <c r="AH376" i="6"/>
  <c r="AG376" i="6"/>
  <c r="AF376" i="6"/>
  <c r="AD376" i="6"/>
  <c r="AB376" i="6"/>
  <c r="Y376" i="6"/>
  <c r="W376" i="6"/>
  <c r="V376" i="6"/>
  <c r="U376" i="6"/>
  <c r="T376" i="6"/>
  <c r="S376" i="6"/>
  <c r="R376" i="6"/>
  <c r="AK21" i="6"/>
  <c r="AJ21" i="6"/>
  <c r="AI21" i="6"/>
  <c r="AH21" i="6"/>
  <c r="AG21" i="6"/>
  <c r="AF21" i="6"/>
  <c r="AD21" i="6"/>
  <c r="AB21" i="6"/>
  <c r="Y21" i="6"/>
  <c r="W21" i="6"/>
  <c r="V21" i="6"/>
  <c r="U21" i="6"/>
  <c r="T21" i="6"/>
  <c r="S21" i="6"/>
  <c r="R21" i="6"/>
  <c r="AK20" i="6"/>
  <c r="AJ20" i="6"/>
  <c r="AI20" i="6"/>
  <c r="AH20" i="6"/>
  <c r="AG20" i="6"/>
  <c r="AF20" i="6"/>
  <c r="AD20" i="6"/>
  <c r="AB20" i="6"/>
  <c r="Y20" i="6"/>
  <c r="W20" i="6"/>
  <c r="V20" i="6"/>
  <c r="U20" i="6"/>
  <c r="T20" i="6"/>
  <c r="S20" i="6"/>
  <c r="R20" i="6"/>
  <c r="AK19" i="6"/>
  <c r="AJ19" i="6"/>
  <c r="AI19" i="6"/>
  <c r="AH19" i="6"/>
  <c r="AG19" i="6"/>
  <c r="AF19" i="6"/>
  <c r="AD19" i="6"/>
  <c r="AB19" i="6"/>
  <c r="Y19" i="6"/>
  <c r="W19" i="6"/>
  <c r="V19" i="6"/>
  <c r="U19" i="6"/>
  <c r="T19" i="6"/>
  <c r="S19" i="6"/>
  <c r="R19" i="6"/>
  <c r="AK229" i="6"/>
  <c r="AJ229" i="6"/>
  <c r="AI229" i="6"/>
  <c r="AH229" i="6"/>
  <c r="AG229" i="6"/>
  <c r="AF229" i="6"/>
  <c r="AD229" i="6"/>
  <c r="AB229" i="6"/>
  <c r="Y229" i="6"/>
  <c r="W229" i="6"/>
  <c r="V229" i="6"/>
  <c r="U229" i="6"/>
  <c r="T229" i="6"/>
  <c r="S229" i="6"/>
  <c r="R229" i="6"/>
  <c r="AK228" i="6"/>
  <c r="AJ228" i="6"/>
  <c r="AI228" i="6"/>
  <c r="AH228" i="6"/>
  <c r="AG228" i="6"/>
  <c r="AF228" i="6"/>
  <c r="AD228" i="6"/>
  <c r="AB228" i="6"/>
  <c r="Y228" i="6"/>
  <c r="W228" i="6"/>
  <c r="V228" i="6"/>
  <c r="U228" i="6"/>
  <c r="T228" i="6"/>
  <c r="S228" i="6"/>
  <c r="R228" i="6"/>
  <c r="AK274" i="6"/>
  <c r="AJ274" i="6"/>
  <c r="AI274" i="6"/>
  <c r="AH274" i="6"/>
  <c r="AG274" i="6"/>
  <c r="AF274" i="6"/>
  <c r="AD274" i="6"/>
  <c r="AB274" i="6"/>
  <c r="Y274" i="6"/>
  <c r="W274" i="6"/>
  <c r="V274" i="6"/>
  <c r="U274" i="6"/>
  <c r="T274" i="6"/>
  <c r="S274" i="6"/>
  <c r="R274" i="6"/>
  <c r="AK332" i="6"/>
  <c r="AJ332" i="6"/>
  <c r="AI332" i="6"/>
  <c r="AH332" i="6"/>
  <c r="AG332" i="6"/>
  <c r="AF332" i="6"/>
  <c r="AD332" i="6"/>
  <c r="AB332" i="6"/>
  <c r="Y332" i="6"/>
  <c r="W332" i="6"/>
  <c r="V332" i="6"/>
  <c r="U332" i="6"/>
  <c r="T332" i="6"/>
  <c r="S332" i="6"/>
  <c r="R332" i="6"/>
  <c r="AK364" i="6"/>
  <c r="AJ364" i="6"/>
  <c r="AI364" i="6"/>
  <c r="AH364" i="6"/>
  <c r="AG364" i="6"/>
  <c r="AF364" i="6"/>
  <c r="AD364" i="6"/>
  <c r="AB364" i="6"/>
  <c r="Y364" i="6"/>
  <c r="W364" i="6"/>
  <c r="V364" i="6"/>
  <c r="U364" i="6"/>
  <c r="T364" i="6"/>
  <c r="S364" i="6"/>
  <c r="R364" i="6"/>
  <c r="AK368" i="6"/>
  <c r="AJ368" i="6"/>
  <c r="AI368" i="6"/>
  <c r="AH368" i="6"/>
  <c r="AG368" i="6"/>
  <c r="AF368" i="6"/>
  <c r="AD368" i="6"/>
  <c r="AB368" i="6"/>
  <c r="Y368" i="6"/>
  <c r="W368" i="6"/>
  <c r="V368" i="6"/>
  <c r="U368" i="6"/>
  <c r="T368" i="6"/>
  <c r="S368" i="6"/>
  <c r="R368" i="6"/>
  <c r="AK367" i="6"/>
  <c r="AJ367" i="6"/>
  <c r="AI367" i="6"/>
  <c r="AH367" i="6"/>
  <c r="AG367" i="6"/>
  <c r="AF367" i="6"/>
  <c r="AD367" i="6"/>
  <c r="AB367" i="6"/>
  <c r="Y367" i="6"/>
  <c r="W367" i="6"/>
  <c r="V367" i="6"/>
  <c r="U367" i="6"/>
  <c r="T367" i="6"/>
  <c r="S367" i="6"/>
  <c r="R367" i="6"/>
  <c r="AK365" i="6"/>
  <c r="AJ365" i="6"/>
  <c r="AI365" i="6"/>
  <c r="AH365" i="6"/>
  <c r="AG365" i="6"/>
  <c r="AF365" i="6"/>
  <c r="AD365" i="6"/>
  <c r="AB365" i="6"/>
  <c r="Y365" i="6"/>
  <c r="W365" i="6"/>
  <c r="V365" i="6"/>
  <c r="U365" i="6"/>
  <c r="T365" i="6"/>
  <c r="S365" i="6"/>
  <c r="R365" i="6"/>
  <c r="AK366" i="6"/>
  <c r="AJ366" i="6"/>
  <c r="AI366" i="6"/>
  <c r="AH366" i="6"/>
  <c r="AG366" i="6"/>
  <c r="AF366" i="6"/>
  <c r="AD366" i="6"/>
  <c r="AB366" i="6"/>
  <c r="Y366" i="6"/>
  <c r="W366" i="6"/>
  <c r="V366" i="6"/>
  <c r="U366" i="6"/>
  <c r="T366" i="6"/>
  <c r="S366" i="6"/>
  <c r="R366" i="6"/>
  <c r="AK363" i="6"/>
  <c r="AJ363" i="6"/>
  <c r="AI363" i="6"/>
  <c r="AH363" i="6"/>
  <c r="AG363" i="6"/>
  <c r="AF363" i="6"/>
  <c r="AD363" i="6"/>
  <c r="AB363" i="6"/>
  <c r="Y363" i="6"/>
  <c r="W363" i="6"/>
  <c r="V363" i="6"/>
  <c r="U363" i="6"/>
  <c r="T363" i="6"/>
  <c r="S363" i="6"/>
  <c r="R363" i="6"/>
  <c r="AK273" i="6"/>
  <c r="AJ273" i="6"/>
  <c r="AI273" i="6"/>
  <c r="AH273" i="6"/>
  <c r="AG273" i="6"/>
  <c r="AF273" i="6"/>
  <c r="AD273" i="6"/>
  <c r="AB273" i="6"/>
  <c r="Y273" i="6"/>
  <c r="W273" i="6"/>
  <c r="V273" i="6"/>
  <c r="U273" i="6"/>
  <c r="T273" i="6"/>
  <c r="S273" i="6"/>
  <c r="R273" i="6"/>
  <c r="AK331" i="6"/>
  <c r="AJ331" i="6"/>
  <c r="AI331" i="6"/>
  <c r="AH331" i="6"/>
  <c r="AG331" i="6"/>
  <c r="AF331" i="6"/>
  <c r="AD331" i="6"/>
  <c r="AB331" i="6"/>
  <c r="Y331" i="6"/>
  <c r="W331" i="6"/>
  <c r="V331" i="6"/>
  <c r="U331" i="6"/>
  <c r="T331" i="6"/>
  <c r="S331" i="6"/>
  <c r="R331" i="6"/>
  <c r="AK260" i="6"/>
  <c r="AJ260" i="6"/>
  <c r="AI260" i="6"/>
  <c r="AH260" i="6"/>
  <c r="AG260" i="6"/>
  <c r="AF260" i="6"/>
  <c r="AD260" i="6"/>
  <c r="AB260" i="6"/>
  <c r="Y260" i="6"/>
  <c r="W260" i="6"/>
  <c r="V260" i="6"/>
  <c r="U260" i="6"/>
  <c r="T260" i="6"/>
  <c r="S260" i="6"/>
  <c r="R260" i="6"/>
  <c r="AK227" i="6"/>
  <c r="AJ227" i="6"/>
  <c r="AI227" i="6"/>
  <c r="AH227" i="6"/>
  <c r="AG227" i="6"/>
  <c r="AF227" i="6"/>
  <c r="AD227" i="6"/>
  <c r="AB227" i="6"/>
  <c r="Y227" i="6"/>
  <c r="W227" i="6"/>
  <c r="V227" i="6"/>
  <c r="U227" i="6"/>
  <c r="T227" i="6"/>
  <c r="S227" i="6"/>
  <c r="R227" i="6"/>
  <c r="AK226" i="6"/>
  <c r="AJ226" i="6"/>
  <c r="AI226" i="6"/>
  <c r="AH226" i="6"/>
  <c r="AG226" i="6"/>
  <c r="AF226" i="6"/>
  <c r="AD226" i="6"/>
  <c r="AB226" i="6"/>
  <c r="Y226" i="6"/>
  <c r="W226" i="6"/>
  <c r="V226" i="6"/>
  <c r="U226" i="6"/>
  <c r="T226" i="6"/>
  <c r="S226" i="6"/>
  <c r="R226" i="6"/>
  <c r="AK18" i="6"/>
  <c r="AJ18" i="6"/>
  <c r="AI18" i="6"/>
  <c r="AH18" i="6"/>
  <c r="AG18" i="6"/>
  <c r="AF18" i="6"/>
  <c r="AD18" i="6"/>
  <c r="AB18" i="6"/>
  <c r="Y18" i="6"/>
  <c r="W18" i="6"/>
  <c r="V18" i="6"/>
  <c r="U18" i="6"/>
  <c r="T18" i="6"/>
  <c r="S18" i="6"/>
  <c r="R18" i="6"/>
  <c r="AK162" i="6"/>
  <c r="AJ162" i="6"/>
  <c r="AI162" i="6"/>
  <c r="AH162" i="6"/>
  <c r="AG162" i="6"/>
  <c r="AF162" i="6"/>
  <c r="AD162" i="6"/>
  <c r="AB162" i="6"/>
  <c r="Y162" i="6"/>
  <c r="W162" i="6"/>
  <c r="V162" i="6"/>
  <c r="U162" i="6"/>
  <c r="T162" i="6"/>
  <c r="S162" i="6"/>
  <c r="R162" i="6"/>
  <c r="AK15" i="6"/>
  <c r="AJ15" i="6"/>
  <c r="AI15" i="6"/>
  <c r="AH15" i="6"/>
  <c r="AG15" i="6"/>
  <c r="AF15" i="6"/>
  <c r="AD15" i="6"/>
  <c r="AB15" i="6"/>
  <c r="Y15" i="6"/>
  <c r="W15" i="6"/>
  <c r="V15" i="6"/>
  <c r="U15" i="6"/>
  <c r="T15" i="6"/>
  <c r="S15" i="6"/>
  <c r="R15" i="6"/>
  <c r="AK14" i="6"/>
  <c r="AJ14" i="6"/>
  <c r="AI14" i="6"/>
  <c r="AH14" i="6"/>
  <c r="AG14" i="6"/>
  <c r="AF14" i="6"/>
  <c r="AD14" i="6"/>
  <c r="AB14" i="6"/>
  <c r="Y14" i="6"/>
  <c r="W14" i="6"/>
  <c r="V14" i="6"/>
  <c r="U14" i="6"/>
  <c r="T14" i="6"/>
  <c r="S14" i="6"/>
  <c r="R14" i="6"/>
  <c r="AK17" i="6"/>
  <c r="AJ17" i="6"/>
  <c r="AI17" i="6"/>
  <c r="AH17" i="6"/>
  <c r="AG17" i="6"/>
  <c r="AF17" i="6"/>
  <c r="AD17" i="6"/>
  <c r="AB17" i="6"/>
  <c r="Y17" i="6"/>
  <c r="W17" i="6"/>
  <c r="V17" i="6"/>
  <c r="U17" i="6"/>
  <c r="T17" i="6"/>
  <c r="S17" i="6"/>
  <c r="R17" i="6"/>
  <c r="AK16" i="6"/>
  <c r="AJ16" i="6"/>
  <c r="AI16" i="6"/>
  <c r="AH16" i="6"/>
  <c r="AG16" i="6"/>
  <c r="AF16" i="6"/>
  <c r="AD16" i="6"/>
  <c r="AB16" i="6"/>
  <c r="Y16" i="6"/>
  <c r="W16" i="6"/>
  <c r="V16" i="6"/>
  <c r="U16" i="6"/>
  <c r="T16" i="6"/>
  <c r="S16" i="6"/>
  <c r="R16" i="6"/>
  <c r="AK428" i="6"/>
  <c r="AJ428" i="6"/>
  <c r="AI428" i="6"/>
  <c r="AH428" i="6"/>
  <c r="AG428" i="6"/>
  <c r="AF428" i="6"/>
  <c r="AD428" i="6"/>
  <c r="AB428" i="6"/>
  <c r="Y428" i="6"/>
  <c r="W428" i="6"/>
  <c r="V428" i="6"/>
  <c r="U428" i="6"/>
  <c r="T428" i="6"/>
  <c r="S428" i="6"/>
  <c r="H428" i="6"/>
  <c r="E441" i="6"/>
  <c r="R428" i="6"/>
  <c r="AK427" i="6"/>
  <c r="AJ427" i="6"/>
  <c r="AI427" i="6"/>
  <c r="AH427" i="6"/>
  <c r="AG427" i="6"/>
  <c r="AF427" i="6"/>
  <c r="AD427" i="6"/>
  <c r="AB427" i="6"/>
  <c r="Y427" i="6"/>
  <c r="W427" i="6"/>
  <c r="V427" i="6"/>
  <c r="U427" i="6"/>
  <c r="T427" i="6"/>
  <c r="S427" i="6"/>
  <c r="H427" i="6"/>
  <c r="E440" i="6"/>
  <c r="R427" i="6"/>
  <c r="AK356" i="6"/>
  <c r="AJ356" i="6"/>
  <c r="AI356" i="6"/>
  <c r="AH356" i="6"/>
  <c r="AG356" i="6"/>
  <c r="AF356" i="6"/>
  <c r="AD356" i="6"/>
  <c r="AB356" i="6"/>
  <c r="Y356" i="6"/>
  <c r="W356" i="6"/>
  <c r="V356" i="6"/>
  <c r="U356" i="6"/>
  <c r="T356" i="6"/>
  <c r="S356" i="6"/>
  <c r="H356" i="6"/>
  <c r="E379" i="6"/>
  <c r="R356" i="6"/>
  <c r="AK152" i="6"/>
  <c r="AJ152" i="6"/>
  <c r="AI152" i="6"/>
  <c r="AH152" i="6"/>
  <c r="AG152" i="6"/>
  <c r="AF152" i="6"/>
  <c r="AD152" i="6"/>
  <c r="AB152" i="6"/>
  <c r="Y152" i="6"/>
  <c r="W152" i="6"/>
  <c r="V152" i="6"/>
  <c r="U152" i="6"/>
  <c r="T152" i="6"/>
  <c r="S152" i="6"/>
  <c r="H152" i="6"/>
  <c r="E165" i="6"/>
  <c r="R152" i="6"/>
  <c r="AK148" i="6"/>
  <c r="AJ148" i="6"/>
  <c r="AI148" i="6"/>
  <c r="AH148" i="6"/>
  <c r="AG148" i="6"/>
  <c r="AF148" i="6"/>
  <c r="AD148" i="6"/>
  <c r="AB148" i="6"/>
  <c r="Y148" i="6"/>
  <c r="W148" i="6"/>
  <c r="V148" i="6"/>
  <c r="U148" i="6"/>
  <c r="T148" i="6"/>
  <c r="S148" i="6"/>
  <c r="H148" i="6"/>
  <c r="E160" i="6"/>
  <c r="R148" i="6"/>
  <c r="AK125" i="6"/>
  <c r="AJ125" i="6"/>
  <c r="AI125" i="6"/>
  <c r="AH125" i="6"/>
  <c r="AG125" i="6"/>
  <c r="AF125" i="6"/>
  <c r="AD125" i="6"/>
  <c r="AB125" i="6"/>
  <c r="Y125" i="6"/>
  <c r="W125" i="6"/>
  <c r="V125" i="6"/>
  <c r="U125" i="6"/>
  <c r="T125" i="6"/>
  <c r="S125" i="6"/>
  <c r="H125" i="6"/>
  <c r="R125" i="6"/>
  <c r="AK158" i="6"/>
  <c r="AJ158" i="6"/>
  <c r="AI158" i="6"/>
  <c r="AH158" i="6"/>
  <c r="AG158" i="6"/>
  <c r="AF158" i="6"/>
  <c r="AD158" i="6"/>
  <c r="AB158" i="6"/>
  <c r="Y158" i="6"/>
  <c r="W158" i="6"/>
  <c r="V158" i="6"/>
  <c r="U158" i="6"/>
  <c r="T158" i="6"/>
  <c r="S158" i="6"/>
  <c r="H158" i="6"/>
  <c r="R158" i="6"/>
  <c r="AK157" i="6"/>
  <c r="AJ157" i="6"/>
  <c r="AI157" i="6"/>
  <c r="AH157" i="6"/>
  <c r="AG157" i="6"/>
  <c r="AF157" i="6"/>
  <c r="AD157" i="6"/>
  <c r="AB157" i="6"/>
  <c r="Y157" i="6"/>
  <c r="W157" i="6"/>
  <c r="V157" i="6"/>
  <c r="U157" i="6"/>
  <c r="T157" i="6"/>
  <c r="S157" i="6"/>
  <c r="H157" i="6"/>
  <c r="R157" i="6"/>
  <c r="AK417" i="6"/>
  <c r="AJ417" i="6"/>
  <c r="AI417" i="6"/>
  <c r="AH417" i="6"/>
  <c r="AG417" i="6"/>
  <c r="AF417" i="6"/>
  <c r="AD417" i="6"/>
  <c r="AB417" i="6"/>
  <c r="Y417" i="6"/>
  <c r="W417" i="6"/>
  <c r="V417" i="6"/>
  <c r="U417" i="6"/>
  <c r="T417" i="6"/>
  <c r="S417" i="6"/>
  <c r="H417" i="6"/>
  <c r="E416" i="6"/>
  <c r="R417" i="6"/>
  <c r="AK415" i="6"/>
  <c r="AJ415" i="6"/>
  <c r="AI415" i="6"/>
  <c r="AH415" i="6"/>
  <c r="AG415" i="6"/>
  <c r="AF415" i="6"/>
  <c r="AD415" i="6"/>
  <c r="AB415" i="6"/>
  <c r="Y415" i="6"/>
  <c r="W415" i="6"/>
  <c r="V415" i="6"/>
  <c r="U415" i="6"/>
  <c r="T415" i="6"/>
  <c r="S415" i="6"/>
  <c r="H415" i="6"/>
  <c r="E414" i="6"/>
  <c r="R415" i="6"/>
  <c r="AK413" i="6"/>
  <c r="AJ413" i="6"/>
  <c r="AI413" i="6"/>
  <c r="AH413" i="6"/>
  <c r="AG413" i="6"/>
  <c r="AF413" i="6"/>
  <c r="AD413" i="6"/>
  <c r="AB413" i="6"/>
  <c r="Y413" i="6"/>
  <c r="W413" i="6"/>
  <c r="V413" i="6"/>
  <c r="U413" i="6"/>
  <c r="T413" i="6"/>
  <c r="S413" i="6"/>
  <c r="H413" i="6"/>
  <c r="E412" i="6"/>
  <c r="R413" i="6"/>
  <c r="AK391" i="6"/>
  <c r="AJ391" i="6"/>
  <c r="AI391" i="6"/>
  <c r="AH391" i="6"/>
  <c r="AG391" i="6"/>
  <c r="AF391" i="6"/>
  <c r="AD391" i="6"/>
  <c r="AB391" i="6"/>
  <c r="Y391" i="6"/>
  <c r="W391" i="6"/>
  <c r="V391" i="6"/>
  <c r="U391" i="6"/>
  <c r="T391" i="6"/>
  <c r="S391" i="6"/>
  <c r="H391" i="6"/>
  <c r="E390" i="6"/>
  <c r="R391" i="6"/>
  <c r="AK156" i="6"/>
  <c r="AJ156" i="6"/>
  <c r="AI156" i="6"/>
  <c r="AH156" i="6"/>
  <c r="AG156" i="6"/>
  <c r="AF156" i="6"/>
  <c r="AD156" i="6"/>
  <c r="AB156" i="6"/>
  <c r="Y156" i="6"/>
  <c r="W156" i="6"/>
  <c r="V156" i="6"/>
  <c r="U156" i="6"/>
  <c r="T156" i="6"/>
  <c r="S156" i="6"/>
  <c r="H156" i="6"/>
  <c r="R156" i="6"/>
  <c r="AK155" i="6"/>
  <c r="AJ155" i="6"/>
  <c r="AI155" i="6"/>
  <c r="AH155" i="6"/>
  <c r="AG155" i="6"/>
  <c r="AF155" i="6"/>
  <c r="AD155" i="6"/>
  <c r="AB155" i="6"/>
  <c r="Y155" i="6"/>
  <c r="W155" i="6"/>
  <c r="V155" i="6"/>
  <c r="U155" i="6"/>
  <c r="T155" i="6"/>
  <c r="S155" i="6"/>
  <c r="H155" i="6"/>
  <c r="R155" i="6"/>
  <c r="AK310" i="6"/>
  <c r="AJ310" i="6"/>
  <c r="AI310" i="6"/>
  <c r="AH310" i="6"/>
  <c r="AG310" i="6"/>
  <c r="AF310" i="6"/>
  <c r="AD310" i="6"/>
  <c r="AB310" i="6"/>
  <c r="Y310" i="6"/>
  <c r="W310" i="6"/>
  <c r="V310" i="6"/>
  <c r="U310" i="6"/>
  <c r="T310" i="6"/>
  <c r="S310" i="6"/>
  <c r="H310" i="6"/>
  <c r="R310" i="6"/>
  <c r="AK309" i="6"/>
  <c r="AJ309" i="6"/>
  <c r="AI309" i="6"/>
  <c r="AH309" i="6"/>
  <c r="AG309" i="6"/>
  <c r="AF309" i="6"/>
  <c r="AD309" i="6"/>
  <c r="AB309" i="6"/>
  <c r="Y309" i="6"/>
  <c r="W309" i="6"/>
  <c r="V309" i="6"/>
  <c r="U309" i="6"/>
  <c r="T309" i="6"/>
  <c r="S309" i="6"/>
  <c r="H309" i="6"/>
  <c r="R309" i="6"/>
  <c r="AK308" i="6"/>
  <c r="AJ308" i="6"/>
  <c r="AI308" i="6"/>
  <c r="AH308" i="6"/>
  <c r="AG308" i="6"/>
  <c r="AF308" i="6"/>
  <c r="AD308" i="6"/>
  <c r="AB308" i="6"/>
  <c r="Y308" i="6"/>
  <c r="W308" i="6"/>
  <c r="V308" i="6"/>
  <c r="U308" i="6"/>
  <c r="T308" i="6"/>
  <c r="S308" i="6"/>
  <c r="H308" i="6"/>
  <c r="R308" i="6"/>
  <c r="AK307" i="6"/>
  <c r="AJ307" i="6"/>
  <c r="AI307" i="6"/>
  <c r="AH307" i="6"/>
  <c r="AG307" i="6"/>
  <c r="AF307" i="6"/>
  <c r="AD307" i="6"/>
  <c r="AB307" i="6"/>
  <c r="Y307" i="6"/>
  <c r="W307" i="6"/>
  <c r="V307" i="6"/>
  <c r="U307" i="6"/>
  <c r="T307" i="6"/>
  <c r="S307" i="6"/>
  <c r="H307" i="6"/>
  <c r="R307" i="6"/>
  <c r="AK306" i="6"/>
  <c r="AJ306" i="6"/>
  <c r="AI306" i="6"/>
  <c r="AH306" i="6"/>
  <c r="AG306" i="6"/>
  <c r="AF306" i="6"/>
  <c r="AD306" i="6"/>
  <c r="AB306" i="6"/>
  <c r="Y306" i="6"/>
  <c r="W306" i="6"/>
  <c r="V306" i="6"/>
  <c r="U306" i="6"/>
  <c r="T306" i="6"/>
  <c r="S306" i="6"/>
  <c r="H306" i="6"/>
  <c r="E305" i="6"/>
  <c r="R306" i="6"/>
  <c r="AK154" i="6"/>
  <c r="AJ154" i="6"/>
  <c r="AI154" i="6"/>
  <c r="AH154" i="6"/>
  <c r="AG154" i="6"/>
  <c r="AF154" i="6"/>
  <c r="AD154" i="6"/>
  <c r="AB154" i="6"/>
  <c r="Y154" i="6"/>
  <c r="W154" i="6"/>
  <c r="V154" i="6"/>
  <c r="U154" i="6"/>
  <c r="T154" i="6"/>
  <c r="S154" i="6"/>
  <c r="H154" i="6"/>
  <c r="E153" i="6"/>
  <c r="R154" i="6"/>
  <c r="AK247" i="6"/>
  <c r="AJ247" i="6"/>
  <c r="AI247" i="6"/>
  <c r="AH247" i="6"/>
  <c r="AG247" i="6"/>
  <c r="AF247" i="6"/>
  <c r="AD247" i="6"/>
  <c r="AB247" i="6"/>
  <c r="Y247" i="6"/>
  <c r="W247" i="6"/>
  <c r="V247" i="6"/>
  <c r="U247" i="6"/>
  <c r="T247" i="6"/>
  <c r="S247" i="6"/>
  <c r="H247" i="6"/>
  <c r="R247" i="6"/>
  <c r="AK225" i="6"/>
  <c r="AJ225" i="6"/>
  <c r="AI225" i="6"/>
  <c r="AH225" i="6"/>
  <c r="AG225" i="6"/>
  <c r="AF225" i="6"/>
  <c r="AD225" i="6"/>
  <c r="AB225" i="6"/>
  <c r="Y225" i="6"/>
  <c r="W225" i="6"/>
  <c r="V225" i="6"/>
  <c r="U225" i="6"/>
  <c r="T225" i="6"/>
  <c r="S225" i="6"/>
  <c r="H225" i="6"/>
  <c r="R225" i="6"/>
  <c r="AK224" i="6"/>
  <c r="AJ224" i="6"/>
  <c r="AI224" i="6"/>
  <c r="AH224" i="6"/>
  <c r="AG224" i="6"/>
  <c r="AF224" i="6"/>
  <c r="AD224" i="6"/>
  <c r="AB224" i="6"/>
  <c r="Y224" i="6"/>
  <c r="W224" i="6"/>
  <c r="V224" i="6"/>
  <c r="U224" i="6"/>
  <c r="T224" i="6"/>
  <c r="S224" i="6"/>
  <c r="H224" i="6"/>
  <c r="E223" i="6"/>
  <c r="R224" i="6"/>
  <c r="AK216" i="6"/>
  <c r="AJ216" i="6"/>
  <c r="AI216" i="6"/>
  <c r="AH216" i="6"/>
  <c r="AG216" i="6"/>
  <c r="AF216" i="6"/>
  <c r="AD216" i="6"/>
  <c r="AB216" i="6"/>
  <c r="Y216" i="6"/>
  <c r="W216" i="6"/>
  <c r="V216" i="6"/>
  <c r="U216" i="6"/>
  <c r="T216" i="6"/>
  <c r="S216" i="6"/>
  <c r="H216" i="6"/>
  <c r="E215" i="6"/>
  <c r="R216" i="6"/>
  <c r="AK39" i="6"/>
  <c r="AJ39" i="6"/>
  <c r="AI39" i="6"/>
  <c r="AH39" i="6"/>
  <c r="AG39" i="6"/>
  <c r="AF39" i="6"/>
  <c r="AD39" i="6"/>
  <c r="AB39" i="6"/>
  <c r="Y39" i="6"/>
  <c r="W39" i="6"/>
  <c r="V39" i="6"/>
  <c r="U39" i="6"/>
  <c r="T39" i="6"/>
  <c r="S39" i="6"/>
  <c r="H39" i="6"/>
  <c r="R39" i="6"/>
  <c r="AK38" i="6"/>
  <c r="AJ38" i="6"/>
  <c r="AI38" i="6"/>
  <c r="AH38" i="6"/>
  <c r="AG38" i="6"/>
  <c r="AF38" i="6"/>
  <c r="AD38" i="6"/>
  <c r="AB38" i="6"/>
  <c r="Y38" i="6"/>
  <c r="W38" i="6"/>
  <c r="V38" i="6"/>
  <c r="U38" i="6"/>
  <c r="T38" i="6"/>
  <c r="S38" i="6"/>
  <c r="H38" i="6"/>
  <c r="R38" i="6"/>
  <c r="AK211" i="6"/>
  <c r="AJ211" i="6"/>
  <c r="AI211" i="6"/>
  <c r="AH211" i="6"/>
  <c r="AG211" i="6"/>
  <c r="AF211" i="6"/>
  <c r="AD211" i="6"/>
  <c r="AB211" i="6"/>
  <c r="Y211" i="6"/>
  <c r="W211" i="6"/>
  <c r="V211" i="6"/>
  <c r="U211" i="6"/>
  <c r="T211" i="6"/>
  <c r="S211" i="6"/>
  <c r="H211" i="6"/>
  <c r="E210" i="6"/>
  <c r="R211" i="6"/>
  <c r="AK114" i="6"/>
  <c r="AJ114" i="6"/>
  <c r="AI114" i="6"/>
  <c r="AH114" i="6"/>
  <c r="AG114" i="6"/>
  <c r="AF114" i="6"/>
  <c r="AD114" i="6"/>
  <c r="AB114" i="6"/>
  <c r="Y114" i="6"/>
  <c r="W114" i="6"/>
  <c r="V114" i="6"/>
  <c r="U114" i="6"/>
  <c r="T114" i="6"/>
  <c r="S114" i="6"/>
  <c r="H114" i="6"/>
  <c r="E113" i="6"/>
  <c r="R114" i="6"/>
  <c r="AK34" i="6"/>
  <c r="AJ34" i="6"/>
  <c r="AI34" i="6"/>
  <c r="AH34" i="6"/>
  <c r="AG34" i="6"/>
  <c r="AF34" i="6"/>
  <c r="AD34" i="6"/>
  <c r="AB34" i="6"/>
  <c r="Y34" i="6"/>
  <c r="W34" i="6"/>
  <c r="V34" i="6"/>
  <c r="U34" i="6"/>
  <c r="T34" i="6"/>
  <c r="S34" i="6"/>
  <c r="H34" i="6"/>
  <c r="R34" i="6"/>
  <c r="AK355" i="6"/>
  <c r="AJ355" i="6"/>
  <c r="AI355" i="6"/>
  <c r="AH355" i="6"/>
  <c r="AG355" i="6"/>
  <c r="AF355" i="6"/>
  <c r="AD355" i="6"/>
  <c r="AB355" i="6"/>
  <c r="Y355" i="6"/>
  <c r="W355" i="6"/>
  <c r="V355" i="6"/>
  <c r="U355" i="6"/>
  <c r="T355" i="6"/>
  <c r="S355" i="6"/>
  <c r="H355" i="6"/>
  <c r="R355" i="6"/>
  <c r="AK246" i="6"/>
  <c r="AJ246" i="6"/>
  <c r="AI246" i="6"/>
  <c r="AH246" i="6"/>
  <c r="AG246" i="6"/>
  <c r="AF246" i="6"/>
  <c r="AD246" i="6"/>
  <c r="AB246" i="6"/>
  <c r="Y246" i="6"/>
  <c r="W246" i="6"/>
  <c r="V246" i="6"/>
  <c r="U246" i="6"/>
  <c r="T246" i="6"/>
  <c r="S246" i="6"/>
  <c r="H246" i="6"/>
  <c r="E267" i="6"/>
  <c r="R246" i="6"/>
  <c r="AK163" i="6"/>
  <c r="AJ163" i="6"/>
  <c r="AI163" i="6"/>
  <c r="AH163" i="6"/>
  <c r="AG163" i="6"/>
  <c r="AF163" i="6"/>
  <c r="AD163" i="6"/>
  <c r="AB163" i="6"/>
  <c r="Y163" i="6"/>
  <c r="W163" i="6"/>
  <c r="V163" i="6"/>
  <c r="U163" i="6"/>
  <c r="T163" i="6"/>
  <c r="S163" i="6"/>
  <c r="H163" i="6"/>
  <c r="E179" i="6"/>
  <c r="R163" i="6"/>
  <c r="AK151" i="6"/>
  <c r="AJ151" i="6"/>
  <c r="AI151" i="6"/>
  <c r="AH151" i="6"/>
  <c r="AG151" i="6"/>
  <c r="AF151" i="6"/>
  <c r="AD151" i="6"/>
  <c r="AB151" i="6"/>
  <c r="Y151" i="6"/>
  <c r="W151" i="6"/>
  <c r="V151" i="6"/>
  <c r="U151" i="6"/>
  <c r="T151" i="6"/>
  <c r="S151" i="6"/>
  <c r="H151" i="6"/>
  <c r="R151" i="6"/>
  <c r="AK147" i="6"/>
  <c r="AJ147" i="6"/>
  <c r="AI147" i="6"/>
  <c r="AH147" i="6"/>
  <c r="AG147" i="6"/>
  <c r="AF147" i="6"/>
  <c r="AD147" i="6"/>
  <c r="AB147" i="6"/>
  <c r="Y147" i="6"/>
  <c r="W147" i="6"/>
  <c r="V147" i="6"/>
  <c r="U147" i="6"/>
  <c r="T147" i="6"/>
  <c r="S147" i="6"/>
  <c r="H147" i="6"/>
  <c r="E171" i="6"/>
  <c r="R147" i="6"/>
  <c r="AK124" i="6"/>
  <c r="AJ124" i="6"/>
  <c r="AI124" i="6"/>
  <c r="AH124" i="6"/>
  <c r="AG124" i="6"/>
  <c r="AF124" i="6"/>
  <c r="AD124" i="6"/>
  <c r="AB124" i="6"/>
  <c r="Y124" i="6"/>
  <c r="W124" i="6"/>
  <c r="V124" i="6"/>
  <c r="U124" i="6"/>
  <c r="T124" i="6"/>
  <c r="S124" i="6"/>
  <c r="H124" i="6"/>
  <c r="E139" i="6"/>
  <c r="R124" i="6"/>
  <c r="H120" i="6"/>
  <c r="E135" i="6"/>
  <c r="R120" i="6"/>
  <c r="S120" i="6"/>
  <c r="T120" i="6"/>
  <c r="U120" i="6"/>
  <c r="V120" i="6"/>
  <c r="W120" i="6"/>
  <c r="AK120" i="6"/>
  <c r="AJ120" i="6"/>
  <c r="AI120" i="6"/>
  <c r="AH120" i="6"/>
  <c r="AG120" i="6"/>
  <c r="AF120" i="6"/>
  <c r="AB120" i="6"/>
  <c r="AD120" i="6"/>
  <c r="Y120" i="6"/>
  <c r="AK456" i="6"/>
  <c r="AJ456" i="6"/>
  <c r="AI456" i="6"/>
  <c r="AH456" i="6"/>
  <c r="AG456" i="6"/>
  <c r="AF456" i="6"/>
  <c r="AD456" i="6"/>
  <c r="AB456" i="6"/>
  <c r="Y456" i="6"/>
  <c r="W456" i="6"/>
  <c r="V456" i="6"/>
  <c r="U456" i="6"/>
  <c r="T456" i="6"/>
  <c r="I456" i="6"/>
  <c r="E435" i="6"/>
  <c r="S456" i="6"/>
  <c r="H456" i="6"/>
  <c r="E429" i="6"/>
  <c r="R456" i="6"/>
  <c r="AK192" i="6"/>
  <c r="AJ192" i="6"/>
  <c r="AI192" i="6"/>
  <c r="AH192" i="6"/>
  <c r="AG192" i="6"/>
  <c r="AF192" i="6"/>
  <c r="AD192" i="6"/>
  <c r="AB192" i="6"/>
  <c r="Y192" i="6"/>
  <c r="W192" i="6"/>
  <c r="V192" i="6"/>
  <c r="U192" i="6"/>
  <c r="T192" i="6"/>
  <c r="I192" i="6"/>
  <c r="S192" i="6"/>
  <c r="H192" i="6"/>
  <c r="R192" i="6"/>
  <c r="AK61" i="6"/>
  <c r="AJ61" i="6"/>
  <c r="AI61" i="6"/>
  <c r="AH61" i="6"/>
  <c r="AG61" i="6"/>
  <c r="AF61" i="6"/>
  <c r="AD61" i="6"/>
  <c r="AB61" i="6"/>
  <c r="Y61" i="6"/>
  <c r="W61" i="6"/>
  <c r="V61" i="6"/>
  <c r="U61" i="6"/>
  <c r="T61" i="6"/>
  <c r="I61" i="6"/>
  <c r="S61" i="6"/>
  <c r="H61" i="6"/>
  <c r="R61" i="6"/>
  <c r="AK455" i="6"/>
  <c r="AJ455" i="6"/>
  <c r="AI455" i="6"/>
  <c r="AH455" i="6"/>
  <c r="AG455" i="6"/>
  <c r="AF455" i="6"/>
  <c r="AD455" i="6"/>
  <c r="AB455" i="6"/>
  <c r="Y455" i="6"/>
  <c r="W455" i="6"/>
  <c r="V455" i="6"/>
  <c r="U455" i="6"/>
  <c r="T455" i="6"/>
  <c r="I455" i="6"/>
  <c r="E434" i="6"/>
  <c r="S455" i="6"/>
  <c r="H455" i="6"/>
  <c r="E426" i="6"/>
  <c r="R455" i="6"/>
  <c r="AK454" i="6"/>
  <c r="AJ454" i="6"/>
  <c r="AI454" i="6"/>
  <c r="AH454" i="6"/>
  <c r="AG454" i="6"/>
  <c r="AF454" i="6"/>
  <c r="AD454" i="6"/>
  <c r="AB454" i="6"/>
  <c r="Y454" i="6"/>
  <c r="W454" i="6"/>
  <c r="V454" i="6"/>
  <c r="U454" i="6"/>
  <c r="T454" i="6"/>
  <c r="I454" i="6"/>
  <c r="E433" i="6"/>
  <c r="S454" i="6"/>
  <c r="H454" i="6"/>
  <c r="E425" i="6"/>
  <c r="R454" i="6"/>
  <c r="AK453" i="6"/>
  <c r="AJ453" i="6"/>
  <c r="AI453" i="6"/>
  <c r="AH453" i="6"/>
  <c r="AG453" i="6"/>
  <c r="AF453" i="6"/>
  <c r="AD453" i="6"/>
  <c r="AB453" i="6"/>
  <c r="Y453" i="6"/>
  <c r="W453" i="6"/>
  <c r="V453" i="6"/>
  <c r="U453" i="6"/>
  <c r="T453" i="6"/>
  <c r="I453" i="6"/>
  <c r="S453" i="6"/>
  <c r="H453" i="6"/>
  <c r="R453" i="6"/>
  <c r="E166" i="6"/>
  <c r="AK190" i="6"/>
  <c r="AJ190" i="6"/>
  <c r="AI190" i="6"/>
  <c r="AH190" i="6"/>
  <c r="AG190" i="6"/>
  <c r="AF190" i="6"/>
  <c r="AD190" i="6"/>
  <c r="AB190" i="6"/>
  <c r="Y190" i="6"/>
  <c r="W190" i="6"/>
  <c r="V190" i="6"/>
  <c r="U190" i="6"/>
  <c r="T190" i="6"/>
  <c r="I190" i="6"/>
  <c r="E169" i="6"/>
  <c r="S190" i="6"/>
  <c r="H190" i="6"/>
  <c r="E161" i="6"/>
  <c r="R190" i="6"/>
  <c r="AK191" i="6"/>
  <c r="AJ191" i="6"/>
  <c r="AI191" i="6"/>
  <c r="AH191" i="6"/>
  <c r="AG191" i="6"/>
  <c r="AF191" i="6"/>
  <c r="AD191" i="6"/>
  <c r="AB191" i="6"/>
  <c r="Y191" i="6"/>
  <c r="W191" i="6"/>
  <c r="V191" i="6"/>
  <c r="U191" i="6"/>
  <c r="T191" i="6"/>
  <c r="I191" i="6"/>
  <c r="S191" i="6"/>
  <c r="H191" i="6"/>
  <c r="E164" i="6"/>
  <c r="R191" i="6"/>
  <c r="AK189" i="6"/>
  <c r="AJ189" i="6"/>
  <c r="AI189" i="6"/>
  <c r="AH189" i="6"/>
  <c r="AG189" i="6"/>
  <c r="AF189" i="6"/>
  <c r="AD189" i="6"/>
  <c r="AB189" i="6"/>
  <c r="Y189" i="6"/>
  <c r="W189" i="6"/>
  <c r="V189" i="6"/>
  <c r="U189" i="6"/>
  <c r="T189" i="6"/>
  <c r="I189" i="6"/>
  <c r="S189" i="6"/>
  <c r="H189" i="6"/>
  <c r="R189" i="6"/>
  <c r="AK177" i="6"/>
  <c r="AJ177" i="6"/>
  <c r="AI177" i="6"/>
  <c r="AH177" i="6"/>
  <c r="AG177" i="6"/>
  <c r="AF177" i="6"/>
  <c r="AD177" i="6"/>
  <c r="AB177" i="6"/>
  <c r="Y177" i="6"/>
  <c r="W177" i="6"/>
  <c r="V177" i="6"/>
  <c r="U177" i="6"/>
  <c r="T177" i="6"/>
  <c r="I177" i="6"/>
  <c r="E146" i="6"/>
  <c r="S177" i="6"/>
  <c r="H177" i="6"/>
  <c r="R177" i="6"/>
  <c r="AK175" i="6"/>
  <c r="AJ175" i="6"/>
  <c r="AI175" i="6"/>
  <c r="AH175" i="6"/>
  <c r="AG175" i="6"/>
  <c r="AF175" i="6"/>
  <c r="AD175" i="6"/>
  <c r="AB175" i="6"/>
  <c r="Y175" i="6"/>
  <c r="W175" i="6"/>
  <c r="V175" i="6"/>
  <c r="U175" i="6"/>
  <c r="T175" i="6"/>
  <c r="I175" i="6"/>
  <c r="E145" i="6"/>
  <c r="S175" i="6"/>
  <c r="H175" i="6"/>
  <c r="R175" i="6"/>
  <c r="AK176" i="6"/>
  <c r="AJ176" i="6"/>
  <c r="AI176" i="6"/>
  <c r="AH176" i="6"/>
  <c r="AG176" i="6"/>
  <c r="AF176" i="6"/>
  <c r="AD176" i="6"/>
  <c r="AB176" i="6"/>
  <c r="Y176" i="6"/>
  <c r="W176" i="6"/>
  <c r="V176" i="6"/>
  <c r="U176" i="6"/>
  <c r="T176" i="6"/>
  <c r="I176" i="6"/>
  <c r="S176" i="6"/>
  <c r="H176" i="6"/>
  <c r="R176" i="6"/>
  <c r="AK174" i="6"/>
  <c r="AJ174" i="6"/>
  <c r="AI174" i="6"/>
  <c r="AH174" i="6"/>
  <c r="AG174" i="6"/>
  <c r="AF174" i="6"/>
  <c r="AD174" i="6"/>
  <c r="AB174" i="6"/>
  <c r="Y174" i="6"/>
  <c r="W174" i="6"/>
  <c r="V174" i="6"/>
  <c r="U174" i="6"/>
  <c r="T174" i="6"/>
  <c r="I174" i="6"/>
  <c r="E144" i="6"/>
  <c r="S174" i="6"/>
  <c r="H174" i="6"/>
  <c r="E138" i="6"/>
  <c r="R174" i="6"/>
  <c r="AK89" i="6"/>
  <c r="AJ89" i="6"/>
  <c r="AI89" i="6"/>
  <c r="AH89" i="6"/>
  <c r="AG89" i="6"/>
  <c r="AF89" i="6"/>
  <c r="AD89" i="6"/>
  <c r="AB89" i="6"/>
  <c r="Y89" i="6"/>
  <c r="W89" i="6"/>
  <c r="V89" i="6"/>
  <c r="U89" i="6"/>
  <c r="T89" i="6"/>
  <c r="I89" i="6"/>
  <c r="E70" i="6"/>
  <c r="S89" i="6"/>
  <c r="H89" i="6"/>
  <c r="E64" i="6"/>
  <c r="R89" i="6"/>
  <c r="AK88" i="6"/>
  <c r="AJ88" i="6"/>
  <c r="AI88" i="6"/>
  <c r="AH88" i="6"/>
  <c r="AG88" i="6"/>
  <c r="AF88" i="6"/>
  <c r="AD88" i="6"/>
  <c r="AB88" i="6"/>
  <c r="Y88" i="6"/>
  <c r="W88" i="6"/>
  <c r="V88" i="6"/>
  <c r="U88" i="6"/>
  <c r="T88" i="6"/>
  <c r="I88" i="6"/>
  <c r="E69" i="6"/>
  <c r="S88" i="6"/>
  <c r="H88" i="6"/>
  <c r="E63" i="6"/>
  <c r="R88" i="6"/>
  <c r="AK87" i="6"/>
  <c r="AJ87" i="6"/>
  <c r="AI87" i="6"/>
  <c r="AH87" i="6"/>
  <c r="AG87" i="6"/>
  <c r="AF87" i="6"/>
  <c r="AD87" i="6"/>
  <c r="AB87" i="6"/>
  <c r="Y87" i="6"/>
  <c r="W87" i="6"/>
  <c r="V87" i="6"/>
  <c r="U87" i="6"/>
  <c r="T87" i="6"/>
  <c r="I87" i="6"/>
  <c r="E68" i="6"/>
  <c r="S87" i="6"/>
  <c r="H87" i="6"/>
  <c r="E62" i="6"/>
  <c r="R87" i="6"/>
  <c r="AK86" i="6"/>
  <c r="AJ86" i="6"/>
  <c r="AI86" i="6"/>
  <c r="AH86" i="6"/>
  <c r="AG86" i="6"/>
  <c r="AF86" i="6"/>
  <c r="AD86" i="6"/>
  <c r="AB86" i="6"/>
  <c r="Y86" i="6"/>
  <c r="W86" i="6"/>
  <c r="V86" i="6"/>
  <c r="U86" i="6"/>
  <c r="T86" i="6"/>
  <c r="I86" i="6"/>
  <c r="E67" i="6"/>
  <c r="S86" i="6"/>
  <c r="H86" i="6"/>
  <c r="R86" i="6"/>
  <c r="AK60" i="6"/>
  <c r="AJ60" i="6"/>
  <c r="AI60" i="6"/>
  <c r="AH60" i="6"/>
  <c r="AG60" i="6"/>
  <c r="AF60" i="6"/>
  <c r="AD60" i="6"/>
  <c r="AB60" i="6"/>
  <c r="Y60" i="6"/>
  <c r="W60" i="6"/>
  <c r="V60" i="6"/>
  <c r="U60" i="6"/>
  <c r="T60" i="6"/>
  <c r="I60" i="6"/>
  <c r="E41" i="6"/>
  <c r="S60" i="6"/>
  <c r="H60" i="6"/>
  <c r="R60" i="6"/>
  <c r="AK59" i="6"/>
  <c r="AJ59" i="6"/>
  <c r="AI59" i="6"/>
  <c r="AH59" i="6"/>
  <c r="AG59" i="6"/>
  <c r="AF59" i="6"/>
  <c r="AD59" i="6"/>
  <c r="AB59" i="6"/>
  <c r="Y59" i="6"/>
  <c r="W59" i="6"/>
  <c r="V59" i="6"/>
  <c r="U59" i="6"/>
  <c r="T59" i="6"/>
  <c r="I59" i="6"/>
  <c r="S59" i="6"/>
  <c r="H59" i="6"/>
  <c r="R59" i="6"/>
  <c r="AK58" i="6"/>
  <c r="AJ58" i="6"/>
  <c r="AI58" i="6"/>
  <c r="AH58" i="6"/>
  <c r="AG58" i="6"/>
  <c r="AF58" i="6"/>
  <c r="AD58" i="6"/>
  <c r="AB58" i="6"/>
  <c r="Y58" i="6"/>
  <c r="W58" i="6"/>
  <c r="V58" i="6"/>
  <c r="U58" i="6"/>
  <c r="T58" i="6"/>
  <c r="I58" i="6"/>
  <c r="S58" i="6"/>
  <c r="H58" i="6"/>
  <c r="R58" i="6"/>
  <c r="H57" i="6"/>
  <c r="R57" i="6"/>
  <c r="I57" i="6"/>
  <c r="S57" i="6"/>
  <c r="T57" i="6"/>
  <c r="U57" i="6"/>
  <c r="V57" i="6"/>
  <c r="W57" i="6"/>
  <c r="AK57" i="6"/>
  <c r="AJ57" i="6"/>
  <c r="AI57" i="6"/>
  <c r="AH57" i="6"/>
  <c r="AG57" i="6"/>
  <c r="AF57" i="6"/>
  <c r="AB57" i="6"/>
  <c r="AD57" i="6"/>
  <c r="Y57" i="6"/>
  <c r="AK118" i="6"/>
  <c r="AJ118" i="6"/>
  <c r="AI118" i="6"/>
  <c r="AH118" i="6"/>
  <c r="AG118" i="6"/>
  <c r="AF118" i="6"/>
  <c r="AD118" i="6"/>
  <c r="AB118" i="6"/>
  <c r="Y118" i="6"/>
  <c r="W118" i="6"/>
  <c r="V118" i="6"/>
  <c r="U118" i="6"/>
  <c r="T118" i="6"/>
  <c r="S118" i="6"/>
  <c r="H118" i="6"/>
  <c r="R118" i="6"/>
  <c r="AK117" i="6"/>
  <c r="AJ117" i="6"/>
  <c r="AI117" i="6"/>
  <c r="AH117" i="6"/>
  <c r="AG117" i="6"/>
  <c r="AF117" i="6"/>
  <c r="AD117" i="6"/>
  <c r="AB117" i="6"/>
  <c r="Y117" i="6"/>
  <c r="W117" i="6"/>
  <c r="V117" i="6"/>
  <c r="U117" i="6"/>
  <c r="T117" i="6"/>
  <c r="S117" i="6"/>
  <c r="H117" i="6"/>
  <c r="R117" i="6"/>
  <c r="AK116" i="6"/>
  <c r="AJ116" i="6"/>
  <c r="AI116" i="6"/>
  <c r="AH116" i="6"/>
  <c r="AG116" i="6"/>
  <c r="AF116" i="6"/>
  <c r="AD116" i="6"/>
  <c r="AB116" i="6"/>
  <c r="Y116" i="6"/>
  <c r="W116" i="6"/>
  <c r="V116" i="6"/>
  <c r="U116" i="6"/>
  <c r="T116" i="6"/>
  <c r="S116" i="6"/>
  <c r="H116" i="6"/>
  <c r="R116" i="6"/>
  <c r="AK96" i="6"/>
  <c r="AJ96" i="6"/>
  <c r="AI96" i="6"/>
  <c r="AH96" i="6"/>
  <c r="AG96" i="6"/>
  <c r="AF96" i="6"/>
  <c r="AD96" i="6"/>
  <c r="AB96" i="6"/>
  <c r="Y96" i="6"/>
  <c r="W96" i="6"/>
  <c r="V96" i="6"/>
  <c r="U96" i="6"/>
  <c r="T96" i="6"/>
  <c r="S96" i="6"/>
  <c r="H96" i="6"/>
  <c r="R96" i="6"/>
  <c r="AK95" i="6"/>
  <c r="AJ95" i="6"/>
  <c r="AI95" i="6"/>
  <c r="AH95" i="6"/>
  <c r="AG95" i="6"/>
  <c r="AF95" i="6"/>
  <c r="AD95" i="6"/>
  <c r="AB95" i="6"/>
  <c r="Y95" i="6"/>
  <c r="W95" i="6"/>
  <c r="V95" i="6"/>
  <c r="U95" i="6"/>
  <c r="T95" i="6"/>
  <c r="S95" i="6"/>
  <c r="H95" i="6"/>
  <c r="R95" i="6"/>
  <c r="AK115" i="6"/>
  <c r="AJ115" i="6"/>
  <c r="AI115" i="6"/>
  <c r="AH115" i="6"/>
  <c r="AG115" i="6"/>
  <c r="AF115" i="6"/>
  <c r="AD115" i="6"/>
  <c r="AB115" i="6"/>
  <c r="Y115" i="6"/>
  <c r="W115" i="6"/>
  <c r="V115" i="6"/>
  <c r="U115" i="6"/>
  <c r="T115" i="6"/>
  <c r="S115" i="6"/>
  <c r="H115" i="6"/>
  <c r="R115" i="6"/>
  <c r="E173" i="6"/>
  <c r="AK173" i="6"/>
  <c r="AJ173" i="6"/>
  <c r="AI173" i="6"/>
  <c r="AH173" i="6"/>
  <c r="AG173" i="6"/>
  <c r="AF173" i="6"/>
  <c r="AD173" i="6"/>
  <c r="AB173" i="6"/>
  <c r="Y173" i="6"/>
  <c r="W173" i="6"/>
  <c r="V173" i="6"/>
  <c r="U173" i="6"/>
  <c r="T173" i="6"/>
  <c r="S173" i="6"/>
  <c r="H173" i="6"/>
  <c r="E172" i="6"/>
  <c r="R173" i="6"/>
  <c r="AK94" i="6"/>
  <c r="AJ94" i="6"/>
  <c r="AI94" i="6"/>
  <c r="AH94" i="6"/>
  <c r="AG94" i="6"/>
  <c r="AF94" i="6"/>
  <c r="AD94" i="6"/>
  <c r="AB94" i="6"/>
  <c r="Y94" i="6"/>
  <c r="W94" i="6"/>
  <c r="V94" i="6"/>
  <c r="U94" i="6"/>
  <c r="T94" i="6"/>
  <c r="S94" i="6"/>
  <c r="H94" i="6"/>
  <c r="R94" i="6"/>
  <c r="AK93" i="6"/>
  <c r="AJ93" i="6"/>
  <c r="AI93" i="6"/>
  <c r="AH93" i="6"/>
  <c r="AG93" i="6"/>
  <c r="AF93" i="6"/>
  <c r="AD93" i="6"/>
  <c r="AB93" i="6"/>
  <c r="Y93" i="6"/>
  <c r="W93" i="6"/>
  <c r="V93" i="6"/>
  <c r="U93" i="6"/>
  <c r="T93" i="6"/>
  <c r="S93" i="6"/>
  <c r="H93" i="6"/>
  <c r="R93" i="6"/>
  <c r="E188" i="6"/>
  <c r="AK188" i="6"/>
  <c r="AJ188" i="6"/>
  <c r="AI188" i="6"/>
  <c r="AH188" i="6"/>
  <c r="AG188" i="6"/>
  <c r="AF188" i="6"/>
  <c r="AD188" i="6"/>
  <c r="AB188" i="6"/>
  <c r="Y188" i="6"/>
  <c r="W188" i="6"/>
  <c r="V188" i="6"/>
  <c r="U188" i="6"/>
  <c r="T188" i="6"/>
  <c r="S188" i="6"/>
  <c r="R188" i="6"/>
  <c r="E187" i="6"/>
  <c r="AK187" i="6"/>
  <c r="AJ187" i="6"/>
  <c r="AI187" i="6"/>
  <c r="AH187" i="6"/>
  <c r="AG187" i="6"/>
  <c r="AF187" i="6"/>
  <c r="AD187" i="6"/>
  <c r="AB187" i="6"/>
  <c r="Y187" i="6"/>
  <c r="W187" i="6"/>
  <c r="V187" i="6"/>
  <c r="U187" i="6"/>
  <c r="T187" i="6"/>
  <c r="S187" i="6"/>
  <c r="R187" i="6"/>
  <c r="E186" i="6"/>
  <c r="AK186" i="6"/>
  <c r="AJ186" i="6"/>
  <c r="AI186" i="6"/>
  <c r="AH186" i="6"/>
  <c r="AG186" i="6"/>
  <c r="AF186" i="6"/>
  <c r="AD186" i="6"/>
  <c r="AB186" i="6"/>
  <c r="Y186" i="6"/>
  <c r="W186" i="6"/>
  <c r="V186" i="6"/>
  <c r="U186" i="6"/>
  <c r="T186" i="6"/>
  <c r="S186" i="6"/>
  <c r="R186" i="6"/>
  <c r="E185" i="6"/>
  <c r="AK185" i="6"/>
  <c r="AJ185" i="6"/>
  <c r="AI185" i="6"/>
  <c r="AH185" i="6"/>
  <c r="AG185" i="6"/>
  <c r="AF185" i="6"/>
  <c r="AD185" i="6"/>
  <c r="AB185" i="6"/>
  <c r="Y185" i="6"/>
  <c r="W185" i="6"/>
  <c r="V185" i="6"/>
  <c r="U185" i="6"/>
  <c r="T185" i="6"/>
  <c r="S185" i="6"/>
  <c r="R185" i="6"/>
  <c r="E184" i="6"/>
  <c r="AK184" i="6"/>
  <c r="AJ184" i="6"/>
  <c r="AI184" i="6"/>
  <c r="AH184" i="6"/>
  <c r="AG184" i="6"/>
  <c r="AF184" i="6"/>
  <c r="AD184" i="6"/>
  <c r="AB184" i="6"/>
  <c r="Y184" i="6"/>
  <c r="W184" i="6"/>
  <c r="V184" i="6"/>
  <c r="U184" i="6"/>
  <c r="T184" i="6"/>
  <c r="S184" i="6"/>
  <c r="R184" i="6"/>
  <c r="E183" i="6"/>
  <c r="AK183" i="6"/>
  <c r="AJ183" i="6"/>
  <c r="AI183" i="6"/>
  <c r="AH183" i="6"/>
  <c r="AG183" i="6"/>
  <c r="AF183" i="6"/>
  <c r="AD183" i="6"/>
  <c r="AB183" i="6"/>
  <c r="Y183" i="6"/>
  <c r="W183" i="6"/>
  <c r="V183" i="6"/>
  <c r="U183" i="6"/>
  <c r="T183" i="6"/>
  <c r="S183" i="6"/>
  <c r="R183" i="6"/>
  <c r="E182" i="6"/>
  <c r="AK182" i="6"/>
  <c r="AJ182" i="6"/>
  <c r="AI182" i="6"/>
  <c r="AH182" i="6"/>
  <c r="AG182" i="6"/>
  <c r="AF182" i="6"/>
  <c r="AD182" i="6"/>
  <c r="AB182" i="6"/>
  <c r="Y182" i="6"/>
  <c r="W182" i="6"/>
  <c r="V182" i="6"/>
  <c r="U182" i="6"/>
  <c r="T182" i="6"/>
  <c r="S182" i="6"/>
  <c r="R182" i="6"/>
  <c r="E181" i="6"/>
  <c r="AK181" i="6"/>
  <c r="AJ181" i="6"/>
  <c r="AI181" i="6"/>
  <c r="AH181" i="6"/>
  <c r="AG181" i="6"/>
  <c r="AF181" i="6"/>
  <c r="AD181" i="6"/>
  <c r="AB181" i="6"/>
  <c r="Y181" i="6"/>
  <c r="W181" i="6"/>
  <c r="V181" i="6"/>
  <c r="U181" i="6"/>
  <c r="T181" i="6"/>
  <c r="S181" i="6"/>
  <c r="R181" i="6"/>
  <c r="E180" i="6"/>
  <c r="AK180" i="6"/>
  <c r="AJ180" i="6"/>
  <c r="AI180" i="6"/>
  <c r="AH180" i="6"/>
  <c r="AG180" i="6"/>
  <c r="AF180" i="6"/>
  <c r="AD180" i="6"/>
  <c r="AB180" i="6"/>
  <c r="Y180" i="6"/>
  <c r="W180" i="6"/>
  <c r="V180" i="6"/>
  <c r="U180" i="6"/>
  <c r="T180" i="6"/>
  <c r="S180" i="6"/>
  <c r="R180" i="6"/>
  <c r="AK179" i="6"/>
  <c r="AJ179" i="6"/>
  <c r="AI179" i="6"/>
  <c r="AH179" i="6"/>
  <c r="AG179" i="6"/>
  <c r="AF179" i="6"/>
  <c r="AD179" i="6"/>
  <c r="AB179" i="6"/>
  <c r="Y179" i="6"/>
  <c r="W179" i="6"/>
  <c r="V179" i="6"/>
  <c r="U179" i="6"/>
  <c r="T179" i="6"/>
  <c r="S179" i="6"/>
  <c r="R179" i="6"/>
  <c r="E178" i="6"/>
  <c r="AK178" i="6"/>
  <c r="AJ178" i="6"/>
  <c r="AI178" i="6"/>
  <c r="AH178" i="6"/>
  <c r="AG178" i="6"/>
  <c r="AF178" i="6"/>
  <c r="AD178" i="6"/>
  <c r="AB178" i="6"/>
  <c r="Y178" i="6"/>
  <c r="W178" i="6"/>
  <c r="V178" i="6"/>
  <c r="U178" i="6"/>
  <c r="T178" i="6"/>
  <c r="S178" i="6"/>
  <c r="R178" i="6"/>
  <c r="E99" i="6"/>
  <c r="AK99" i="6"/>
  <c r="AJ99" i="6"/>
  <c r="AI99" i="6"/>
  <c r="AH99" i="6"/>
  <c r="AG99" i="6"/>
  <c r="AF99" i="6"/>
  <c r="AD99" i="6"/>
  <c r="AB99" i="6"/>
  <c r="Y99" i="6"/>
  <c r="W99" i="6"/>
  <c r="V99" i="6"/>
  <c r="U99" i="6"/>
  <c r="T99" i="6"/>
  <c r="I99" i="6"/>
  <c r="S99" i="6"/>
  <c r="H99" i="6"/>
  <c r="R99" i="6"/>
  <c r="AK98" i="6"/>
  <c r="AJ98" i="6"/>
  <c r="AI98" i="6"/>
  <c r="AH98" i="6"/>
  <c r="AG98" i="6"/>
  <c r="AF98" i="6"/>
  <c r="AD98" i="6"/>
  <c r="AB98" i="6"/>
  <c r="Y98" i="6"/>
  <c r="W98" i="6"/>
  <c r="V98" i="6"/>
  <c r="U98" i="6"/>
  <c r="T98" i="6"/>
  <c r="S98" i="6"/>
  <c r="H98" i="6"/>
  <c r="R98" i="6"/>
  <c r="H97" i="6"/>
  <c r="R97" i="6"/>
  <c r="S97" i="6"/>
  <c r="T97" i="6"/>
  <c r="U97" i="6"/>
  <c r="V97" i="6"/>
  <c r="W97" i="6"/>
  <c r="AK97" i="6"/>
  <c r="AJ97" i="6"/>
  <c r="AI97" i="6"/>
  <c r="AH97" i="6"/>
  <c r="AG97" i="6"/>
  <c r="AF97" i="6"/>
  <c r="AB97" i="6"/>
  <c r="AD97" i="6"/>
  <c r="Y97" i="6"/>
  <c r="AK172" i="6"/>
  <c r="AJ172" i="6"/>
  <c r="AI172" i="6"/>
  <c r="AH172" i="6"/>
  <c r="AG172" i="6"/>
  <c r="AF172" i="6"/>
  <c r="AD172" i="6"/>
  <c r="AB172" i="6"/>
  <c r="Y172" i="6"/>
  <c r="W172" i="6"/>
  <c r="V172" i="6"/>
  <c r="U172" i="6"/>
  <c r="T172" i="6"/>
  <c r="S172" i="6"/>
  <c r="H172" i="6"/>
  <c r="R172" i="6"/>
  <c r="AK92" i="6"/>
  <c r="AJ92" i="6"/>
  <c r="AI92" i="6"/>
  <c r="AH92" i="6"/>
  <c r="AG92" i="6"/>
  <c r="AF92" i="6"/>
  <c r="AD92" i="6"/>
  <c r="AB92" i="6"/>
  <c r="Y92" i="6"/>
  <c r="W92" i="6"/>
  <c r="V92" i="6"/>
  <c r="U92" i="6"/>
  <c r="T92" i="6"/>
  <c r="S92" i="6"/>
  <c r="H92" i="6"/>
  <c r="R92" i="6"/>
  <c r="AK91" i="6"/>
  <c r="AJ91" i="6"/>
  <c r="AI91" i="6"/>
  <c r="AH91" i="6"/>
  <c r="AG91" i="6"/>
  <c r="AF91" i="6"/>
  <c r="AD91" i="6"/>
  <c r="AB91" i="6"/>
  <c r="Y91" i="6"/>
  <c r="W91" i="6"/>
  <c r="V91" i="6"/>
  <c r="U91" i="6"/>
  <c r="T91" i="6"/>
  <c r="S91" i="6"/>
  <c r="H91" i="6"/>
  <c r="R91" i="6"/>
  <c r="AK131" i="6"/>
  <c r="AJ131" i="6"/>
  <c r="AI131" i="6"/>
  <c r="AH131" i="6"/>
  <c r="AG131" i="6"/>
  <c r="AF131" i="6"/>
  <c r="AD131" i="6"/>
  <c r="AB131" i="6"/>
  <c r="Y131" i="6"/>
  <c r="W131" i="6"/>
  <c r="V131" i="6"/>
  <c r="U131" i="6"/>
  <c r="T131" i="6"/>
  <c r="S131" i="6"/>
  <c r="H131" i="6"/>
  <c r="R131" i="6"/>
  <c r="AK130" i="6"/>
  <c r="AJ130" i="6"/>
  <c r="AI130" i="6"/>
  <c r="AH130" i="6"/>
  <c r="AG130" i="6"/>
  <c r="AF130" i="6"/>
  <c r="AD130" i="6"/>
  <c r="AB130" i="6"/>
  <c r="Y130" i="6"/>
  <c r="W130" i="6"/>
  <c r="V130" i="6"/>
  <c r="U130" i="6"/>
  <c r="T130" i="6"/>
  <c r="S130" i="6"/>
  <c r="H130" i="6"/>
  <c r="R130" i="6"/>
  <c r="AK13" i="6"/>
  <c r="AJ13" i="6"/>
  <c r="AI13" i="6"/>
  <c r="AH13" i="6"/>
  <c r="AG13" i="6"/>
  <c r="AF13" i="6"/>
  <c r="AD13" i="6"/>
  <c r="AB13" i="6"/>
  <c r="Y13" i="6"/>
  <c r="W13" i="6"/>
  <c r="V13" i="6"/>
  <c r="U13" i="6"/>
  <c r="T13" i="6"/>
  <c r="S13" i="6"/>
  <c r="R13" i="6"/>
  <c r="AK12" i="6"/>
  <c r="AJ12" i="6"/>
  <c r="AI12" i="6"/>
  <c r="AH12" i="6"/>
  <c r="AG12" i="6"/>
  <c r="AF12" i="6"/>
  <c r="AD12" i="6"/>
  <c r="AB12" i="6"/>
  <c r="Y12" i="6"/>
  <c r="W12" i="6"/>
  <c r="V12" i="6"/>
  <c r="U12" i="6"/>
  <c r="T12" i="6"/>
  <c r="S12" i="6"/>
  <c r="R12" i="6"/>
  <c r="E44" i="6"/>
  <c r="AD44" i="6"/>
  <c r="AD47" i="6"/>
  <c r="AB7" i="6"/>
  <c r="AI7" i="6"/>
  <c r="AD7" i="6"/>
  <c r="AH44" i="6"/>
  <c r="AH47" i="6"/>
  <c r="AH7" i="6"/>
  <c r="AB44" i="6"/>
  <c r="AB47" i="6"/>
  <c r="AD127" i="6"/>
  <c r="AD129" i="6"/>
  <c r="E221" i="6"/>
  <c r="AD221" i="6"/>
  <c r="E222" i="6"/>
  <c r="AD222" i="6"/>
  <c r="AH129" i="6"/>
  <c r="AH127" i="6"/>
  <c r="AH221" i="6"/>
  <c r="AH222" i="6"/>
  <c r="AB127" i="6"/>
  <c r="AB129" i="6"/>
  <c r="AB221" i="6"/>
  <c r="AB222" i="6"/>
  <c r="E219" i="6"/>
  <c r="AD219" i="6"/>
  <c r="E220" i="6"/>
  <c r="AD220" i="6"/>
  <c r="AH219" i="6"/>
  <c r="AH220" i="6"/>
  <c r="AB219" i="6"/>
  <c r="AB220" i="6"/>
  <c r="AB28" i="6"/>
  <c r="AI28" i="6"/>
  <c r="AD28" i="6"/>
  <c r="AD32" i="6"/>
  <c r="E80" i="6"/>
  <c r="AD80" i="6"/>
  <c r="AD90" i="6"/>
  <c r="E193" i="6"/>
  <c r="AD193" i="6"/>
  <c r="E388" i="6"/>
  <c r="AD388" i="6"/>
  <c r="E389" i="6"/>
  <c r="AD389" i="6"/>
  <c r="AD441" i="6"/>
  <c r="E442" i="6"/>
  <c r="AD442" i="6"/>
  <c r="AB8" i="6"/>
  <c r="AI8" i="6"/>
  <c r="AD8" i="6"/>
  <c r="AD9" i="6"/>
  <c r="AB10" i="6"/>
  <c r="AI10" i="6"/>
  <c r="AD10" i="6"/>
  <c r="AD11" i="6"/>
  <c r="AB22" i="6"/>
  <c r="AI22" i="6"/>
  <c r="AD22" i="6"/>
  <c r="AD23" i="6"/>
  <c r="AD24" i="6"/>
  <c r="AD25" i="6"/>
  <c r="AD26" i="6"/>
  <c r="AB27" i="6"/>
  <c r="AI27" i="6"/>
  <c r="AD27" i="6"/>
  <c r="AD29" i="6"/>
  <c r="AB30" i="6"/>
  <c r="AI30" i="6"/>
  <c r="AD30" i="6"/>
  <c r="AB31" i="6"/>
  <c r="AI31" i="6"/>
  <c r="AD31" i="6"/>
  <c r="AD33" i="6"/>
  <c r="F35" i="6"/>
  <c r="AB35" i="6"/>
  <c r="AI35" i="6"/>
  <c r="AD35" i="6"/>
  <c r="AD36" i="6"/>
  <c r="AB37" i="6"/>
  <c r="AI37" i="6"/>
  <c r="AD37" i="6"/>
  <c r="AB40" i="6"/>
  <c r="AI40" i="6"/>
  <c r="AD40" i="6"/>
  <c r="AD41" i="6"/>
  <c r="AB42" i="6"/>
  <c r="AI42" i="6"/>
  <c r="AD42" i="6"/>
  <c r="E43" i="6"/>
  <c r="AD43" i="6"/>
  <c r="AB45" i="6"/>
  <c r="AI45" i="6"/>
  <c r="AD45" i="6"/>
  <c r="AB46" i="6"/>
  <c r="AI46" i="6"/>
  <c r="AD46" i="6"/>
  <c r="AB48" i="6"/>
  <c r="AI48" i="6"/>
  <c r="AD48" i="6"/>
  <c r="AD49" i="6"/>
  <c r="E50" i="6"/>
  <c r="AD50" i="6"/>
  <c r="E51" i="6"/>
  <c r="AD51" i="6"/>
  <c r="AB52" i="6"/>
  <c r="AI52" i="6"/>
  <c r="AD52" i="6"/>
  <c r="AB53" i="6"/>
  <c r="AI53" i="6"/>
  <c r="AD53" i="6"/>
  <c r="E54" i="6"/>
  <c r="AD54" i="6"/>
  <c r="E55" i="6"/>
  <c r="AD55" i="6"/>
  <c r="AB56" i="6"/>
  <c r="AI56" i="6"/>
  <c r="AD56" i="6"/>
  <c r="AD62" i="6"/>
  <c r="AD63" i="6"/>
  <c r="AD64" i="6"/>
  <c r="E65" i="6"/>
  <c r="AD65" i="6"/>
  <c r="E66" i="6"/>
  <c r="AD66" i="6"/>
  <c r="AD67" i="6"/>
  <c r="AD68" i="6"/>
  <c r="AD69" i="6"/>
  <c r="AD70" i="6"/>
  <c r="E71" i="6"/>
  <c r="AD71" i="6"/>
  <c r="E72" i="6"/>
  <c r="AD72" i="6"/>
  <c r="E73" i="6"/>
  <c r="AD73" i="6"/>
  <c r="E74" i="6"/>
  <c r="AD74" i="6"/>
  <c r="E75" i="6"/>
  <c r="AD75" i="6"/>
  <c r="E76" i="6"/>
  <c r="AD76" i="6"/>
  <c r="E77" i="6"/>
  <c r="AD77" i="6"/>
  <c r="E78" i="6"/>
  <c r="AD78" i="6"/>
  <c r="E79" i="6"/>
  <c r="AD79" i="6"/>
  <c r="E81" i="6"/>
  <c r="AD81" i="6"/>
  <c r="E82" i="6"/>
  <c r="AD82" i="6"/>
  <c r="E83" i="6"/>
  <c r="AD83" i="6"/>
  <c r="E84" i="6"/>
  <c r="AD84" i="6"/>
  <c r="E85" i="6"/>
  <c r="AD85" i="6"/>
  <c r="E100" i="6"/>
  <c r="AD100" i="6"/>
  <c r="E101" i="6"/>
  <c r="AD101" i="6"/>
  <c r="E102" i="6"/>
  <c r="AD102" i="6"/>
  <c r="E103" i="6"/>
  <c r="AD103" i="6"/>
  <c r="AB104" i="6"/>
  <c r="AI104" i="6"/>
  <c r="AD104" i="6"/>
  <c r="E105" i="6"/>
  <c r="AD105" i="6"/>
  <c r="AD106" i="6"/>
  <c r="AD107" i="6"/>
  <c r="E108" i="6"/>
  <c r="AD108" i="6"/>
  <c r="E109" i="6"/>
  <c r="AD109" i="6"/>
  <c r="E110" i="6"/>
  <c r="AD110" i="6"/>
  <c r="E111" i="6"/>
  <c r="AD111" i="6"/>
  <c r="AB112" i="6"/>
  <c r="AI112" i="6"/>
  <c r="AD112" i="6"/>
  <c r="AD113" i="6"/>
  <c r="AB119" i="6"/>
  <c r="AI119" i="6"/>
  <c r="AD119" i="6"/>
  <c r="AB121" i="6"/>
  <c r="AI121" i="6"/>
  <c r="AD121" i="6"/>
  <c r="AD122" i="6"/>
  <c r="AD123" i="6"/>
  <c r="AD126" i="6"/>
  <c r="AD128" i="6"/>
  <c r="E132" i="6"/>
  <c r="AD132" i="6"/>
  <c r="AB133" i="6"/>
  <c r="AI133" i="6"/>
  <c r="AD133" i="6"/>
  <c r="AB134" i="6"/>
  <c r="AI134" i="6"/>
  <c r="AD134" i="6"/>
  <c r="AD135" i="6"/>
  <c r="AD136" i="6"/>
  <c r="E137" i="6"/>
  <c r="AD137" i="6"/>
  <c r="AD138" i="6"/>
  <c r="AD139" i="6"/>
  <c r="AD140" i="6"/>
  <c r="E141" i="6"/>
  <c r="AD141" i="6"/>
  <c r="AB142" i="6"/>
  <c r="AI142" i="6"/>
  <c r="AD142" i="6"/>
  <c r="E143" i="6"/>
  <c r="AD143" i="6"/>
  <c r="AD144" i="6"/>
  <c r="AD145" i="6"/>
  <c r="AD146" i="6"/>
  <c r="E149" i="6"/>
  <c r="AD149" i="6"/>
  <c r="E150" i="6"/>
  <c r="AD150" i="6"/>
  <c r="AD153" i="6"/>
  <c r="E159" i="6"/>
  <c r="AD159" i="6"/>
  <c r="AD160" i="6"/>
  <c r="AD161" i="6"/>
  <c r="AD164" i="6"/>
  <c r="AD165" i="6"/>
  <c r="AD166" i="6"/>
  <c r="E167" i="6"/>
  <c r="AD167" i="6"/>
  <c r="E168" i="6"/>
  <c r="AD168" i="6"/>
  <c r="AD169" i="6"/>
  <c r="AB170" i="6"/>
  <c r="AI170" i="6"/>
  <c r="AD170" i="6"/>
  <c r="AD171" i="6"/>
  <c r="E194" i="6"/>
  <c r="AD194" i="6"/>
  <c r="AD195" i="6"/>
  <c r="AD196" i="6"/>
  <c r="AD197" i="6"/>
  <c r="E198" i="6"/>
  <c r="AD198" i="6"/>
  <c r="E199" i="6"/>
  <c r="AD199" i="6"/>
  <c r="E200" i="6"/>
  <c r="AD200" i="6"/>
  <c r="E201" i="6"/>
  <c r="AD201" i="6"/>
  <c r="E202" i="6"/>
  <c r="AD202" i="6"/>
  <c r="E203" i="6"/>
  <c r="AD203" i="6"/>
  <c r="E204" i="6"/>
  <c r="AD204" i="6"/>
  <c r="AD205" i="6"/>
  <c r="AD206" i="6"/>
  <c r="AD207" i="6"/>
  <c r="AD208" i="6"/>
  <c r="AD209" i="6"/>
  <c r="AD210" i="6"/>
  <c r="AB212" i="6"/>
  <c r="AI212" i="6"/>
  <c r="AD212" i="6"/>
  <c r="E213" i="6"/>
  <c r="AD213" i="6"/>
  <c r="E214" i="6"/>
  <c r="AD214" i="6"/>
  <c r="AD215" i="6"/>
  <c r="E217" i="6"/>
  <c r="AD217" i="6"/>
  <c r="AB218" i="6"/>
  <c r="AI218" i="6"/>
  <c r="AD218" i="6"/>
  <c r="AD223" i="6"/>
  <c r="E230" i="6"/>
  <c r="AD230" i="6"/>
  <c r="E231" i="6"/>
  <c r="AD231" i="6"/>
  <c r="AB232" i="6"/>
  <c r="AI232" i="6"/>
  <c r="AD232" i="6"/>
  <c r="E233" i="6"/>
  <c r="AD233" i="6"/>
  <c r="E234" i="6"/>
  <c r="AD234" i="6"/>
  <c r="AB235" i="6"/>
  <c r="AI235" i="6"/>
  <c r="AD235" i="6"/>
  <c r="E236" i="6"/>
  <c r="AD236" i="6"/>
  <c r="E237" i="6"/>
  <c r="AD237" i="6"/>
  <c r="AB238" i="6"/>
  <c r="AI238" i="6"/>
  <c r="AD238" i="6"/>
  <c r="E239" i="6"/>
  <c r="AD239" i="6"/>
  <c r="E240" i="6"/>
  <c r="AD240" i="6"/>
  <c r="AD241" i="6"/>
  <c r="E242" i="6"/>
  <c r="AD242" i="6"/>
  <c r="E243" i="6"/>
  <c r="AD243" i="6"/>
  <c r="E244" i="6"/>
  <c r="AD244" i="6"/>
  <c r="E245" i="6"/>
  <c r="AD245" i="6"/>
  <c r="E248" i="6"/>
  <c r="AD248" i="6"/>
  <c r="E249" i="6"/>
  <c r="AD249" i="6"/>
  <c r="E250" i="6"/>
  <c r="AD250" i="6"/>
  <c r="AB251" i="6"/>
  <c r="AI251" i="6"/>
  <c r="AD251" i="6"/>
  <c r="AD252" i="6"/>
  <c r="AD253" i="6"/>
  <c r="E254" i="6"/>
  <c r="AD254" i="6"/>
  <c r="E255" i="6"/>
  <c r="AD255" i="6"/>
  <c r="E256" i="6"/>
  <c r="AD256" i="6"/>
  <c r="E257" i="6"/>
  <c r="AD257" i="6"/>
  <c r="E262" i="6"/>
  <c r="AD262" i="6"/>
  <c r="E263" i="6"/>
  <c r="AD263" i="6"/>
  <c r="AB264" i="6"/>
  <c r="AI264" i="6"/>
  <c r="AD264" i="6"/>
  <c r="E265" i="6"/>
  <c r="AD265" i="6"/>
  <c r="AB266" i="6"/>
  <c r="AI266" i="6"/>
  <c r="AD266" i="6"/>
  <c r="AD267" i="6"/>
  <c r="E268" i="6"/>
  <c r="AD268" i="6"/>
  <c r="E269" i="6"/>
  <c r="AD269" i="6"/>
  <c r="E270" i="6"/>
  <c r="AD270" i="6"/>
  <c r="E271" i="6"/>
  <c r="AD271" i="6"/>
  <c r="E272" i="6"/>
  <c r="AD272" i="6"/>
  <c r="AB279" i="6"/>
  <c r="AI279" i="6"/>
  <c r="AD279" i="6"/>
  <c r="AB280" i="6"/>
  <c r="AI280" i="6"/>
  <c r="AD280" i="6"/>
  <c r="E281" i="6"/>
  <c r="AD281" i="6"/>
  <c r="E282" i="6"/>
  <c r="AD282" i="6"/>
  <c r="E283" i="6"/>
  <c r="AD283" i="6"/>
  <c r="E284" i="6"/>
  <c r="AD284" i="6"/>
  <c r="AB285" i="6"/>
  <c r="AI285" i="6"/>
  <c r="AD285" i="6"/>
  <c r="AB286" i="6"/>
  <c r="AI286" i="6"/>
  <c r="AD286" i="6"/>
  <c r="AD287" i="6"/>
  <c r="E288" i="6"/>
  <c r="AD288" i="6"/>
  <c r="AB289" i="6"/>
  <c r="AI289" i="6"/>
  <c r="AD289" i="6"/>
  <c r="AB290" i="6"/>
  <c r="AI290" i="6"/>
  <c r="AD290" i="6"/>
  <c r="E291" i="6"/>
  <c r="AD291" i="6"/>
  <c r="E292" i="6"/>
  <c r="AD292" i="6"/>
  <c r="E293" i="6"/>
  <c r="AD293" i="6"/>
  <c r="E294" i="6"/>
  <c r="AD294" i="6"/>
  <c r="E295" i="6"/>
  <c r="AD295" i="6"/>
  <c r="E296" i="6"/>
  <c r="AD296" i="6"/>
  <c r="E297" i="6"/>
  <c r="AD297" i="6"/>
  <c r="E298" i="6"/>
  <c r="AD298" i="6"/>
  <c r="E299" i="6"/>
  <c r="AD299" i="6"/>
  <c r="E300" i="6"/>
  <c r="AD300" i="6"/>
  <c r="E301" i="6"/>
  <c r="AD301" i="6"/>
  <c r="E302" i="6"/>
  <c r="AD302" i="6"/>
  <c r="E303" i="6"/>
  <c r="AD303" i="6"/>
  <c r="E304" i="6"/>
  <c r="AD304" i="6"/>
  <c r="AD305" i="6"/>
  <c r="AB311" i="6"/>
  <c r="AI311" i="6"/>
  <c r="AD311" i="6"/>
  <c r="AB312" i="6"/>
  <c r="AI312" i="6"/>
  <c r="AD312" i="6"/>
  <c r="E313" i="6"/>
  <c r="AD313" i="6"/>
  <c r="E314" i="6"/>
  <c r="AD314" i="6"/>
  <c r="AB315" i="6"/>
  <c r="AI315" i="6"/>
  <c r="AD315" i="6"/>
  <c r="AB316" i="6"/>
  <c r="AI316" i="6"/>
  <c r="AD316" i="6"/>
  <c r="E317" i="6"/>
  <c r="AD317" i="6"/>
  <c r="E318" i="6"/>
  <c r="AD318" i="6"/>
  <c r="E319" i="6"/>
  <c r="AD319" i="6"/>
  <c r="E320" i="6"/>
  <c r="AD320" i="6"/>
  <c r="E321" i="6"/>
  <c r="AD321" i="6"/>
  <c r="E322" i="6"/>
  <c r="AD322" i="6"/>
  <c r="E323" i="6"/>
  <c r="AD323" i="6"/>
  <c r="E324" i="6"/>
  <c r="AD324" i="6"/>
  <c r="E325" i="6"/>
  <c r="AD325" i="6"/>
  <c r="E326" i="6"/>
  <c r="AD326" i="6"/>
  <c r="E327" i="6"/>
  <c r="AD327" i="6"/>
  <c r="E328" i="6"/>
  <c r="AD328" i="6"/>
  <c r="E329" i="6"/>
  <c r="AD329" i="6"/>
  <c r="E330" i="6"/>
  <c r="AD330" i="6"/>
  <c r="E333" i="6"/>
  <c r="AD333" i="6"/>
  <c r="E334" i="6"/>
  <c r="AD334" i="6"/>
  <c r="AB335" i="6"/>
  <c r="AI335" i="6"/>
  <c r="AD335" i="6"/>
  <c r="AB336" i="6"/>
  <c r="AI336" i="6"/>
  <c r="AD336" i="6"/>
  <c r="E337" i="6"/>
  <c r="AD337" i="6"/>
  <c r="AB338" i="6"/>
  <c r="AI338" i="6"/>
  <c r="AD338" i="6"/>
  <c r="AB339" i="6"/>
  <c r="AI339" i="6"/>
  <c r="AD339" i="6"/>
  <c r="AB340" i="6"/>
  <c r="AI340" i="6"/>
  <c r="AD340" i="6"/>
  <c r="AB341" i="6"/>
  <c r="AI341" i="6"/>
  <c r="AD341" i="6"/>
  <c r="AB342" i="6"/>
  <c r="AI342" i="6"/>
  <c r="AD342" i="6"/>
  <c r="E343" i="6"/>
  <c r="AD343" i="6"/>
  <c r="E344" i="6"/>
  <c r="AD344" i="6"/>
  <c r="E345" i="6"/>
  <c r="AD345" i="6"/>
  <c r="E346" i="6"/>
  <c r="AD346" i="6"/>
  <c r="E347" i="6"/>
  <c r="AD347" i="6"/>
  <c r="E348" i="6"/>
  <c r="AD348" i="6"/>
  <c r="E349" i="6"/>
  <c r="AD349" i="6"/>
  <c r="E350" i="6"/>
  <c r="AD350" i="6"/>
  <c r="E351" i="6"/>
  <c r="AD351" i="6"/>
  <c r="E352" i="6"/>
  <c r="AD352" i="6"/>
  <c r="AB353" i="6"/>
  <c r="AI353" i="6"/>
  <c r="AD353" i="6"/>
  <c r="AB354" i="6"/>
  <c r="AI354" i="6"/>
  <c r="AD354" i="6"/>
  <c r="E357" i="6"/>
  <c r="AD357" i="6"/>
  <c r="AB358" i="6"/>
  <c r="AI358" i="6"/>
  <c r="AD358" i="6"/>
  <c r="E359" i="6"/>
  <c r="AD359" i="6"/>
  <c r="AB360" i="6"/>
  <c r="AI360" i="6"/>
  <c r="AD360" i="6"/>
  <c r="AB369" i="6"/>
  <c r="AI369" i="6"/>
  <c r="AD369" i="6"/>
  <c r="AB370" i="6"/>
  <c r="AI370" i="6"/>
  <c r="AD370" i="6"/>
  <c r="E371" i="6"/>
  <c r="AD371" i="6"/>
  <c r="AB372" i="6"/>
  <c r="AI372" i="6"/>
  <c r="AD372" i="6"/>
  <c r="E373" i="6"/>
  <c r="AD373" i="6"/>
  <c r="AB374" i="6"/>
  <c r="AI374" i="6"/>
  <c r="AD374" i="6"/>
  <c r="E378" i="6"/>
  <c r="AD378" i="6"/>
  <c r="AD379" i="6"/>
  <c r="E380" i="6"/>
  <c r="AD380" i="6"/>
  <c r="E381" i="6"/>
  <c r="AD381" i="6"/>
  <c r="E382" i="6"/>
  <c r="AD382" i="6"/>
  <c r="AB383" i="6"/>
  <c r="AI383" i="6"/>
  <c r="AD383" i="6"/>
  <c r="E384" i="6"/>
  <c r="AD384" i="6"/>
  <c r="E385" i="6"/>
  <c r="AD385" i="6"/>
  <c r="E386" i="6"/>
  <c r="AD386" i="6"/>
  <c r="E387" i="6"/>
  <c r="AD387" i="6"/>
  <c r="AD390" i="6"/>
  <c r="E392" i="6"/>
  <c r="AD392" i="6"/>
  <c r="E393" i="6"/>
  <c r="AD393" i="6"/>
  <c r="E394" i="6"/>
  <c r="AD394" i="6"/>
  <c r="E395" i="6"/>
  <c r="AD395" i="6"/>
  <c r="E396" i="6"/>
  <c r="AD396" i="6"/>
  <c r="E397" i="6"/>
  <c r="AD397" i="6"/>
  <c r="E398" i="6"/>
  <c r="AD398" i="6"/>
  <c r="E399" i="6"/>
  <c r="AD399" i="6"/>
  <c r="E400" i="6"/>
  <c r="AD400" i="6"/>
  <c r="E401" i="6"/>
  <c r="AD401" i="6"/>
  <c r="E405" i="6"/>
  <c r="AD405" i="6"/>
  <c r="E406" i="6"/>
  <c r="AD406" i="6"/>
  <c r="E407" i="6"/>
  <c r="AD407" i="6"/>
  <c r="E408" i="6"/>
  <c r="AD408" i="6"/>
  <c r="E409" i="6"/>
  <c r="AD409" i="6"/>
  <c r="E410" i="6"/>
  <c r="AD410" i="6"/>
  <c r="E411" i="6"/>
  <c r="AD411" i="6"/>
  <c r="AD412" i="6"/>
  <c r="AD414" i="6"/>
  <c r="AD416" i="6"/>
  <c r="E418" i="6"/>
  <c r="AD418" i="6"/>
  <c r="E419" i="6"/>
  <c r="AD419" i="6"/>
  <c r="E420" i="6"/>
  <c r="AD420" i="6"/>
  <c r="E421" i="6"/>
  <c r="AD421" i="6"/>
  <c r="E422" i="6"/>
  <c r="AD422" i="6"/>
  <c r="E423" i="6"/>
  <c r="AD423" i="6"/>
  <c r="E424" i="6"/>
  <c r="AD424" i="6"/>
  <c r="AD425" i="6"/>
  <c r="AD426" i="6"/>
  <c r="AD429" i="6"/>
  <c r="E430" i="6"/>
  <c r="AD430" i="6"/>
  <c r="E431" i="6"/>
  <c r="AD431" i="6"/>
  <c r="E432" i="6"/>
  <c r="AD432" i="6"/>
  <c r="AD433" i="6"/>
  <c r="AD434" i="6"/>
  <c r="AD435" i="6"/>
  <c r="E436" i="6"/>
  <c r="AD436" i="6"/>
  <c r="E437" i="6"/>
  <c r="AD437" i="6"/>
  <c r="E438" i="6"/>
  <c r="AD438" i="6"/>
  <c r="E439" i="6"/>
  <c r="AD439" i="6"/>
  <c r="AD440" i="6"/>
  <c r="E443" i="6"/>
  <c r="AD443" i="6"/>
  <c r="E444" i="6"/>
  <c r="AD444" i="6"/>
  <c r="E445" i="6"/>
  <c r="AD445" i="6"/>
  <c r="E446" i="6"/>
  <c r="AD446" i="6"/>
  <c r="E447" i="6"/>
  <c r="AD447" i="6"/>
  <c r="E448" i="6"/>
  <c r="AD448" i="6"/>
  <c r="E449" i="6"/>
  <c r="AD449" i="6"/>
  <c r="E450" i="6"/>
  <c r="AD450" i="6"/>
  <c r="E451" i="6"/>
  <c r="AD451" i="6"/>
  <c r="E452" i="6"/>
  <c r="AD452" i="6"/>
  <c r="E460" i="6"/>
  <c r="AD460" i="6"/>
  <c r="E461" i="6"/>
  <c r="AD461" i="6"/>
  <c r="AH28" i="6"/>
  <c r="AH32" i="6"/>
  <c r="AH80" i="6"/>
  <c r="AH90" i="6"/>
  <c r="AH193" i="6"/>
  <c r="AH388" i="6"/>
  <c r="AH389" i="6"/>
  <c r="AH441" i="6"/>
  <c r="AH442" i="6"/>
  <c r="AH8" i="6"/>
  <c r="AH9" i="6"/>
  <c r="AH10" i="6"/>
  <c r="AH11" i="6"/>
  <c r="AH22" i="6"/>
  <c r="AH23" i="6"/>
  <c r="AH24" i="6"/>
  <c r="AH25" i="6"/>
  <c r="AH26" i="6"/>
  <c r="AH27" i="6"/>
  <c r="AH29" i="6"/>
  <c r="AH30" i="6"/>
  <c r="AH31" i="6"/>
  <c r="AH33" i="6"/>
  <c r="AH35" i="6"/>
  <c r="AH36" i="6"/>
  <c r="AH37" i="6"/>
  <c r="AH40" i="6"/>
  <c r="AH41" i="6"/>
  <c r="AH42" i="6"/>
  <c r="AH43" i="6"/>
  <c r="AH45" i="6"/>
  <c r="AH46" i="6"/>
  <c r="AH48" i="6"/>
  <c r="AH49" i="6"/>
  <c r="AH50" i="6"/>
  <c r="AH51" i="6"/>
  <c r="AH52" i="6"/>
  <c r="AH53" i="6"/>
  <c r="AH54" i="6"/>
  <c r="AH55" i="6"/>
  <c r="AH56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1" i="6"/>
  <c r="AH82" i="6"/>
  <c r="AH83" i="6"/>
  <c r="AH84" i="6"/>
  <c r="AH85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9" i="6"/>
  <c r="AH121" i="6"/>
  <c r="AH122" i="6"/>
  <c r="AH123" i="6"/>
  <c r="AH126" i="6"/>
  <c r="AH128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9" i="6"/>
  <c r="AH150" i="6"/>
  <c r="AH153" i="6"/>
  <c r="AH159" i="6"/>
  <c r="AH160" i="6"/>
  <c r="AH161" i="6"/>
  <c r="AH164" i="6"/>
  <c r="AH165" i="6"/>
  <c r="AH166" i="6"/>
  <c r="AH167" i="6"/>
  <c r="AH168" i="6"/>
  <c r="AH169" i="6"/>
  <c r="AH170" i="6"/>
  <c r="AH171" i="6"/>
  <c r="AH194" i="6"/>
  <c r="AH195" i="6"/>
  <c r="AH196" i="6"/>
  <c r="AH197" i="6"/>
  <c r="AH198" i="6"/>
  <c r="AH199" i="6"/>
  <c r="AH200" i="6"/>
  <c r="AH201" i="6"/>
  <c r="AH202" i="6"/>
  <c r="AH203" i="6"/>
  <c r="AH204" i="6"/>
  <c r="AH205" i="6"/>
  <c r="AH206" i="6"/>
  <c r="AH207" i="6"/>
  <c r="AH208" i="6"/>
  <c r="AH209" i="6"/>
  <c r="AH210" i="6"/>
  <c r="AH212" i="6"/>
  <c r="AH213" i="6"/>
  <c r="AH214" i="6"/>
  <c r="AH215" i="6"/>
  <c r="AH217" i="6"/>
  <c r="AH218" i="6"/>
  <c r="AH223" i="6"/>
  <c r="AH230" i="6"/>
  <c r="AH231" i="6"/>
  <c r="AH232" i="6"/>
  <c r="AH233" i="6"/>
  <c r="AH234" i="6"/>
  <c r="AH235" i="6"/>
  <c r="AH236" i="6"/>
  <c r="AH237" i="6"/>
  <c r="AH238" i="6"/>
  <c r="AH239" i="6"/>
  <c r="AH240" i="6"/>
  <c r="AH241" i="6"/>
  <c r="AH242" i="6"/>
  <c r="AH243" i="6"/>
  <c r="AH244" i="6"/>
  <c r="AH245" i="6"/>
  <c r="AH248" i="6"/>
  <c r="AH249" i="6"/>
  <c r="AH250" i="6"/>
  <c r="AH251" i="6"/>
  <c r="AH252" i="6"/>
  <c r="AH253" i="6"/>
  <c r="AH254" i="6"/>
  <c r="AH255" i="6"/>
  <c r="AH256" i="6"/>
  <c r="AH257" i="6"/>
  <c r="AH262" i="6"/>
  <c r="AH263" i="6"/>
  <c r="AH264" i="6"/>
  <c r="AH265" i="6"/>
  <c r="AH266" i="6"/>
  <c r="AH267" i="6"/>
  <c r="AH268" i="6"/>
  <c r="AH269" i="6"/>
  <c r="AH270" i="6"/>
  <c r="AH271" i="6"/>
  <c r="AH272" i="6"/>
  <c r="AH279" i="6"/>
  <c r="AH280" i="6"/>
  <c r="AH281" i="6"/>
  <c r="AH282" i="6"/>
  <c r="AH283" i="6"/>
  <c r="AH284" i="6"/>
  <c r="AH285" i="6"/>
  <c r="AH286" i="6"/>
  <c r="AH287" i="6"/>
  <c r="AH288" i="6"/>
  <c r="AH289" i="6"/>
  <c r="AH290" i="6"/>
  <c r="AH291" i="6"/>
  <c r="AH292" i="6"/>
  <c r="AH293" i="6"/>
  <c r="AH294" i="6"/>
  <c r="AH295" i="6"/>
  <c r="AH296" i="6"/>
  <c r="AH297" i="6"/>
  <c r="AH298" i="6"/>
  <c r="AH299" i="6"/>
  <c r="AH300" i="6"/>
  <c r="AH301" i="6"/>
  <c r="AH302" i="6"/>
  <c r="AH303" i="6"/>
  <c r="AH304" i="6"/>
  <c r="AH305" i="6"/>
  <c r="AH311" i="6"/>
  <c r="AH312" i="6"/>
  <c r="AH313" i="6"/>
  <c r="AH314" i="6"/>
  <c r="AH315" i="6"/>
  <c r="AH316" i="6"/>
  <c r="AH317" i="6"/>
  <c r="AH318" i="6"/>
  <c r="AH319" i="6"/>
  <c r="AH320" i="6"/>
  <c r="AH321" i="6"/>
  <c r="AH322" i="6"/>
  <c r="AH323" i="6"/>
  <c r="AH324" i="6"/>
  <c r="AH325" i="6"/>
  <c r="AH326" i="6"/>
  <c r="AH327" i="6"/>
  <c r="AH328" i="6"/>
  <c r="AH329" i="6"/>
  <c r="AH330" i="6"/>
  <c r="AH333" i="6"/>
  <c r="AH334" i="6"/>
  <c r="AH335" i="6"/>
  <c r="AH336" i="6"/>
  <c r="AH337" i="6"/>
  <c r="AH338" i="6"/>
  <c r="AH339" i="6"/>
  <c r="AH340" i="6"/>
  <c r="AH341" i="6"/>
  <c r="AH342" i="6"/>
  <c r="AH343" i="6"/>
  <c r="AH344" i="6"/>
  <c r="AH345" i="6"/>
  <c r="AH346" i="6"/>
  <c r="AH347" i="6"/>
  <c r="AH348" i="6"/>
  <c r="AH349" i="6"/>
  <c r="AH350" i="6"/>
  <c r="AH351" i="6"/>
  <c r="AH352" i="6"/>
  <c r="AH353" i="6"/>
  <c r="AH354" i="6"/>
  <c r="AH357" i="6"/>
  <c r="AH358" i="6"/>
  <c r="AH359" i="6"/>
  <c r="AH360" i="6"/>
  <c r="AH369" i="6"/>
  <c r="AH370" i="6"/>
  <c r="AH371" i="6"/>
  <c r="AH372" i="6"/>
  <c r="AH373" i="6"/>
  <c r="AH374" i="6"/>
  <c r="AH378" i="6"/>
  <c r="AH379" i="6"/>
  <c r="AH380" i="6"/>
  <c r="AH381" i="6"/>
  <c r="AH382" i="6"/>
  <c r="AH383" i="6"/>
  <c r="AH384" i="6"/>
  <c r="AH385" i="6"/>
  <c r="AH386" i="6"/>
  <c r="AH387" i="6"/>
  <c r="AH390" i="6"/>
  <c r="AH392" i="6"/>
  <c r="AH393" i="6"/>
  <c r="AH394" i="6"/>
  <c r="AH395" i="6"/>
  <c r="AH396" i="6"/>
  <c r="AH397" i="6"/>
  <c r="AH398" i="6"/>
  <c r="AH399" i="6"/>
  <c r="AH400" i="6"/>
  <c r="AH401" i="6"/>
  <c r="AH405" i="6"/>
  <c r="AH406" i="6"/>
  <c r="AH407" i="6"/>
  <c r="AH408" i="6"/>
  <c r="AH409" i="6"/>
  <c r="AH410" i="6"/>
  <c r="AH411" i="6"/>
  <c r="AH412" i="6"/>
  <c r="AH414" i="6"/>
  <c r="AH416" i="6"/>
  <c r="AH418" i="6"/>
  <c r="AH419" i="6"/>
  <c r="AH420" i="6"/>
  <c r="AH421" i="6"/>
  <c r="AH422" i="6"/>
  <c r="AH423" i="6"/>
  <c r="AH424" i="6"/>
  <c r="AH425" i="6"/>
  <c r="AH426" i="6"/>
  <c r="AH429" i="6"/>
  <c r="AH430" i="6"/>
  <c r="AH431" i="6"/>
  <c r="AH432" i="6"/>
  <c r="AH433" i="6"/>
  <c r="AH434" i="6"/>
  <c r="AH435" i="6"/>
  <c r="AH436" i="6"/>
  <c r="AH437" i="6"/>
  <c r="AH438" i="6"/>
  <c r="AH439" i="6"/>
  <c r="AH440" i="6"/>
  <c r="AH443" i="6"/>
  <c r="AH444" i="6"/>
  <c r="AH445" i="6"/>
  <c r="AH446" i="6"/>
  <c r="AH447" i="6"/>
  <c r="AH448" i="6"/>
  <c r="AH449" i="6"/>
  <c r="AH450" i="6"/>
  <c r="AH451" i="6"/>
  <c r="AH452" i="6"/>
  <c r="AH460" i="6"/>
  <c r="AH461" i="6"/>
  <c r="AB32" i="6"/>
  <c r="AB80" i="6"/>
  <c r="AB90" i="6"/>
  <c r="AB193" i="6"/>
  <c r="AB388" i="6"/>
  <c r="AB389" i="6"/>
  <c r="AB441" i="6"/>
  <c r="AB442" i="6"/>
  <c r="AB9" i="6"/>
  <c r="AB11" i="6"/>
  <c r="AB23" i="6"/>
  <c r="AB24" i="6"/>
  <c r="AB25" i="6"/>
  <c r="AB26" i="6"/>
  <c r="AB29" i="6"/>
  <c r="AB33" i="6"/>
  <c r="AB36" i="6"/>
  <c r="AB41" i="6"/>
  <c r="AB43" i="6"/>
  <c r="AB49" i="6"/>
  <c r="AB50" i="6"/>
  <c r="AB51" i="6"/>
  <c r="AB54" i="6"/>
  <c r="AB55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1" i="6"/>
  <c r="AB82" i="6"/>
  <c r="AB83" i="6"/>
  <c r="AB84" i="6"/>
  <c r="AB85" i="6"/>
  <c r="AB100" i="6"/>
  <c r="AB101" i="6"/>
  <c r="AB102" i="6"/>
  <c r="AB103" i="6"/>
  <c r="AB105" i="6"/>
  <c r="AB106" i="6"/>
  <c r="AB107" i="6"/>
  <c r="AB108" i="6"/>
  <c r="AB109" i="6"/>
  <c r="AB110" i="6"/>
  <c r="AB111" i="6"/>
  <c r="AB113" i="6"/>
  <c r="AB122" i="6"/>
  <c r="AB123" i="6"/>
  <c r="AB126" i="6"/>
  <c r="AB128" i="6"/>
  <c r="AB132" i="6"/>
  <c r="AB135" i="6"/>
  <c r="AB136" i="6"/>
  <c r="AB137" i="6"/>
  <c r="AB138" i="6"/>
  <c r="AB139" i="6"/>
  <c r="AB140" i="6"/>
  <c r="AB141" i="6"/>
  <c r="AB143" i="6"/>
  <c r="AB144" i="6"/>
  <c r="AB145" i="6"/>
  <c r="AB146" i="6"/>
  <c r="AB149" i="6"/>
  <c r="AB150" i="6"/>
  <c r="AB153" i="6"/>
  <c r="AB159" i="6"/>
  <c r="AB160" i="6"/>
  <c r="AB161" i="6"/>
  <c r="AB164" i="6"/>
  <c r="AB165" i="6"/>
  <c r="AB166" i="6"/>
  <c r="AB167" i="6"/>
  <c r="AB168" i="6"/>
  <c r="AB169" i="6"/>
  <c r="AB171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3" i="6"/>
  <c r="AB214" i="6"/>
  <c r="AB215" i="6"/>
  <c r="AB217" i="6"/>
  <c r="AB223" i="6"/>
  <c r="AB230" i="6"/>
  <c r="AB231" i="6"/>
  <c r="AB233" i="6"/>
  <c r="AB234" i="6"/>
  <c r="AB236" i="6"/>
  <c r="AB237" i="6"/>
  <c r="AB239" i="6"/>
  <c r="AB240" i="6"/>
  <c r="AB241" i="6"/>
  <c r="AB242" i="6"/>
  <c r="AB243" i="6"/>
  <c r="AB244" i="6"/>
  <c r="AB245" i="6"/>
  <c r="AB248" i="6"/>
  <c r="AB249" i="6"/>
  <c r="AB250" i="6"/>
  <c r="AB252" i="6"/>
  <c r="AB253" i="6"/>
  <c r="AB254" i="6"/>
  <c r="AB255" i="6"/>
  <c r="AB256" i="6"/>
  <c r="AB257" i="6"/>
  <c r="AB262" i="6"/>
  <c r="AB263" i="6"/>
  <c r="AB265" i="6"/>
  <c r="AB267" i="6"/>
  <c r="AB268" i="6"/>
  <c r="AB269" i="6"/>
  <c r="AB270" i="6"/>
  <c r="AB271" i="6"/>
  <c r="AB272" i="6"/>
  <c r="AB281" i="6"/>
  <c r="AB282" i="6"/>
  <c r="AB283" i="6"/>
  <c r="AB284" i="6"/>
  <c r="AB287" i="6"/>
  <c r="AB288" i="6"/>
  <c r="AB291" i="6"/>
  <c r="AB292" i="6"/>
  <c r="AB293" i="6"/>
  <c r="AB294" i="6"/>
  <c r="AB295" i="6"/>
  <c r="AB296" i="6"/>
  <c r="AB297" i="6"/>
  <c r="AB298" i="6"/>
  <c r="AB299" i="6"/>
  <c r="AB300" i="6"/>
  <c r="AB301" i="6"/>
  <c r="AB302" i="6"/>
  <c r="AB303" i="6"/>
  <c r="AB304" i="6"/>
  <c r="AB305" i="6"/>
  <c r="AB313" i="6"/>
  <c r="AB314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3" i="6"/>
  <c r="AB334" i="6"/>
  <c r="AB337" i="6"/>
  <c r="AB343" i="6"/>
  <c r="AB344" i="6"/>
  <c r="AB345" i="6"/>
  <c r="AB346" i="6"/>
  <c r="AB347" i="6"/>
  <c r="AB348" i="6"/>
  <c r="AB349" i="6"/>
  <c r="AB350" i="6"/>
  <c r="AB351" i="6"/>
  <c r="AB352" i="6"/>
  <c r="AB357" i="6"/>
  <c r="AB359" i="6"/>
  <c r="AB371" i="6"/>
  <c r="AB373" i="6"/>
  <c r="AB378" i="6"/>
  <c r="AB379" i="6"/>
  <c r="AB380" i="6"/>
  <c r="AB381" i="6"/>
  <c r="AB382" i="6"/>
  <c r="AB384" i="6"/>
  <c r="AB385" i="6"/>
  <c r="AB386" i="6"/>
  <c r="AB387" i="6"/>
  <c r="AB390" i="6"/>
  <c r="AB392" i="6"/>
  <c r="AB393" i="6"/>
  <c r="AB394" i="6"/>
  <c r="AB395" i="6"/>
  <c r="AB396" i="6"/>
  <c r="AB397" i="6"/>
  <c r="AB398" i="6"/>
  <c r="AB399" i="6"/>
  <c r="AB400" i="6"/>
  <c r="AB401" i="6"/>
  <c r="AB405" i="6"/>
  <c r="AB406" i="6"/>
  <c r="AB407" i="6"/>
  <c r="AB408" i="6"/>
  <c r="AB409" i="6"/>
  <c r="AB410" i="6"/>
  <c r="AB411" i="6"/>
  <c r="AB412" i="6"/>
  <c r="AB414" i="6"/>
  <c r="AB416" i="6"/>
  <c r="AB418" i="6"/>
  <c r="AB419" i="6"/>
  <c r="AB420" i="6"/>
  <c r="AB421" i="6"/>
  <c r="AB422" i="6"/>
  <c r="AB423" i="6"/>
  <c r="AB424" i="6"/>
  <c r="AB425" i="6"/>
  <c r="AB426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3" i="6"/>
  <c r="AB444" i="6"/>
  <c r="AB445" i="6"/>
  <c r="AB446" i="6"/>
  <c r="AB447" i="6"/>
  <c r="AB448" i="6"/>
  <c r="AB449" i="6"/>
  <c r="AB450" i="6"/>
  <c r="AB451" i="6"/>
  <c r="AB452" i="6"/>
  <c r="AB460" i="6"/>
  <c r="AB461" i="6"/>
  <c r="AI461" i="6"/>
  <c r="AI460" i="6"/>
  <c r="AI452" i="6"/>
  <c r="AI451" i="6"/>
  <c r="AI450" i="6"/>
  <c r="AI449" i="6"/>
  <c r="AI448" i="6"/>
  <c r="AI447" i="6"/>
  <c r="AI446" i="6"/>
  <c r="AI445" i="6"/>
  <c r="AI444" i="6"/>
  <c r="AI443" i="6"/>
  <c r="AI442" i="6"/>
  <c r="AI441" i="6"/>
  <c r="AI440" i="6"/>
  <c r="AI439" i="6"/>
  <c r="AI438" i="6"/>
  <c r="AI437" i="6"/>
  <c r="AI436" i="6"/>
  <c r="AI435" i="6"/>
  <c r="AI434" i="6"/>
  <c r="AI433" i="6"/>
  <c r="AI432" i="6"/>
  <c r="AI431" i="6"/>
  <c r="AI430" i="6"/>
  <c r="AI429" i="6"/>
  <c r="AI426" i="6"/>
  <c r="AI425" i="6"/>
  <c r="AI424" i="6"/>
  <c r="AI423" i="6"/>
  <c r="AI422" i="6"/>
  <c r="AI421" i="6"/>
  <c r="AI420" i="6"/>
  <c r="AI419" i="6"/>
  <c r="AI418" i="6"/>
  <c r="AI416" i="6"/>
  <c r="AI414" i="6"/>
  <c r="AI412" i="6"/>
  <c r="AI411" i="6"/>
  <c r="AI410" i="6"/>
  <c r="AI409" i="6"/>
  <c r="AI408" i="6"/>
  <c r="AI407" i="6"/>
  <c r="AI406" i="6"/>
  <c r="AI405" i="6"/>
  <c r="AI401" i="6"/>
  <c r="AI400" i="6"/>
  <c r="AI399" i="6"/>
  <c r="AI398" i="6"/>
  <c r="AI397" i="6"/>
  <c r="AI396" i="6"/>
  <c r="AI395" i="6"/>
  <c r="AI394" i="6"/>
  <c r="AI393" i="6"/>
  <c r="AI392" i="6"/>
  <c r="AI390" i="6"/>
  <c r="AI389" i="6"/>
  <c r="AI388" i="6"/>
  <c r="AI387" i="6"/>
  <c r="AI386" i="6"/>
  <c r="AI385" i="6"/>
  <c r="AI384" i="6"/>
  <c r="AI382" i="6"/>
  <c r="AI381" i="6"/>
  <c r="AI380" i="6"/>
  <c r="AI379" i="6"/>
  <c r="AI378" i="6"/>
  <c r="AI373" i="6"/>
  <c r="AI371" i="6"/>
  <c r="AI359" i="6"/>
  <c r="AI357" i="6"/>
  <c r="AI352" i="6"/>
  <c r="AI351" i="6"/>
  <c r="AI350" i="6"/>
  <c r="AI349" i="6"/>
  <c r="AI348" i="6"/>
  <c r="AI347" i="6"/>
  <c r="AI346" i="6"/>
  <c r="AI345" i="6"/>
  <c r="AI344" i="6"/>
  <c r="AI343" i="6"/>
  <c r="AI337" i="6"/>
  <c r="AI334" i="6"/>
  <c r="AI333" i="6"/>
  <c r="AI330" i="6"/>
  <c r="AI329" i="6"/>
  <c r="AI328" i="6"/>
  <c r="AI327" i="6"/>
  <c r="AI326" i="6"/>
  <c r="AI325" i="6"/>
  <c r="AI324" i="6"/>
  <c r="AI323" i="6"/>
  <c r="AI322" i="6"/>
  <c r="AI321" i="6"/>
  <c r="AI320" i="6"/>
  <c r="AI319" i="6"/>
  <c r="AI318" i="6"/>
  <c r="AI317" i="6"/>
  <c r="AI314" i="6"/>
  <c r="AI313" i="6"/>
  <c r="AI305" i="6"/>
  <c r="AI304" i="6"/>
  <c r="AI303" i="6"/>
  <c r="AI302" i="6"/>
  <c r="AI301" i="6"/>
  <c r="AI300" i="6"/>
  <c r="AI299" i="6"/>
  <c r="AI298" i="6"/>
  <c r="AI297" i="6"/>
  <c r="AI296" i="6"/>
  <c r="AI295" i="6"/>
  <c r="AI294" i="6"/>
  <c r="AI293" i="6"/>
  <c r="AI292" i="6"/>
  <c r="AI291" i="6"/>
  <c r="AI288" i="6"/>
  <c r="AI287" i="6"/>
  <c r="AI284" i="6"/>
  <c r="AI283" i="6"/>
  <c r="AI282" i="6"/>
  <c r="AI281" i="6"/>
  <c r="AI272" i="6"/>
  <c r="AI271" i="6"/>
  <c r="AI270" i="6"/>
  <c r="AI269" i="6"/>
  <c r="AI268" i="6"/>
  <c r="AI267" i="6"/>
  <c r="AI265" i="6"/>
  <c r="AI263" i="6"/>
  <c r="AI262" i="6"/>
  <c r="AI257" i="6"/>
  <c r="AI256" i="6"/>
  <c r="AI255" i="6"/>
  <c r="AI254" i="6"/>
  <c r="AI253" i="6"/>
  <c r="AI252" i="6"/>
  <c r="AI250" i="6"/>
  <c r="AI249" i="6"/>
  <c r="AI248" i="6"/>
  <c r="AI245" i="6"/>
  <c r="AI244" i="6"/>
  <c r="AI243" i="6"/>
  <c r="AI242" i="6"/>
  <c r="AI241" i="6"/>
  <c r="AI240" i="6"/>
  <c r="AI239" i="6"/>
  <c r="AI237" i="6"/>
  <c r="AI236" i="6"/>
  <c r="AI234" i="6"/>
  <c r="AI233" i="6"/>
  <c r="AI231" i="6"/>
  <c r="AI230" i="6"/>
  <c r="AI223" i="6"/>
  <c r="AI222" i="6"/>
  <c r="AI221" i="6"/>
  <c r="AI220" i="6"/>
  <c r="AI219" i="6"/>
  <c r="AI217" i="6"/>
  <c r="AI215" i="6"/>
  <c r="AI214" i="6"/>
  <c r="AI213" i="6"/>
  <c r="AI210" i="6"/>
  <c r="AI209" i="6"/>
  <c r="AI208" i="6"/>
  <c r="AI207" i="6"/>
  <c r="AI206" i="6"/>
  <c r="AI205" i="6"/>
  <c r="AI204" i="6"/>
  <c r="AI203" i="6"/>
  <c r="AI202" i="6"/>
  <c r="AI201" i="6"/>
  <c r="AI200" i="6"/>
  <c r="AI199" i="6"/>
  <c r="AI198" i="6"/>
  <c r="AI197" i="6"/>
  <c r="AI196" i="6"/>
  <c r="AI195" i="6"/>
  <c r="AI194" i="6"/>
  <c r="AI193" i="6"/>
  <c r="AI171" i="6"/>
  <c r="AI169" i="6"/>
  <c r="AI168" i="6"/>
  <c r="AI167" i="6"/>
  <c r="AI166" i="6"/>
  <c r="AI165" i="6"/>
  <c r="AI164" i="6"/>
  <c r="AI161" i="6"/>
  <c r="AI160" i="6"/>
  <c r="AI159" i="6"/>
  <c r="AI153" i="6"/>
  <c r="AI150" i="6"/>
  <c r="AI149" i="6"/>
  <c r="AI146" i="6"/>
  <c r="AI145" i="6"/>
  <c r="AI144" i="6"/>
  <c r="AI143" i="6"/>
  <c r="AI141" i="6"/>
  <c r="AI140" i="6"/>
  <c r="AI139" i="6"/>
  <c r="AI138" i="6"/>
  <c r="AI137" i="6"/>
  <c r="AI136" i="6"/>
  <c r="AI135" i="6"/>
  <c r="AI132" i="6"/>
  <c r="AI129" i="6"/>
  <c r="AI128" i="6"/>
  <c r="AI127" i="6"/>
  <c r="AI126" i="6"/>
  <c r="AI123" i="6"/>
  <c r="AI122" i="6"/>
  <c r="AI113" i="6"/>
  <c r="AI111" i="6"/>
  <c r="AI110" i="6"/>
  <c r="AI109" i="6"/>
  <c r="AI108" i="6"/>
  <c r="AI107" i="6"/>
  <c r="AI106" i="6"/>
  <c r="AI105" i="6"/>
  <c r="AI103" i="6"/>
  <c r="AI102" i="6"/>
  <c r="AI101" i="6"/>
  <c r="AI100" i="6"/>
  <c r="AI90" i="6"/>
  <c r="AI85" i="6"/>
  <c r="AI84" i="6"/>
  <c r="AI83" i="6"/>
  <c r="AI82" i="6"/>
  <c r="AI81" i="6"/>
  <c r="AI80" i="6"/>
  <c r="AI79" i="6"/>
  <c r="AI78" i="6"/>
  <c r="AI77" i="6"/>
  <c r="AI76" i="6"/>
  <c r="AI75" i="6"/>
  <c r="AI74" i="6"/>
  <c r="AI73" i="6"/>
  <c r="AI72" i="6"/>
  <c r="AI71" i="6"/>
  <c r="AI70" i="6"/>
  <c r="AI69" i="6"/>
  <c r="AI68" i="6"/>
  <c r="AI67" i="6"/>
  <c r="AI66" i="6"/>
  <c r="AI65" i="6"/>
  <c r="AI64" i="6"/>
  <c r="AI63" i="6"/>
  <c r="AI62" i="6"/>
  <c r="AI55" i="6"/>
  <c r="AI54" i="6"/>
  <c r="AI51" i="6"/>
  <c r="AI50" i="6"/>
  <c r="AI49" i="6"/>
  <c r="AI47" i="6"/>
  <c r="AI44" i="6"/>
  <c r="AI43" i="6"/>
  <c r="AI41" i="6"/>
  <c r="AI36" i="6"/>
  <c r="AI33" i="6"/>
  <c r="AI32" i="6"/>
  <c r="AI29" i="6"/>
  <c r="AI26" i="6"/>
  <c r="AI25" i="6"/>
  <c r="AI24" i="6"/>
  <c r="AI23" i="6"/>
  <c r="AI11" i="6"/>
  <c r="AI9" i="6"/>
  <c r="V461" i="6"/>
  <c r="U461" i="6"/>
  <c r="T461" i="6"/>
  <c r="S461" i="6"/>
  <c r="R461" i="6"/>
  <c r="V460" i="6"/>
  <c r="U460" i="6"/>
  <c r="T460" i="6"/>
  <c r="S460" i="6"/>
  <c r="R460" i="6"/>
  <c r="V452" i="6"/>
  <c r="U452" i="6"/>
  <c r="T452" i="6"/>
  <c r="S452" i="6"/>
  <c r="R452" i="6"/>
  <c r="V451" i="6"/>
  <c r="U451" i="6"/>
  <c r="T451" i="6"/>
  <c r="S451" i="6"/>
  <c r="R451" i="6"/>
  <c r="V450" i="6"/>
  <c r="U450" i="6"/>
  <c r="T450" i="6"/>
  <c r="S450" i="6"/>
  <c r="R450" i="6"/>
  <c r="V449" i="6"/>
  <c r="U449" i="6"/>
  <c r="T449" i="6"/>
  <c r="S449" i="6"/>
  <c r="R449" i="6"/>
  <c r="V448" i="6"/>
  <c r="U448" i="6"/>
  <c r="T448" i="6"/>
  <c r="S448" i="6"/>
  <c r="R448" i="6"/>
  <c r="V447" i="6"/>
  <c r="U447" i="6"/>
  <c r="T447" i="6"/>
  <c r="S447" i="6"/>
  <c r="R447" i="6"/>
  <c r="V446" i="6"/>
  <c r="U446" i="6"/>
  <c r="T446" i="6"/>
  <c r="S446" i="6"/>
  <c r="R446" i="6"/>
  <c r="V445" i="6"/>
  <c r="U445" i="6"/>
  <c r="T445" i="6"/>
  <c r="S445" i="6"/>
  <c r="R445" i="6"/>
  <c r="V444" i="6"/>
  <c r="U444" i="6"/>
  <c r="T444" i="6"/>
  <c r="S444" i="6"/>
  <c r="R444" i="6"/>
  <c r="V443" i="6"/>
  <c r="U443" i="6"/>
  <c r="T443" i="6"/>
  <c r="S443" i="6"/>
  <c r="R443" i="6"/>
  <c r="V442" i="6"/>
  <c r="U442" i="6"/>
  <c r="T442" i="6"/>
  <c r="S442" i="6"/>
  <c r="R442" i="6"/>
  <c r="V441" i="6"/>
  <c r="U441" i="6"/>
  <c r="T441" i="6"/>
  <c r="S441" i="6"/>
  <c r="R441" i="6"/>
  <c r="V440" i="6"/>
  <c r="U440" i="6"/>
  <c r="T440" i="6"/>
  <c r="S440" i="6"/>
  <c r="R440" i="6"/>
  <c r="V439" i="6"/>
  <c r="U439" i="6"/>
  <c r="T439" i="6"/>
  <c r="S439" i="6"/>
  <c r="R439" i="6"/>
  <c r="V438" i="6"/>
  <c r="U438" i="6"/>
  <c r="T438" i="6"/>
  <c r="S438" i="6"/>
  <c r="R438" i="6"/>
  <c r="V437" i="6"/>
  <c r="U437" i="6"/>
  <c r="T437" i="6"/>
  <c r="S437" i="6"/>
  <c r="R437" i="6"/>
  <c r="V436" i="6"/>
  <c r="U436" i="6"/>
  <c r="T436" i="6"/>
  <c r="S436" i="6"/>
  <c r="R436" i="6"/>
  <c r="V435" i="6"/>
  <c r="U435" i="6"/>
  <c r="T435" i="6"/>
  <c r="S435" i="6"/>
  <c r="R435" i="6"/>
  <c r="V434" i="6"/>
  <c r="U434" i="6"/>
  <c r="T434" i="6"/>
  <c r="S434" i="6"/>
  <c r="R434" i="6"/>
  <c r="V433" i="6"/>
  <c r="U433" i="6"/>
  <c r="T433" i="6"/>
  <c r="S433" i="6"/>
  <c r="R433" i="6"/>
  <c r="V432" i="6"/>
  <c r="U432" i="6"/>
  <c r="T432" i="6"/>
  <c r="S432" i="6"/>
  <c r="R432" i="6"/>
  <c r="V431" i="6"/>
  <c r="U431" i="6"/>
  <c r="T431" i="6"/>
  <c r="S431" i="6"/>
  <c r="R431" i="6"/>
  <c r="V430" i="6"/>
  <c r="U430" i="6"/>
  <c r="T430" i="6"/>
  <c r="S430" i="6"/>
  <c r="R430" i="6"/>
  <c r="V429" i="6"/>
  <c r="U429" i="6"/>
  <c r="T429" i="6"/>
  <c r="S429" i="6"/>
  <c r="R429" i="6"/>
  <c r="V426" i="6"/>
  <c r="U426" i="6"/>
  <c r="T426" i="6"/>
  <c r="S426" i="6"/>
  <c r="R426" i="6"/>
  <c r="V425" i="6"/>
  <c r="U425" i="6"/>
  <c r="T425" i="6"/>
  <c r="S425" i="6"/>
  <c r="R425" i="6"/>
  <c r="V424" i="6"/>
  <c r="U424" i="6"/>
  <c r="T424" i="6"/>
  <c r="S424" i="6"/>
  <c r="R424" i="6"/>
  <c r="V423" i="6"/>
  <c r="U423" i="6"/>
  <c r="T423" i="6"/>
  <c r="S423" i="6"/>
  <c r="R423" i="6"/>
  <c r="V422" i="6"/>
  <c r="U422" i="6"/>
  <c r="T422" i="6"/>
  <c r="S422" i="6"/>
  <c r="R422" i="6"/>
  <c r="V421" i="6"/>
  <c r="U421" i="6"/>
  <c r="T421" i="6"/>
  <c r="S421" i="6"/>
  <c r="R421" i="6"/>
  <c r="V420" i="6"/>
  <c r="U420" i="6"/>
  <c r="T420" i="6"/>
  <c r="S420" i="6"/>
  <c r="R420" i="6"/>
  <c r="V419" i="6"/>
  <c r="U419" i="6"/>
  <c r="T419" i="6"/>
  <c r="S419" i="6"/>
  <c r="R419" i="6"/>
  <c r="V418" i="6"/>
  <c r="U418" i="6"/>
  <c r="T418" i="6"/>
  <c r="S418" i="6"/>
  <c r="R418" i="6"/>
  <c r="V416" i="6"/>
  <c r="U416" i="6"/>
  <c r="T416" i="6"/>
  <c r="S416" i="6"/>
  <c r="R416" i="6"/>
  <c r="V414" i="6"/>
  <c r="U414" i="6"/>
  <c r="T414" i="6"/>
  <c r="S414" i="6"/>
  <c r="R414" i="6"/>
  <c r="V412" i="6"/>
  <c r="U412" i="6"/>
  <c r="T412" i="6"/>
  <c r="S412" i="6"/>
  <c r="R412" i="6"/>
  <c r="V411" i="6"/>
  <c r="U411" i="6"/>
  <c r="T411" i="6"/>
  <c r="S411" i="6"/>
  <c r="R411" i="6"/>
  <c r="V410" i="6"/>
  <c r="U410" i="6"/>
  <c r="T410" i="6"/>
  <c r="S410" i="6"/>
  <c r="R410" i="6"/>
  <c r="V409" i="6"/>
  <c r="U409" i="6"/>
  <c r="T409" i="6"/>
  <c r="S409" i="6"/>
  <c r="R409" i="6"/>
  <c r="V408" i="6"/>
  <c r="U408" i="6"/>
  <c r="T408" i="6"/>
  <c r="S408" i="6"/>
  <c r="R408" i="6"/>
  <c r="V407" i="6"/>
  <c r="U407" i="6"/>
  <c r="T407" i="6"/>
  <c r="S407" i="6"/>
  <c r="R407" i="6"/>
  <c r="V406" i="6"/>
  <c r="U406" i="6"/>
  <c r="T406" i="6"/>
  <c r="S406" i="6"/>
  <c r="R406" i="6"/>
  <c r="V405" i="6"/>
  <c r="U405" i="6"/>
  <c r="T405" i="6"/>
  <c r="S405" i="6"/>
  <c r="R405" i="6"/>
  <c r="V401" i="6"/>
  <c r="U401" i="6"/>
  <c r="T401" i="6"/>
  <c r="S401" i="6"/>
  <c r="R401" i="6"/>
  <c r="V400" i="6"/>
  <c r="U400" i="6"/>
  <c r="T400" i="6"/>
  <c r="S400" i="6"/>
  <c r="R400" i="6"/>
  <c r="V399" i="6"/>
  <c r="U399" i="6"/>
  <c r="T399" i="6"/>
  <c r="S399" i="6"/>
  <c r="R399" i="6"/>
  <c r="V398" i="6"/>
  <c r="U398" i="6"/>
  <c r="T398" i="6"/>
  <c r="S398" i="6"/>
  <c r="R398" i="6"/>
  <c r="V397" i="6"/>
  <c r="U397" i="6"/>
  <c r="T397" i="6"/>
  <c r="S397" i="6"/>
  <c r="R397" i="6"/>
  <c r="V396" i="6"/>
  <c r="U396" i="6"/>
  <c r="T396" i="6"/>
  <c r="S396" i="6"/>
  <c r="R396" i="6"/>
  <c r="V395" i="6"/>
  <c r="U395" i="6"/>
  <c r="T395" i="6"/>
  <c r="S395" i="6"/>
  <c r="R395" i="6"/>
  <c r="V394" i="6"/>
  <c r="U394" i="6"/>
  <c r="T394" i="6"/>
  <c r="S394" i="6"/>
  <c r="R394" i="6"/>
  <c r="V393" i="6"/>
  <c r="U393" i="6"/>
  <c r="T393" i="6"/>
  <c r="S393" i="6"/>
  <c r="R393" i="6"/>
  <c r="V392" i="6"/>
  <c r="U392" i="6"/>
  <c r="T392" i="6"/>
  <c r="S392" i="6"/>
  <c r="R392" i="6"/>
  <c r="V390" i="6"/>
  <c r="U390" i="6"/>
  <c r="T390" i="6"/>
  <c r="S390" i="6"/>
  <c r="R390" i="6"/>
  <c r="V389" i="6"/>
  <c r="U389" i="6"/>
  <c r="T389" i="6"/>
  <c r="S389" i="6"/>
  <c r="R389" i="6"/>
  <c r="V388" i="6"/>
  <c r="U388" i="6"/>
  <c r="T388" i="6"/>
  <c r="S388" i="6"/>
  <c r="R388" i="6"/>
  <c r="V387" i="6"/>
  <c r="U387" i="6"/>
  <c r="T387" i="6"/>
  <c r="S387" i="6"/>
  <c r="H387" i="6"/>
  <c r="R387" i="6"/>
  <c r="V386" i="6"/>
  <c r="U386" i="6"/>
  <c r="T386" i="6"/>
  <c r="S386" i="6"/>
  <c r="H386" i="6"/>
  <c r="R386" i="6"/>
  <c r="V385" i="6"/>
  <c r="U385" i="6"/>
  <c r="T385" i="6"/>
  <c r="S385" i="6"/>
  <c r="R385" i="6"/>
  <c r="V384" i="6"/>
  <c r="U384" i="6"/>
  <c r="T384" i="6"/>
  <c r="S384" i="6"/>
  <c r="R384" i="6"/>
  <c r="V383" i="6"/>
  <c r="U383" i="6"/>
  <c r="T383" i="6"/>
  <c r="H7" i="6"/>
  <c r="R7" i="6"/>
  <c r="S7" i="6"/>
  <c r="T7" i="6"/>
  <c r="U7" i="6"/>
  <c r="V7" i="6"/>
  <c r="W7" i="6"/>
  <c r="H8" i="6"/>
  <c r="R8" i="6"/>
  <c r="S8" i="6"/>
  <c r="T8" i="6"/>
  <c r="U8" i="6"/>
  <c r="V8" i="6"/>
  <c r="W8" i="6"/>
  <c r="H27" i="6"/>
  <c r="R27" i="6"/>
  <c r="H10" i="6"/>
  <c r="R10" i="6"/>
  <c r="S10" i="6"/>
  <c r="T10" i="6"/>
  <c r="U10" i="6"/>
  <c r="V10" i="6"/>
  <c r="W10" i="6"/>
  <c r="I27" i="6"/>
  <c r="S27" i="6"/>
  <c r="T27" i="6"/>
  <c r="U27" i="6"/>
  <c r="V27" i="6"/>
  <c r="W27" i="6"/>
  <c r="H30" i="6"/>
  <c r="R30" i="6"/>
  <c r="H28" i="6"/>
  <c r="R28" i="6"/>
  <c r="S28" i="6"/>
  <c r="T28" i="6"/>
  <c r="U28" i="6"/>
  <c r="V28" i="6"/>
  <c r="W28" i="6"/>
  <c r="I30" i="6"/>
  <c r="S30" i="6"/>
  <c r="T30" i="6"/>
  <c r="U30" i="6"/>
  <c r="V30" i="6"/>
  <c r="W30" i="6"/>
  <c r="H35" i="6"/>
  <c r="R35" i="6"/>
  <c r="S35" i="6"/>
  <c r="T35" i="6"/>
  <c r="U35" i="6"/>
  <c r="V35" i="6"/>
  <c r="W35" i="6"/>
  <c r="H40" i="6"/>
  <c r="R40" i="6"/>
  <c r="S40" i="6"/>
  <c r="T40" i="6"/>
  <c r="U40" i="6"/>
  <c r="V40" i="6"/>
  <c r="W40" i="6"/>
  <c r="H45" i="6"/>
  <c r="R45" i="6"/>
  <c r="H42" i="6"/>
  <c r="R42" i="6"/>
  <c r="S42" i="6"/>
  <c r="T42" i="6"/>
  <c r="U42" i="6"/>
  <c r="V42" i="6"/>
  <c r="W42" i="6"/>
  <c r="I45" i="6"/>
  <c r="S45" i="6"/>
  <c r="T45" i="6"/>
  <c r="U45" i="6"/>
  <c r="V45" i="6"/>
  <c r="W45" i="6"/>
  <c r="H46" i="6"/>
  <c r="R46" i="6"/>
  <c r="S46" i="6"/>
  <c r="T46" i="6"/>
  <c r="U46" i="6"/>
  <c r="V46" i="6"/>
  <c r="W46" i="6"/>
  <c r="H52" i="6"/>
  <c r="R52" i="6"/>
  <c r="H48" i="6"/>
  <c r="R48" i="6"/>
  <c r="S48" i="6"/>
  <c r="T48" i="6"/>
  <c r="U48" i="6"/>
  <c r="V48" i="6"/>
  <c r="W48" i="6"/>
  <c r="I52" i="6"/>
  <c r="S52" i="6"/>
  <c r="T52" i="6"/>
  <c r="U52" i="6"/>
  <c r="V52" i="6"/>
  <c r="W52" i="6"/>
  <c r="H285" i="6"/>
  <c r="R285" i="6"/>
  <c r="S285" i="6"/>
  <c r="T285" i="6"/>
  <c r="U285" i="6"/>
  <c r="V285" i="6"/>
  <c r="W285" i="6"/>
  <c r="H311" i="6"/>
  <c r="R311" i="6"/>
  <c r="S311" i="6"/>
  <c r="T311" i="6"/>
  <c r="U311" i="6"/>
  <c r="V311" i="6"/>
  <c r="W311" i="6"/>
  <c r="H335" i="6"/>
  <c r="R335" i="6"/>
  <c r="H53" i="6"/>
  <c r="R53" i="6"/>
  <c r="I53" i="6"/>
  <c r="S53" i="6"/>
  <c r="T53" i="6"/>
  <c r="U53" i="6"/>
  <c r="V53" i="6"/>
  <c r="W53" i="6"/>
  <c r="H286" i="6"/>
  <c r="R286" i="6"/>
  <c r="S286" i="6"/>
  <c r="T286" i="6"/>
  <c r="U286" i="6"/>
  <c r="V286" i="6"/>
  <c r="W286" i="6"/>
  <c r="H312" i="6"/>
  <c r="R312" i="6"/>
  <c r="S312" i="6"/>
  <c r="T312" i="6"/>
  <c r="U312" i="6"/>
  <c r="V312" i="6"/>
  <c r="W312" i="6"/>
  <c r="I335" i="6"/>
  <c r="S335" i="6"/>
  <c r="H289" i="6"/>
  <c r="R289" i="6"/>
  <c r="H56" i="6"/>
  <c r="R56" i="6"/>
  <c r="I56" i="6"/>
  <c r="S56" i="6"/>
  <c r="T56" i="6"/>
  <c r="U56" i="6"/>
  <c r="V56" i="6"/>
  <c r="W56" i="6"/>
  <c r="I289" i="6"/>
  <c r="S289" i="6"/>
  <c r="T289" i="6"/>
  <c r="U289" i="6"/>
  <c r="V289" i="6"/>
  <c r="W289" i="6"/>
  <c r="H315" i="6"/>
  <c r="R315" i="6"/>
  <c r="S315" i="6"/>
  <c r="T315" i="6"/>
  <c r="U315" i="6"/>
  <c r="V315" i="6"/>
  <c r="W315" i="6"/>
  <c r="J335" i="6"/>
  <c r="T335" i="6"/>
  <c r="H290" i="6"/>
  <c r="R290" i="6"/>
  <c r="I290" i="6"/>
  <c r="S290" i="6"/>
  <c r="T290" i="6"/>
  <c r="U290" i="6"/>
  <c r="V290" i="6"/>
  <c r="W290" i="6"/>
  <c r="H316" i="6"/>
  <c r="R316" i="6"/>
  <c r="S316" i="6"/>
  <c r="T316" i="6"/>
  <c r="U316" i="6"/>
  <c r="V316" i="6"/>
  <c r="W316" i="6"/>
  <c r="K335" i="6"/>
  <c r="U335" i="6"/>
  <c r="V335" i="6"/>
  <c r="W335" i="6"/>
  <c r="H336" i="6"/>
  <c r="R336" i="6"/>
  <c r="S336" i="6"/>
  <c r="T336" i="6"/>
  <c r="U336" i="6"/>
  <c r="V336" i="6"/>
  <c r="W336" i="6"/>
  <c r="H338" i="6"/>
  <c r="R338" i="6"/>
  <c r="S338" i="6"/>
  <c r="T338" i="6"/>
  <c r="U338" i="6"/>
  <c r="V338" i="6"/>
  <c r="W338" i="6"/>
  <c r="H339" i="6"/>
  <c r="R339" i="6"/>
  <c r="S339" i="6"/>
  <c r="T339" i="6"/>
  <c r="U339" i="6"/>
  <c r="V339" i="6"/>
  <c r="W339" i="6"/>
  <c r="H340" i="6"/>
  <c r="R340" i="6"/>
  <c r="S340" i="6"/>
  <c r="T340" i="6"/>
  <c r="U340" i="6"/>
  <c r="V340" i="6"/>
  <c r="W340" i="6"/>
  <c r="H360" i="6"/>
  <c r="R360" i="6"/>
  <c r="H354" i="6"/>
  <c r="R354" i="6"/>
  <c r="S354" i="6"/>
  <c r="T354" i="6"/>
  <c r="U354" i="6"/>
  <c r="V354" i="6"/>
  <c r="W354" i="6"/>
  <c r="I360" i="6"/>
  <c r="S360" i="6"/>
  <c r="T360" i="6"/>
  <c r="U360" i="6"/>
  <c r="V360" i="6"/>
  <c r="W360" i="6"/>
  <c r="I383" i="6"/>
  <c r="S383" i="6"/>
  <c r="H358" i="6"/>
  <c r="R358" i="6"/>
  <c r="H353" i="6"/>
  <c r="R353" i="6"/>
  <c r="S353" i="6"/>
  <c r="T353" i="6"/>
  <c r="U353" i="6"/>
  <c r="V353" i="6"/>
  <c r="W353" i="6"/>
  <c r="I358" i="6"/>
  <c r="S358" i="6"/>
  <c r="T358" i="6"/>
  <c r="U358" i="6"/>
  <c r="V358" i="6"/>
  <c r="W358" i="6"/>
  <c r="H383" i="6"/>
  <c r="R383" i="6"/>
  <c r="V382" i="6"/>
  <c r="K382" i="6"/>
  <c r="U382" i="6"/>
  <c r="J382" i="6"/>
  <c r="T382" i="6"/>
  <c r="I382" i="6"/>
  <c r="S382" i="6"/>
  <c r="H382" i="6"/>
  <c r="R382" i="6"/>
  <c r="V381" i="6"/>
  <c r="K381" i="6"/>
  <c r="U381" i="6"/>
  <c r="J381" i="6"/>
  <c r="T381" i="6"/>
  <c r="I381" i="6"/>
  <c r="S381" i="6"/>
  <c r="H381" i="6"/>
  <c r="R381" i="6"/>
  <c r="V380" i="6"/>
  <c r="K380" i="6"/>
  <c r="U380" i="6"/>
  <c r="J380" i="6"/>
  <c r="T380" i="6"/>
  <c r="I380" i="6"/>
  <c r="S380" i="6"/>
  <c r="H380" i="6"/>
  <c r="R380" i="6"/>
  <c r="V379" i="6"/>
  <c r="K379" i="6"/>
  <c r="U379" i="6"/>
  <c r="J379" i="6"/>
  <c r="T379" i="6"/>
  <c r="I379" i="6"/>
  <c r="S379" i="6"/>
  <c r="H379" i="6"/>
  <c r="R379" i="6"/>
  <c r="V378" i="6"/>
  <c r="K378" i="6"/>
  <c r="U378" i="6"/>
  <c r="J378" i="6"/>
  <c r="T378" i="6"/>
  <c r="I378" i="6"/>
  <c r="S378" i="6"/>
  <c r="H378" i="6"/>
  <c r="R378" i="6"/>
  <c r="V374" i="6"/>
  <c r="U374" i="6"/>
  <c r="T374" i="6"/>
  <c r="W383" i="6"/>
  <c r="I374" i="6"/>
  <c r="S374" i="6"/>
  <c r="H370" i="6"/>
  <c r="R370" i="6"/>
  <c r="S370" i="6"/>
  <c r="T370" i="6"/>
  <c r="U370" i="6"/>
  <c r="V370" i="6"/>
  <c r="W370" i="6"/>
  <c r="H374" i="6"/>
  <c r="R374" i="6"/>
  <c r="V373" i="6"/>
  <c r="K373" i="6"/>
  <c r="U373" i="6"/>
  <c r="J373" i="6"/>
  <c r="T373" i="6"/>
  <c r="I373" i="6"/>
  <c r="S373" i="6"/>
  <c r="H373" i="6"/>
  <c r="R373" i="6"/>
  <c r="V372" i="6"/>
  <c r="U372" i="6"/>
  <c r="T372" i="6"/>
  <c r="I372" i="6"/>
  <c r="S372" i="6"/>
  <c r="H369" i="6"/>
  <c r="R369" i="6"/>
  <c r="S369" i="6"/>
  <c r="T369" i="6"/>
  <c r="U369" i="6"/>
  <c r="V369" i="6"/>
  <c r="W369" i="6"/>
  <c r="H372" i="6"/>
  <c r="R372" i="6"/>
  <c r="V371" i="6"/>
  <c r="K371" i="6"/>
  <c r="U371" i="6"/>
  <c r="J371" i="6"/>
  <c r="T371" i="6"/>
  <c r="I371" i="6"/>
  <c r="S371" i="6"/>
  <c r="H371" i="6"/>
  <c r="R371" i="6"/>
  <c r="V359" i="6"/>
  <c r="K359" i="6"/>
  <c r="U359" i="6"/>
  <c r="J359" i="6"/>
  <c r="T359" i="6"/>
  <c r="I359" i="6"/>
  <c r="S359" i="6"/>
  <c r="H359" i="6"/>
  <c r="R359" i="6"/>
  <c r="V357" i="6"/>
  <c r="K357" i="6"/>
  <c r="U357" i="6"/>
  <c r="J357" i="6"/>
  <c r="T357" i="6"/>
  <c r="I357" i="6"/>
  <c r="S357" i="6"/>
  <c r="H357" i="6"/>
  <c r="R357" i="6"/>
  <c r="V352" i="6"/>
  <c r="U352" i="6"/>
  <c r="T352" i="6"/>
  <c r="S352" i="6"/>
  <c r="H352" i="6"/>
  <c r="R352" i="6"/>
  <c r="V351" i="6"/>
  <c r="U351" i="6"/>
  <c r="T351" i="6"/>
  <c r="I351" i="6"/>
  <c r="S351" i="6"/>
  <c r="H351" i="6"/>
  <c r="R351" i="6"/>
  <c r="V350" i="6"/>
  <c r="U350" i="6"/>
  <c r="T350" i="6"/>
  <c r="S350" i="6"/>
  <c r="H350" i="6"/>
  <c r="R350" i="6"/>
  <c r="V349" i="6"/>
  <c r="U349" i="6"/>
  <c r="T349" i="6"/>
  <c r="I349" i="6"/>
  <c r="S349" i="6"/>
  <c r="H349" i="6"/>
  <c r="R349" i="6"/>
  <c r="V348" i="6"/>
  <c r="U348" i="6"/>
  <c r="T348" i="6"/>
  <c r="I348" i="6"/>
  <c r="S348" i="6"/>
  <c r="H348" i="6"/>
  <c r="R348" i="6"/>
  <c r="V347" i="6"/>
  <c r="U347" i="6"/>
  <c r="T347" i="6"/>
  <c r="I347" i="6"/>
  <c r="S347" i="6"/>
  <c r="H347" i="6"/>
  <c r="R347" i="6"/>
  <c r="V346" i="6"/>
  <c r="U346" i="6"/>
  <c r="T346" i="6"/>
  <c r="S346" i="6"/>
  <c r="H346" i="6"/>
  <c r="R346" i="6"/>
  <c r="V345" i="6"/>
  <c r="U345" i="6"/>
  <c r="T345" i="6"/>
  <c r="S345" i="6"/>
  <c r="H345" i="6"/>
  <c r="R345" i="6"/>
  <c r="V344" i="6"/>
  <c r="U344" i="6"/>
  <c r="T344" i="6"/>
  <c r="S344" i="6"/>
  <c r="H344" i="6"/>
  <c r="R344" i="6"/>
  <c r="V343" i="6"/>
  <c r="U343" i="6"/>
  <c r="T343" i="6"/>
  <c r="S343" i="6"/>
  <c r="H343" i="6"/>
  <c r="R343" i="6"/>
  <c r="V342" i="6"/>
  <c r="U342" i="6"/>
  <c r="T342" i="6"/>
  <c r="S342" i="6"/>
  <c r="H341" i="6"/>
  <c r="R341" i="6"/>
  <c r="I341" i="6"/>
  <c r="S341" i="6"/>
  <c r="T341" i="6"/>
  <c r="U341" i="6"/>
  <c r="V341" i="6"/>
  <c r="W341" i="6"/>
  <c r="H342" i="6"/>
  <c r="R342" i="6"/>
  <c r="V337" i="6"/>
  <c r="U337" i="6"/>
  <c r="T337" i="6"/>
  <c r="I337" i="6"/>
  <c r="S337" i="6"/>
  <c r="H337" i="6"/>
  <c r="R337" i="6"/>
  <c r="V334" i="6"/>
  <c r="U334" i="6"/>
  <c r="J334" i="6"/>
  <c r="T334" i="6"/>
  <c r="I334" i="6"/>
  <c r="S334" i="6"/>
  <c r="H334" i="6"/>
  <c r="R334" i="6"/>
  <c r="V333" i="6"/>
  <c r="U333" i="6"/>
  <c r="T333" i="6"/>
  <c r="S333" i="6"/>
  <c r="H333" i="6"/>
  <c r="R333" i="6"/>
  <c r="V330" i="6"/>
  <c r="U330" i="6"/>
  <c r="T330" i="6"/>
  <c r="S330" i="6"/>
  <c r="H330" i="6"/>
  <c r="R330" i="6"/>
  <c r="V329" i="6"/>
  <c r="U329" i="6"/>
  <c r="T329" i="6"/>
  <c r="I329" i="6"/>
  <c r="S329" i="6"/>
  <c r="H329" i="6"/>
  <c r="R329" i="6"/>
  <c r="V328" i="6"/>
  <c r="U328" i="6"/>
  <c r="T328" i="6"/>
  <c r="S328" i="6"/>
  <c r="H328" i="6"/>
  <c r="R328" i="6"/>
  <c r="V327" i="6"/>
  <c r="U327" i="6"/>
  <c r="T327" i="6"/>
  <c r="S327" i="6"/>
  <c r="H327" i="6"/>
  <c r="R327" i="6"/>
  <c r="V326" i="6"/>
  <c r="U326" i="6"/>
  <c r="T326" i="6"/>
  <c r="I326" i="6"/>
  <c r="S326" i="6"/>
  <c r="H326" i="6"/>
  <c r="R326" i="6"/>
  <c r="V325" i="6"/>
  <c r="U325" i="6"/>
  <c r="T325" i="6"/>
  <c r="S325" i="6"/>
  <c r="H325" i="6"/>
  <c r="R325" i="6"/>
  <c r="V324" i="6"/>
  <c r="U324" i="6"/>
  <c r="T324" i="6"/>
  <c r="S324" i="6"/>
  <c r="H324" i="6"/>
  <c r="R324" i="6"/>
  <c r="V323" i="6"/>
  <c r="U323" i="6"/>
  <c r="T323" i="6"/>
  <c r="S323" i="6"/>
  <c r="H323" i="6"/>
  <c r="R323" i="6"/>
  <c r="V322" i="6"/>
  <c r="U322" i="6"/>
  <c r="T322" i="6"/>
  <c r="S322" i="6"/>
  <c r="H322" i="6"/>
  <c r="R322" i="6"/>
  <c r="V321" i="6"/>
  <c r="U321" i="6"/>
  <c r="T321" i="6"/>
  <c r="S321" i="6"/>
  <c r="H321" i="6"/>
  <c r="R321" i="6"/>
  <c r="V320" i="6"/>
  <c r="U320" i="6"/>
  <c r="T320" i="6"/>
  <c r="S320" i="6"/>
  <c r="H320" i="6"/>
  <c r="R320" i="6"/>
  <c r="V319" i="6"/>
  <c r="U319" i="6"/>
  <c r="T319" i="6"/>
  <c r="I319" i="6"/>
  <c r="S319" i="6"/>
  <c r="H319" i="6"/>
  <c r="R319" i="6"/>
  <c r="V318" i="6"/>
  <c r="U318" i="6"/>
  <c r="T318" i="6"/>
  <c r="S318" i="6"/>
  <c r="H318" i="6"/>
  <c r="R318" i="6"/>
  <c r="V317" i="6"/>
  <c r="U317" i="6"/>
  <c r="T317" i="6"/>
  <c r="S317" i="6"/>
  <c r="H317" i="6"/>
  <c r="R317" i="6"/>
  <c r="V314" i="6"/>
  <c r="U314" i="6"/>
  <c r="T314" i="6"/>
  <c r="S314" i="6"/>
  <c r="H314" i="6"/>
  <c r="R314" i="6"/>
  <c r="V313" i="6"/>
  <c r="U313" i="6"/>
  <c r="T313" i="6"/>
  <c r="I313" i="6"/>
  <c r="S313" i="6"/>
  <c r="H313" i="6"/>
  <c r="R313" i="6"/>
  <c r="V305" i="6"/>
  <c r="U305" i="6"/>
  <c r="T305" i="6"/>
  <c r="I305" i="6"/>
  <c r="S305" i="6"/>
  <c r="H305" i="6"/>
  <c r="R305" i="6"/>
  <c r="V304" i="6"/>
  <c r="U304" i="6"/>
  <c r="T304" i="6"/>
  <c r="I304" i="6"/>
  <c r="S304" i="6"/>
  <c r="H304" i="6"/>
  <c r="R304" i="6"/>
  <c r="V303" i="6"/>
  <c r="U303" i="6"/>
  <c r="T303" i="6"/>
  <c r="I303" i="6"/>
  <c r="S303" i="6"/>
  <c r="H303" i="6"/>
  <c r="R303" i="6"/>
  <c r="V302" i="6"/>
  <c r="U302" i="6"/>
  <c r="T302" i="6"/>
  <c r="I302" i="6"/>
  <c r="S302" i="6"/>
  <c r="H302" i="6"/>
  <c r="R302" i="6"/>
  <c r="V301" i="6"/>
  <c r="U301" i="6"/>
  <c r="T301" i="6"/>
  <c r="I301" i="6"/>
  <c r="S301" i="6"/>
  <c r="H301" i="6"/>
  <c r="R301" i="6"/>
  <c r="V300" i="6"/>
  <c r="U300" i="6"/>
  <c r="T300" i="6"/>
  <c r="I300" i="6"/>
  <c r="S300" i="6"/>
  <c r="H300" i="6"/>
  <c r="R300" i="6"/>
  <c r="V299" i="6"/>
  <c r="U299" i="6"/>
  <c r="T299" i="6"/>
  <c r="I299" i="6"/>
  <c r="S299" i="6"/>
  <c r="H299" i="6"/>
  <c r="R299" i="6"/>
  <c r="V298" i="6"/>
  <c r="U298" i="6"/>
  <c r="T298" i="6"/>
  <c r="I298" i="6"/>
  <c r="S298" i="6"/>
  <c r="H298" i="6"/>
  <c r="R298" i="6"/>
  <c r="V297" i="6"/>
  <c r="U297" i="6"/>
  <c r="T297" i="6"/>
  <c r="I297" i="6"/>
  <c r="S297" i="6"/>
  <c r="H297" i="6"/>
  <c r="R297" i="6"/>
  <c r="V296" i="6"/>
  <c r="U296" i="6"/>
  <c r="T296" i="6"/>
  <c r="I296" i="6"/>
  <c r="S296" i="6"/>
  <c r="H296" i="6"/>
  <c r="R296" i="6"/>
  <c r="V295" i="6"/>
  <c r="U295" i="6"/>
  <c r="J295" i="6"/>
  <c r="T295" i="6"/>
  <c r="I295" i="6"/>
  <c r="S295" i="6"/>
  <c r="H295" i="6"/>
  <c r="R295" i="6"/>
  <c r="V294" i="6"/>
  <c r="U294" i="6"/>
  <c r="T294" i="6"/>
  <c r="I294" i="6"/>
  <c r="S294" i="6"/>
  <c r="H294" i="6"/>
  <c r="R294" i="6"/>
  <c r="V293" i="6"/>
  <c r="U293" i="6"/>
  <c r="T293" i="6"/>
  <c r="I293" i="6"/>
  <c r="S293" i="6"/>
  <c r="H293" i="6"/>
  <c r="R293" i="6"/>
  <c r="V292" i="6"/>
  <c r="U292" i="6"/>
  <c r="T292" i="6"/>
  <c r="I292" i="6"/>
  <c r="S292" i="6"/>
  <c r="H292" i="6"/>
  <c r="R292" i="6"/>
  <c r="V291" i="6"/>
  <c r="U291" i="6"/>
  <c r="T291" i="6"/>
  <c r="I291" i="6"/>
  <c r="S291" i="6"/>
  <c r="H291" i="6"/>
  <c r="R291" i="6"/>
  <c r="V288" i="6"/>
  <c r="U288" i="6"/>
  <c r="T288" i="6"/>
  <c r="I288" i="6"/>
  <c r="S288" i="6"/>
  <c r="H288" i="6"/>
  <c r="R288" i="6"/>
  <c r="V287" i="6"/>
  <c r="U287" i="6"/>
  <c r="T287" i="6"/>
  <c r="I287" i="6"/>
  <c r="S287" i="6"/>
  <c r="H287" i="6"/>
  <c r="R287" i="6"/>
  <c r="V284" i="6"/>
  <c r="U284" i="6"/>
  <c r="T284" i="6"/>
  <c r="I284" i="6"/>
  <c r="S284" i="6"/>
  <c r="H284" i="6"/>
  <c r="R284" i="6"/>
  <c r="V283" i="6"/>
  <c r="K283" i="6"/>
  <c r="U283" i="6"/>
  <c r="J283" i="6"/>
  <c r="T283" i="6"/>
  <c r="I283" i="6"/>
  <c r="S283" i="6"/>
  <c r="H283" i="6"/>
  <c r="R283" i="6"/>
  <c r="V282" i="6"/>
  <c r="U282" i="6"/>
  <c r="T282" i="6"/>
  <c r="I282" i="6"/>
  <c r="S282" i="6"/>
  <c r="H282" i="6"/>
  <c r="R282" i="6"/>
  <c r="V281" i="6"/>
  <c r="U281" i="6"/>
  <c r="T281" i="6"/>
  <c r="I281" i="6"/>
  <c r="S281" i="6"/>
  <c r="H281" i="6"/>
  <c r="R281" i="6"/>
  <c r="V280" i="6"/>
  <c r="U280" i="6"/>
  <c r="T280" i="6"/>
  <c r="S280" i="6"/>
  <c r="H280" i="6"/>
  <c r="R280" i="6"/>
  <c r="V279" i="6"/>
  <c r="U279" i="6"/>
  <c r="T279" i="6"/>
  <c r="S279" i="6"/>
  <c r="H104" i="6"/>
  <c r="R104" i="6"/>
  <c r="I104" i="6"/>
  <c r="S104" i="6"/>
  <c r="T104" i="6"/>
  <c r="U104" i="6"/>
  <c r="V104" i="6"/>
  <c r="W104" i="6"/>
  <c r="H121" i="6"/>
  <c r="R121" i="6"/>
  <c r="S121" i="6"/>
  <c r="T121" i="6"/>
  <c r="U121" i="6"/>
  <c r="V121" i="6"/>
  <c r="W121" i="6"/>
  <c r="H133" i="6"/>
  <c r="R133" i="6"/>
  <c r="S133" i="6"/>
  <c r="T133" i="6"/>
  <c r="U133" i="6"/>
  <c r="V133" i="6"/>
  <c r="W133" i="6"/>
  <c r="H279" i="6"/>
  <c r="R279" i="6"/>
  <c r="V272" i="6"/>
  <c r="U272" i="6"/>
  <c r="T272" i="6"/>
  <c r="S272" i="6"/>
  <c r="H272" i="6"/>
  <c r="R272" i="6"/>
  <c r="V271" i="6"/>
  <c r="U271" i="6"/>
  <c r="T271" i="6"/>
  <c r="S271" i="6"/>
  <c r="H271" i="6"/>
  <c r="R271" i="6"/>
  <c r="V270" i="6"/>
  <c r="U270" i="6"/>
  <c r="T270" i="6"/>
  <c r="S270" i="6"/>
  <c r="H270" i="6"/>
  <c r="R270" i="6"/>
  <c r="V269" i="6"/>
  <c r="U269" i="6"/>
  <c r="T269" i="6"/>
  <c r="S269" i="6"/>
  <c r="H269" i="6"/>
  <c r="R269" i="6"/>
  <c r="V268" i="6"/>
  <c r="U268" i="6"/>
  <c r="T268" i="6"/>
  <c r="S268" i="6"/>
  <c r="H268" i="6"/>
  <c r="R268" i="6"/>
  <c r="V267" i="6"/>
  <c r="U267" i="6"/>
  <c r="T267" i="6"/>
  <c r="S267" i="6"/>
  <c r="H267" i="6"/>
  <c r="R267" i="6"/>
  <c r="V266" i="6"/>
  <c r="U266" i="6"/>
  <c r="T266" i="6"/>
  <c r="S266" i="6"/>
  <c r="H134" i="6"/>
  <c r="R134" i="6"/>
  <c r="S134" i="6"/>
  <c r="T134" i="6"/>
  <c r="U134" i="6"/>
  <c r="V134" i="6"/>
  <c r="W134" i="6"/>
  <c r="H119" i="6"/>
  <c r="R119" i="6"/>
  <c r="S119" i="6"/>
  <c r="T119" i="6"/>
  <c r="U119" i="6"/>
  <c r="V119" i="6"/>
  <c r="W119" i="6"/>
  <c r="H170" i="6"/>
  <c r="R170" i="6"/>
  <c r="H142" i="6"/>
  <c r="R142" i="6"/>
  <c r="W279" i="6"/>
  <c r="I142" i="6"/>
  <c r="S142" i="6"/>
  <c r="T142" i="6"/>
  <c r="U142" i="6"/>
  <c r="V142" i="6"/>
  <c r="W142" i="6"/>
  <c r="I170" i="6"/>
  <c r="S170" i="6"/>
  <c r="T170" i="6"/>
  <c r="U170" i="6"/>
  <c r="V170" i="6"/>
  <c r="W170" i="6"/>
  <c r="H218" i="6"/>
  <c r="R218" i="6"/>
  <c r="S218" i="6"/>
  <c r="T218" i="6"/>
  <c r="U218" i="6"/>
  <c r="V218" i="6"/>
  <c r="W218" i="6"/>
  <c r="H238" i="6"/>
  <c r="R238" i="6"/>
  <c r="S238" i="6"/>
  <c r="T238" i="6"/>
  <c r="U238" i="6"/>
  <c r="V238" i="6"/>
  <c r="W238" i="6"/>
  <c r="H266" i="6"/>
  <c r="R266" i="6"/>
  <c r="V265" i="6"/>
  <c r="U265" i="6"/>
  <c r="T265" i="6"/>
  <c r="I265" i="6"/>
  <c r="S265" i="6"/>
  <c r="H265" i="6"/>
  <c r="R265" i="6"/>
  <c r="V264" i="6"/>
  <c r="U264" i="6"/>
  <c r="T264" i="6"/>
  <c r="S264" i="6"/>
  <c r="H212" i="6"/>
  <c r="R212" i="6"/>
  <c r="S212" i="6"/>
  <c r="T212" i="6"/>
  <c r="U212" i="6"/>
  <c r="V212" i="6"/>
  <c r="W212" i="6"/>
  <c r="H232" i="6"/>
  <c r="R232" i="6"/>
  <c r="S232" i="6"/>
  <c r="T232" i="6"/>
  <c r="U232" i="6"/>
  <c r="V232" i="6"/>
  <c r="W232" i="6"/>
  <c r="H235" i="6"/>
  <c r="R235" i="6"/>
  <c r="S235" i="6"/>
  <c r="T235" i="6"/>
  <c r="U235" i="6"/>
  <c r="V235" i="6"/>
  <c r="W235" i="6"/>
  <c r="H264" i="6"/>
  <c r="R264" i="6"/>
  <c r="V263" i="6"/>
  <c r="U263" i="6"/>
  <c r="T263" i="6"/>
  <c r="I263" i="6"/>
  <c r="S263" i="6"/>
  <c r="H263" i="6"/>
  <c r="R263" i="6"/>
  <c r="L262" i="6"/>
  <c r="V262" i="6"/>
  <c r="K262" i="6"/>
  <c r="U262" i="6"/>
  <c r="J262" i="6"/>
  <c r="T262" i="6"/>
  <c r="I262" i="6"/>
  <c r="S262" i="6"/>
  <c r="H262" i="6"/>
  <c r="R262" i="6"/>
  <c r="V257" i="6"/>
  <c r="U257" i="6"/>
  <c r="T257" i="6"/>
  <c r="S257" i="6"/>
  <c r="H257" i="6"/>
  <c r="R257" i="6"/>
  <c r="V256" i="6"/>
  <c r="U256" i="6"/>
  <c r="T256" i="6"/>
  <c r="S256" i="6"/>
  <c r="H256" i="6"/>
  <c r="R256" i="6"/>
  <c r="V255" i="6"/>
  <c r="U255" i="6"/>
  <c r="T255" i="6"/>
  <c r="S255" i="6"/>
  <c r="H255" i="6"/>
  <c r="R255" i="6"/>
  <c r="V254" i="6"/>
  <c r="U254" i="6"/>
  <c r="T254" i="6"/>
  <c r="S254" i="6"/>
  <c r="H254" i="6"/>
  <c r="R254" i="6"/>
  <c r="V253" i="6"/>
  <c r="U253" i="6"/>
  <c r="T253" i="6"/>
  <c r="S253" i="6"/>
  <c r="H253" i="6"/>
  <c r="R253" i="6"/>
  <c r="V252" i="6"/>
  <c r="U252" i="6"/>
  <c r="T252" i="6"/>
  <c r="S252" i="6"/>
  <c r="H252" i="6"/>
  <c r="R252" i="6"/>
  <c r="V251" i="6"/>
  <c r="U251" i="6"/>
  <c r="T251" i="6"/>
  <c r="S251" i="6"/>
  <c r="H251" i="6"/>
  <c r="R251" i="6"/>
  <c r="V250" i="6"/>
  <c r="U250" i="6"/>
  <c r="T250" i="6"/>
  <c r="I250" i="6"/>
  <c r="S250" i="6"/>
  <c r="H250" i="6"/>
  <c r="R250" i="6"/>
  <c r="V249" i="6"/>
  <c r="U249" i="6"/>
  <c r="T249" i="6"/>
  <c r="I249" i="6"/>
  <c r="S249" i="6"/>
  <c r="H249" i="6"/>
  <c r="R249" i="6"/>
  <c r="V248" i="6"/>
  <c r="U248" i="6"/>
  <c r="T248" i="6"/>
  <c r="I248" i="6"/>
  <c r="S248" i="6"/>
  <c r="H248" i="6"/>
  <c r="R248" i="6"/>
  <c r="V245" i="6"/>
  <c r="U245" i="6"/>
  <c r="T245" i="6"/>
  <c r="S245" i="6"/>
  <c r="H245" i="6"/>
  <c r="R245" i="6"/>
  <c r="V244" i="6"/>
  <c r="U244" i="6"/>
  <c r="T244" i="6"/>
  <c r="S244" i="6"/>
  <c r="H244" i="6"/>
  <c r="R244" i="6"/>
  <c r="V243" i="6"/>
  <c r="U243" i="6"/>
  <c r="T243" i="6"/>
  <c r="S243" i="6"/>
  <c r="H243" i="6"/>
  <c r="R243" i="6"/>
  <c r="V242" i="6"/>
  <c r="K242" i="6"/>
  <c r="U242" i="6"/>
  <c r="J242" i="6"/>
  <c r="T242" i="6"/>
  <c r="I242" i="6"/>
  <c r="S242" i="6"/>
  <c r="H242" i="6"/>
  <c r="R242" i="6"/>
  <c r="V241" i="6"/>
  <c r="K241" i="6"/>
  <c r="U241" i="6"/>
  <c r="J241" i="6"/>
  <c r="T241" i="6"/>
  <c r="I241" i="6"/>
  <c r="S241" i="6"/>
  <c r="H241" i="6"/>
  <c r="R241" i="6"/>
  <c r="V240" i="6"/>
  <c r="U240" i="6"/>
  <c r="T240" i="6"/>
  <c r="S240" i="6"/>
  <c r="H240" i="6"/>
  <c r="R240" i="6"/>
  <c r="V239" i="6"/>
  <c r="U239" i="6"/>
  <c r="T239" i="6"/>
  <c r="I239" i="6"/>
  <c r="S239" i="6"/>
  <c r="H239" i="6"/>
  <c r="R239" i="6"/>
  <c r="V237" i="6"/>
  <c r="U237" i="6"/>
  <c r="T237" i="6"/>
  <c r="S237" i="6"/>
  <c r="H237" i="6"/>
  <c r="R237" i="6"/>
  <c r="V236" i="6"/>
  <c r="U236" i="6"/>
  <c r="T236" i="6"/>
  <c r="I236" i="6"/>
  <c r="S236" i="6"/>
  <c r="H236" i="6"/>
  <c r="R236" i="6"/>
  <c r="V234" i="6"/>
  <c r="U234" i="6"/>
  <c r="J234" i="6"/>
  <c r="T234" i="6"/>
  <c r="I234" i="6"/>
  <c r="S234" i="6"/>
  <c r="H234" i="6"/>
  <c r="R234" i="6"/>
  <c r="V233" i="6"/>
  <c r="U233" i="6"/>
  <c r="T233" i="6"/>
  <c r="I233" i="6"/>
  <c r="S233" i="6"/>
  <c r="H233" i="6"/>
  <c r="R233" i="6"/>
  <c r="V231" i="6"/>
  <c r="K231" i="6"/>
  <c r="U231" i="6"/>
  <c r="J231" i="6"/>
  <c r="T231" i="6"/>
  <c r="I231" i="6"/>
  <c r="S231" i="6"/>
  <c r="H231" i="6"/>
  <c r="R231" i="6"/>
  <c r="V230" i="6"/>
  <c r="K230" i="6"/>
  <c r="U230" i="6"/>
  <c r="J230" i="6"/>
  <c r="T230" i="6"/>
  <c r="I230" i="6"/>
  <c r="S230" i="6"/>
  <c r="H230" i="6"/>
  <c r="R230" i="6"/>
  <c r="V223" i="6"/>
  <c r="U223" i="6"/>
  <c r="T223" i="6"/>
  <c r="S223" i="6"/>
  <c r="H223" i="6"/>
  <c r="R223" i="6"/>
  <c r="V222" i="6"/>
  <c r="U222" i="6"/>
  <c r="T222" i="6"/>
  <c r="S222" i="6"/>
  <c r="H222" i="6"/>
  <c r="R222" i="6"/>
  <c r="V221" i="6"/>
  <c r="U221" i="6"/>
  <c r="T221" i="6"/>
  <c r="S221" i="6"/>
  <c r="H221" i="6"/>
  <c r="R221" i="6"/>
  <c r="V220" i="6"/>
  <c r="U220" i="6"/>
  <c r="T220" i="6"/>
  <c r="S220" i="6"/>
  <c r="H220" i="6"/>
  <c r="R220" i="6"/>
  <c r="V219" i="6"/>
  <c r="U219" i="6"/>
  <c r="T219" i="6"/>
  <c r="S219" i="6"/>
  <c r="H219" i="6"/>
  <c r="R219" i="6"/>
  <c r="V217" i="6"/>
  <c r="U217" i="6"/>
  <c r="T217" i="6"/>
  <c r="S217" i="6"/>
  <c r="H217" i="6"/>
  <c r="R217" i="6"/>
  <c r="V215" i="6"/>
  <c r="U215" i="6"/>
  <c r="T215" i="6"/>
  <c r="S215" i="6"/>
  <c r="H215" i="6"/>
  <c r="R215" i="6"/>
  <c r="V214" i="6"/>
  <c r="U214" i="6"/>
  <c r="J214" i="6"/>
  <c r="T214" i="6"/>
  <c r="I214" i="6"/>
  <c r="S214" i="6"/>
  <c r="H214" i="6"/>
  <c r="R214" i="6"/>
  <c r="V213" i="6"/>
  <c r="U213" i="6"/>
  <c r="J213" i="6"/>
  <c r="T213" i="6"/>
  <c r="I213" i="6"/>
  <c r="S213" i="6"/>
  <c r="H213" i="6"/>
  <c r="R213" i="6"/>
  <c r="V210" i="6"/>
  <c r="U210" i="6"/>
  <c r="T210" i="6"/>
  <c r="S210" i="6"/>
  <c r="H210" i="6"/>
  <c r="R210" i="6"/>
  <c r="V209" i="6"/>
  <c r="U209" i="6"/>
  <c r="T209" i="6"/>
  <c r="I209" i="6"/>
  <c r="S209" i="6"/>
  <c r="H209" i="6"/>
  <c r="R209" i="6"/>
  <c r="V208" i="6"/>
  <c r="U208" i="6"/>
  <c r="T208" i="6"/>
  <c r="I208" i="6"/>
  <c r="S208" i="6"/>
  <c r="H208" i="6"/>
  <c r="R208" i="6"/>
  <c r="V207" i="6"/>
  <c r="U207" i="6"/>
  <c r="T207" i="6"/>
  <c r="I207" i="6"/>
  <c r="S207" i="6"/>
  <c r="H207" i="6"/>
  <c r="R207" i="6"/>
  <c r="V206" i="6"/>
  <c r="U206" i="6"/>
  <c r="T206" i="6"/>
  <c r="I206" i="6"/>
  <c r="S206" i="6"/>
  <c r="H206" i="6"/>
  <c r="R206" i="6"/>
  <c r="V205" i="6"/>
  <c r="U205" i="6"/>
  <c r="T205" i="6"/>
  <c r="I205" i="6"/>
  <c r="S205" i="6"/>
  <c r="H205" i="6"/>
  <c r="R205" i="6"/>
  <c r="V204" i="6"/>
  <c r="U204" i="6"/>
  <c r="T204" i="6"/>
  <c r="S204" i="6"/>
  <c r="H204" i="6"/>
  <c r="R204" i="6"/>
  <c r="V203" i="6"/>
  <c r="U203" i="6"/>
  <c r="T203" i="6"/>
  <c r="I203" i="6"/>
  <c r="S203" i="6"/>
  <c r="H203" i="6"/>
  <c r="R203" i="6"/>
  <c r="V202" i="6"/>
  <c r="U202" i="6"/>
  <c r="T202" i="6"/>
  <c r="I202" i="6"/>
  <c r="S202" i="6"/>
  <c r="H202" i="6"/>
  <c r="R202" i="6"/>
  <c r="V201" i="6"/>
  <c r="U201" i="6"/>
  <c r="T201" i="6"/>
  <c r="I201" i="6"/>
  <c r="S201" i="6"/>
  <c r="H201" i="6"/>
  <c r="R201" i="6"/>
  <c r="V200" i="6"/>
  <c r="U200" i="6"/>
  <c r="J200" i="6"/>
  <c r="T200" i="6"/>
  <c r="I200" i="6"/>
  <c r="S200" i="6"/>
  <c r="H200" i="6"/>
  <c r="R200" i="6"/>
  <c r="V199" i="6"/>
  <c r="U199" i="6"/>
  <c r="J199" i="6"/>
  <c r="T199" i="6"/>
  <c r="I199" i="6"/>
  <c r="S199" i="6"/>
  <c r="H199" i="6"/>
  <c r="R199" i="6"/>
  <c r="V198" i="6"/>
  <c r="U198" i="6"/>
  <c r="J198" i="6"/>
  <c r="T198" i="6"/>
  <c r="I198" i="6"/>
  <c r="S198" i="6"/>
  <c r="H198" i="6"/>
  <c r="R198" i="6"/>
  <c r="V197" i="6"/>
  <c r="U197" i="6"/>
  <c r="J197" i="6"/>
  <c r="T197" i="6"/>
  <c r="I197" i="6"/>
  <c r="S197" i="6"/>
  <c r="H197" i="6"/>
  <c r="R197" i="6"/>
  <c r="V196" i="6"/>
  <c r="U196" i="6"/>
  <c r="T196" i="6"/>
  <c r="S196" i="6"/>
  <c r="H196" i="6"/>
  <c r="R196" i="6"/>
  <c r="V195" i="6"/>
  <c r="U195" i="6"/>
  <c r="T195" i="6"/>
  <c r="I195" i="6"/>
  <c r="S195" i="6"/>
  <c r="H195" i="6"/>
  <c r="R195" i="6"/>
  <c r="V194" i="6"/>
  <c r="U194" i="6"/>
  <c r="T194" i="6"/>
  <c r="S194" i="6"/>
  <c r="H194" i="6"/>
  <c r="R194" i="6"/>
  <c r="V193" i="6"/>
  <c r="U193" i="6"/>
  <c r="T193" i="6"/>
  <c r="S193" i="6"/>
  <c r="H193" i="6"/>
  <c r="R193" i="6"/>
  <c r="V171" i="6"/>
  <c r="U171" i="6"/>
  <c r="T171" i="6"/>
  <c r="S171" i="6"/>
  <c r="H171" i="6"/>
  <c r="R171" i="6"/>
  <c r="V169" i="6"/>
  <c r="U169" i="6"/>
  <c r="T169" i="6"/>
  <c r="S169" i="6"/>
  <c r="H169" i="6"/>
  <c r="R169" i="6"/>
  <c r="V168" i="6"/>
  <c r="U168" i="6"/>
  <c r="T168" i="6"/>
  <c r="S168" i="6"/>
  <c r="H168" i="6"/>
  <c r="R168" i="6"/>
  <c r="V167" i="6"/>
  <c r="U167" i="6"/>
  <c r="T167" i="6"/>
  <c r="S167" i="6"/>
  <c r="H167" i="6"/>
  <c r="R167" i="6"/>
  <c r="V166" i="6"/>
  <c r="U166" i="6"/>
  <c r="T166" i="6"/>
  <c r="S166" i="6"/>
  <c r="H166" i="6"/>
  <c r="R166" i="6"/>
  <c r="V165" i="6"/>
  <c r="U165" i="6"/>
  <c r="T165" i="6"/>
  <c r="S165" i="6"/>
  <c r="H165" i="6"/>
  <c r="R165" i="6"/>
  <c r="V164" i="6"/>
  <c r="U164" i="6"/>
  <c r="T164" i="6"/>
  <c r="S164" i="6"/>
  <c r="H164" i="6"/>
  <c r="R164" i="6"/>
  <c r="V161" i="6"/>
  <c r="U161" i="6"/>
  <c r="T161" i="6"/>
  <c r="S161" i="6"/>
  <c r="H161" i="6"/>
  <c r="R161" i="6"/>
  <c r="V160" i="6"/>
  <c r="U160" i="6"/>
  <c r="T160" i="6"/>
  <c r="S160" i="6"/>
  <c r="H160" i="6"/>
  <c r="R160" i="6"/>
  <c r="V159" i="6"/>
  <c r="U159" i="6"/>
  <c r="T159" i="6"/>
  <c r="S159" i="6"/>
  <c r="H159" i="6"/>
  <c r="R159" i="6"/>
  <c r="V153" i="6"/>
  <c r="U153" i="6"/>
  <c r="T153" i="6"/>
  <c r="S153" i="6"/>
  <c r="H153" i="6"/>
  <c r="R153" i="6"/>
  <c r="V150" i="6"/>
  <c r="U150" i="6"/>
  <c r="T150" i="6"/>
  <c r="S150" i="6"/>
  <c r="H150" i="6"/>
  <c r="R150" i="6"/>
  <c r="V149" i="6"/>
  <c r="U149" i="6"/>
  <c r="T149" i="6"/>
  <c r="S149" i="6"/>
  <c r="H149" i="6"/>
  <c r="R149" i="6"/>
  <c r="V146" i="6"/>
  <c r="U146" i="6"/>
  <c r="T146" i="6"/>
  <c r="S146" i="6"/>
  <c r="H146" i="6"/>
  <c r="R146" i="6"/>
  <c r="V145" i="6"/>
  <c r="U145" i="6"/>
  <c r="T145" i="6"/>
  <c r="S145" i="6"/>
  <c r="H145" i="6"/>
  <c r="R145" i="6"/>
  <c r="V144" i="6"/>
  <c r="U144" i="6"/>
  <c r="T144" i="6"/>
  <c r="S144" i="6"/>
  <c r="H144" i="6"/>
  <c r="R144" i="6"/>
  <c r="V143" i="6"/>
  <c r="U143" i="6"/>
  <c r="T143" i="6"/>
  <c r="S143" i="6"/>
  <c r="H143" i="6"/>
  <c r="R143" i="6"/>
  <c r="V141" i="6"/>
  <c r="U141" i="6"/>
  <c r="T141" i="6"/>
  <c r="S141" i="6"/>
  <c r="H141" i="6"/>
  <c r="R141" i="6"/>
  <c r="V140" i="6"/>
  <c r="U140" i="6"/>
  <c r="T140" i="6"/>
  <c r="S140" i="6"/>
  <c r="H140" i="6"/>
  <c r="R140" i="6"/>
  <c r="V139" i="6"/>
  <c r="U139" i="6"/>
  <c r="T139" i="6"/>
  <c r="S139" i="6"/>
  <c r="H139" i="6"/>
  <c r="R139" i="6"/>
  <c r="V138" i="6"/>
  <c r="U138" i="6"/>
  <c r="T138" i="6"/>
  <c r="S138" i="6"/>
  <c r="H138" i="6"/>
  <c r="R138" i="6"/>
  <c r="V137" i="6"/>
  <c r="U137" i="6"/>
  <c r="T137" i="6"/>
  <c r="S137" i="6"/>
  <c r="H137" i="6"/>
  <c r="R137" i="6"/>
  <c r="V136" i="6"/>
  <c r="U136" i="6"/>
  <c r="T136" i="6"/>
  <c r="I136" i="6"/>
  <c r="S136" i="6"/>
  <c r="H136" i="6"/>
  <c r="R136" i="6"/>
  <c r="V135" i="6"/>
  <c r="U135" i="6"/>
  <c r="J135" i="6"/>
  <c r="T135" i="6"/>
  <c r="I135" i="6"/>
  <c r="S135" i="6"/>
  <c r="H135" i="6"/>
  <c r="R135" i="6"/>
  <c r="V132" i="6"/>
  <c r="U132" i="6"/>
  <c r="T132" i="6"/>
  <c r="S132" i="6"/>
  <c r="H132" i="6"/>
  <c r="R132" i="6"/>
  <c r="V129" i="6"/>
  <c r="U129" i="6"/>
  <c r="T129" i="6"/>
  <c r="S129" i="6"/>
  <c r="H129" i="6"/>
  <c r="R129" i="6"/>
  <c r="V128" i="6"/>
  <c r="U128" i="6"/>
  <c r="T128" i="6"/>
  <c r="S128" i="6"/>
  <c r="H128" i="6"/>
  <c r="R128" i="6"/>
  <c r="V127" i="6"/>
  <c r="U127" i="6"/>
  <c r="T127" i="6"/>
  <c r="S127" i="6"/>
  <c r="H127" i="6"/>
  <c r="R127" i="6"/>
  <c r="V126" i="6"/>
  <c r="U126" i="6"/>
  <c r="T126" i="6"/>
  <c r="S126" i="6"/>
  <c r="H126" i="6"/>
  <c r="R126" i="6"/>
  <c r="V123" i="6"/>
  <c r="U123" i="6"/>
  <c r="T123" i="6"/>
  <c r="S123" i="6"/>
  <c r="H123" i="6"/>
  <c r="R123" i="6"/>
  <c r="V122" i="6"/>
  <c r="U122" i="6"/>
  <c r="T122" i="6"/>
  <c r="S122" i="6"/>
  <c r="H122" i="6"/>
  <c r="R122" i="6"/>
  <c r="V113" i="6"/>
  <c r="U113" i="6"/>
  <c r="T113" i="6"/>
  <c r="S113" i="6"/>
  <c r="H113" i="6"/>
  <c r="R113" i="6"/>
  <c r="V112" i="6"/>
  <c r="U112" i="6"/>
  <c r="T112" i="6"/>
  <c r="S112" i="6"/>
  <c r="H112" i="6"/>
  <c r="R112" i="6"/>
  <c r="V111" i="6"/>
  <c r="U111" i="6"/>
  <c r="T111" i="6"/>
  <c r="S111" i="6"/>
  <c r="H111" i="6"/>
  <c r="R111" i="6"/>
  <c r="V110" i="6"/>
  <c r="U110" i="6"/>
  <c r="T110" i="6"/>
  <c r="S110" i="6"/>
  <c r="H110" i="6"/>
  <c r="R110" i="6"/>
  <c r="V109" i="6"/>
  <c r="U109" i="6"/>
  <c r="T109" i="6"/>
  <c r="S109" i="6"/>
  <c r="H109" i="6"/>
  <c r="R109" i="6"/>
  <c r="V108" i="6"/>
  <c r="U108" i="6"/>
  <c r="T108" i="6"/>
  <c r="S108" i="6"/>
  <c r="H108" i="6"/>
  <c r="R108" i="6"/>
  <c r="V107" i="6"/>
  <c r="U107" i="6"/>
  <c r="T107" i="6"/>
  <c r="S107" i="6"/>
  <c r="H107" i="6"/>
  <c r="R107" i="6"/>
  <c r="V106" i="6"/>
  <c r="U106" i="6"/>
  <c r="T106" i="6"/>
  <c r="S106" i="6"/>
  <c r="H106" i="6"/>
  <c r="R106" i="6"/>
  <c r="V105" i="6"/>
  <c r="U105" i="6"/>
  <c r="T105" i="6"/>
  <c r="S105" i="6"/>
  <c r="H105" i="6"/>
  <c r="R105" i="6"/>
  <c r="V103" i="6"/>
  <c r="U103" i="6"/>
  <c r="T103" i="6"/>
  <c r="S103" i="6"/>
  <c r="H103" i="6"/>
  <c r="R103" i="6"/>
  <c r="V102" i="6"/>
  <c r="U102" i="6"/>
  <c r="T102" i="6"/>
  <c r="S102" i="6"/>
  <c r="H102" i="6"/>
  <c r="R102" i="6"/>
  <c r="V101" i="6"/>
  <c r="U101" i="6"/>
  <c r="T101" i="6"/>
  <c r="S101" i="6"/>
  <c r="H101" i="6"/>
  <c r="R101" i="6"/>
  <c r="V100" i="6"/>
  <c r="U100" i="6"/>
  <c r="T100" i="6"/>
  <c r="S100" i="6"/>
  <c r="H100" i="6"/>
  <c r="R100" i="6"/>
  <c r="V90" i="6"/>
  <c r="U90" i="6"/>
  <c r="T90" i="6"/>
  <c r="S90" i="6"/>
  <c r="H90" i="6"/>
  <c r="R90" i="6"/>
  <c r="V85" i="6"/>
  <c r="U85" i="6"/>
  <c r="T85" i="6"/>
  <c r="S85" i="6"/>
  <c r="H85" i="6"/>
  <c r="R85" i="6"/>
  <c r="V84" i="6"/>
  <c r="U84" i="6"/>
  <c r="T84" i="6"/>
  <c r="S84" i="6"/>
  <c r="H84" i="6"/>
  <c r="R84" i="6"/>
  <c r="V83" i="6"/>
  <c r="U83" i="6"/>
  <c r="T83" i="6"/>
  <c r="S83" i="6"/>
  <c r="H83" i="6"/>
  <c r="R83" i="6"/>
  <c r="V82" i="6"/>
  <c r="U82" i="6"/>
  <c r="J82" i="6"/>
  <c r="T82" i="6"/>
  <c r="I82" i="6"/>
  <c r="S82" i="6"/>
  <c r="H82" i="6"/>
  <c r="R82" i="6"/>
  <c r="V81" i="6"/>
  <c r="U81" i="6"/>
  <c r="T81" i="6"/>
  <c r="S81" i="6"/>
  <c r="H81" i="6"/>
  <c r="R81" i="6"/>
  <c r="V80" i="6"/>
  <c r="U80" i="6"/>
  <c r="T80" i="6"/>
  <c r="S80" i="6"/>
  <c r="H80" i="6"/>
  <c r="R80" i="6"/>
  <c r="V79" i="6"/>
  <c r="U79" i="6"/>
  <c r="T79" i="6"/>
  <c r="S79" i="6"/>
  <c r="H79" i="6"/>
  <c r="R79" i="6"/>
  <c r="V78" i="6"/>
  <c r="U78" i="6"/>
  <c r="T78" i="6"/>
  <c r="I78" i="6"/>
  <c r="S78" i="6"/>
  <c r="H78" i="6"/>
  <c r="R78" i="6"/>
  <c r="V77" i="6"/>
  <c r="U77" i="6"/>
  <c r="T77" i="6"/>
  <c r="S77" i="6"/>
  <c r="H77" i="6"/>
  <c r="R77" i="6"/>
  <c r="V76" i="6"/>
  <c r="U76" i="6"/>
  <c r="T76" i="6"/>
  <c r="S76" i="6"/>
  <c r="H76" i="6"/>
  <c r="R76" i="6"/>
  <c r="V75" i="6"/>
  <c r="U75" i="6"/>
  <c r="T75" i="6"/>
  <c r="S75" i="6"/>
  <c r="H75" i="6"/>
  <c r="R75" i="6"/>
  <c r="V74" i="6"/>
  <c r="U74" i="6"/>
  <c r="T74" i="6"/>
  <c r="S74" i="6"/>
  <c r="H74" i="6"/>
  <c r="R74" i="6"/>
  <c r="V73" i="6"/>
  <c r="U73" i="6"/>
  <c r="T73" i="6"/>
  <c r="S73" i="6"/>
  <c r="H73" i="6"/>
  <c r="R73" i="6"/>
  <c r="V72" i="6"/>
  <c r="U72" i="6"/>
  <c r="T72" i="6"/>
  <c r="S72" i="6"/>
  <c r="H72" i="6"/>
  <c r="R72" i="6"/>
  <c r="V71" i="6"/>
  <c r="U71" i="6"/>
  <c r="T71" i="6"/>
  <c r="S71" i="6"/>
  <c r="H71" i="6"/>
  <c r="R71" i="6"/>
  <c r="V70" i="6"/>
  <c r="U70" i="6"/>
  <c r="T70" i="6"/>
  <c r="S70" i="6"/>
  <c r="H70" i="6"/>
  <c r="R70" i="6"/>
  <c r="V69" i="6"/>
  <c r="U69" i="6"/>
  <c r="T69" i="6"/>
  <c r="S69" i="6"/>
  <c r="H69" i="6"/>
  <c r="R69" i="6"/>
  <c r="V68" i="6"/>
  <c r="U68" i="6"/>
  <c r="T68" i="6"/>
  <c r="S68" i="6"/>
  <c r="H68" i="6"/>
  <c r="R68" i="6"/>
  <c r="V67" i="6"/>
  <c r="U67" i="6"/>
  <c r="T67" i="6"/>
  <c r="S67" i="6"/>
  <c r="H67" i="6"/>
  <c r="R67" i="6"/>
  <c r="V66" i="6"/>
  <c r="U66" i="6"/>
  <c r="T66" i="6"/>
  <c r="I66" i="6"/>
  <c r="S66" i="6"/>
  <c r="H66" i="6"/>
  <c r="R66" i="6"/>
  <c r="V65" i="6"/>
  <c r="U65" i="6"/>
  <c r="T65" i="6"/>
  <c r="S65" i="6"/>
  <c r="H65" i="6"/>
  <c r="R65" i="6"/>
  <c r="V64" i="6"/>
  <c r="U64" i="6"/>
  <c r="T64" i="6"/>
  <c r="S64" i="6"/>
  <c r="H64" i="6"/>
  <c r="R64" i="6"/>
  <c r="V63" i="6"/>
  <c r="U63" i="6"/>
  <c r="T63" i="6"/>
  <c r="S63" i="6"/>
  <c r="H63" i="6"/>
  <c r="R63" i="6"/>
  <c r="V62" i="6"/>
  <c r="U62" i="6"/>
  <c r="T62" i="6"/>
  <c r="S62" i="6"/>
  <c r="H62" i="6"/>
  <c r="R62" i="6"/>
  <c r="V55" i="6"/>
  <c r="U55" i="6"/>
  <c r="T55" i="6"/>
  <c r="I55" i="6"/>
  <c r="S55" i="6"/>
  <c r="H55" i="6"/>
  <c r="R55" i="6"/>
  <c r="V54" i="6"/>
  <c r="U54" i="6"/>
  <c r="T54" i="6"/>
  <c r="S54" i="6"/>
  <c r="H54" i="6"/>
  <c r="R54" i="6"/>
  <c r="V51" i="6"/>
  <c r="U51" i="6"/>
  <c r="T51" i="6"/>
  <c r="I51" i="6"/>
  <c r="S51" i="6"/>
  <c r="H51" i="6"/>
  <c r="R51" i="6"/>
  <c r="V50" i="6"/>
  <c r="U50" i="6"/>
  <c r="T50" i="6"/>
  <c r="I50" i="6"/>
  <c r="S50" i="6"/>
  <c r="H50" i="6"/>
  <c r="R50" i="6"/>
  <c r="V49" i="6"/>
  <c r="U49" i="6"/>
  <c r="T49" i="6"/>
  <c r="S49" i="6"/>
  <c r="H49" i="6"/>
  <c r="R49" i="6"/>
  <c r="V47" i="6"/>
  <c r="U47" i="6"/>
  <c r="T47" i="6"/>
  <c r="S47" i="6"/>
  <c r="H47" i="6"/>
  <c r="R47" i="6"/>
  <c r="V44" i="6"/>
  <c r="U44" i="6"/>
  <c r="T44" i="6"/>
  <c r="S44" i="6"/>
  <c r="H44" i="6"/>
  <c r="R44" i="6"/>
  <c r="V43" i="6"/>
  <c r="U43" i="6"/>
  <c r="T43" i="6"/>
  <c r="S43" i="6"/>
  <c r="H43" i="6"/>
  <c r="R43" i="6"/>
  <c r="V41" i="6"/>
  <c r="U41" i="6"/>
  <c r="T41" i="6"/>
  <c r="S41" i="6"/>
  <c r="H41" i="6"/>
  <c r="R41" i="6"/>
  <c r="V37" i="6"/>
  <c r="U37" i="6"/>
  <c r="T37" i="6"/>
  <c r="S37" i="6"/>
  <c r="H37" i="6"/>
  <c r="R37" i="6"/>
  <c r="V36" i="6"/>
  <c r="U36" i="6"/>
  <c r="T36" i="6"/>
  <c r="S36" i="6"/>
  <c r="H36" i="6"/>
  <c r="R36" i="6"/>
  <c r="V33" i="6"/>
  <c r="U33" i="6"/>
  <c r="T33" i="6"/>
  <c r="S33" i="6"/>
  <c r="H33" i="6"/>
  <c r="R33" i="6"/>
  <c r="V32" i="6"/>
  <c r="U32" i="6"/>
  <c r="T32" i="6"/>
  <c r="S32" i="6"/>
  <c r="H32" i="6"/>
  <c r="R32" i="6"/>
  <c r="V31" i="6"/>
  <c r="U31" i="6"/>
  <c r="T31" i="6"/>
  <c r="S31" i="6"/>
  <c r="H31" i="6"/>
  <c r="R31" i="6"/>
  <c r="V29" i="6"/>
  <c r="U29" i="6"/>
  <c r="T29" i="6"/>
  <c r="S29" i="6"/>
  <c r="R29" i="6"/>
  <c r="V26" i="6"/>
  <c r="U26" i="6"/>
  <c r="T26" i="6"/>
  <c r="S26" i="6"/>
  <c r="R26" i="6"/>
  <c r="V25" i="6"/>
  <c r="U25" i="6"/>
  <c r="T25" i="6"/>
  <c r="S25" i="6"/>
  <c r="R25" i="6"/>
  <c r="V24" i="6"/>
  <c r="U24" i="6"/>
  <c r="T24" i="6"/>
  <c r="S24" i="6"/>
  <c r="R24" i="6"/>
  <c r="V23" i="6"/>
  <c r="U23" i="6"/>
  <c r="T23" i="6"/>
  <c r="S23" i="6"/>
  <c r="R23" i="6"/>
  <c r="V22" i="6"/>
  <c r="U22" i="6"/>
  <c r="T22" i="6"/>
  <c r="S22" i="6"/>
  <c r="H22" i="6"/>
  <c r="R22" i="6"/>
  <c r="V11" i="6"/>
  <c r="U11" i="6"/>
  <c r="T11" i="6"/>
  <c r="S11" i="6"/>
  <c r="R11" i="6"/>
  <c r="V9" i="6"/>
  <c r="U9" i="6"/>
  <c r="T9" i="6"/>
  <c r="S9" i="6"/>
  <c r="R9" i="6"/>
  <c r="AK386" i="6"/>
  <c r="AJ386" i="6"/>
  <c r="AG386" i="6"/>
  <c r="AF386" i="6"/>
  <c r="Y386" i="6"/>
  <c r="W386" i="6"/>
  <c r="AK387" i="6"/>
  <c r="AJ387" i="6"/>
  <c r="AG387" i="6"/>
  <c r="AF387" i="6"/>
  <c r="Y387" i="6"/>
  <c r="W387" i="6"/>
  <c r="AK257" i="6"/>
  <c r="AJ257" i="6"/>
  <c r="AG257" i="6"/>
  <c r="AF257" i="6"/>
  <c r="Y257" i="6"/>
  <c r="W257" i="6"/>
  <c r="AK256" i="6"/>
  <c r="AJ256" i="6"/>
  <c r="AG256" i="6"/>
  <c r="AF256" i="6"/>
  <c r="Y256" i="6"/>
  <c r="W256" i="6"/>
  <c r="AK253" i="6"/>
  <c r="AJ253" i="6"/>
  <c r="AG253" i="6"/>
  <c r="AF253" i="6"/>
  <c r="Y253" i="6"/>
  <c r="W253" i="6"/>
  <c r="AK250" i="6"/>
  <c r="AJ250" i="6"/>
  <c r="AG250" i="6"/>
  <c r="AF250" i="6"/>
  <c r="Y250" i="6"/>
  <c r="W250" i="6"/>
  <c r="W252" i="6"/>
  <c r="AK252" i="6"/>
  <c r="AJ252" i="6"/>
  <c r="AG252" i="6"/>
  <c r="AF252" i="6"/>
  <c r="Y252" i="6"/>
  <c r="AK249" i="6"/>
  <c r="AJ249" i="6"/>
  <c r="AG249" i="6"/>
  <c r="AF249" i="6"/>
  <c r="Y249" i="6"/>
  <c r="W249" i="6"/>
  <c r="AK244" i="6"/>
  <c r="AJ244" i="6"/>
  <c r="AG244" i="6"/>
  <c r="AF244" i="6"/>
  <c r="Y244" i="6"/>
  <c r="W244" i="6"/>
  <c r="AK245" i="6"/>
  <c r="AJ245" i="6"/>
  <c r="AG245" i="6"/>
  <c r="AF245" i="6"/>
  <c r="Y245" i="6"/>
  <c r="W245" i="6"/>
  <c r="AK243" i="6"/>
  <c r="AJ243" i="6"/>
  <c r="AG243" i="6"/>
  <c r="AF243" i="6"/>
  <c r="Y243" i="6"/>
  <c r="W243" i="6"/>
  <c r="AK208" i="6"/>
  <c r="AJ208" i="6"/>
  <c r="AG208" i="6"/>
  <c r="AF208" i="6"/>
  <c r="Y208" i="6"/>
  <c r="W208" i="6"/>
  <c r="AK207" i="6"/>
  <c r="AJ207" i="6"/>
  <c r="AG207" i="6"/>
  <c r="AF207" i="6"/>
  <c r="Y207" i="6"/>
  <c r="W207" i="6"/>
  <c r="AK206" i="6"/>
  <c r="AJ206" i="6"/>
  <c r="AG206" i="6"/>
  <c r="AF206" i="6"/>
  <c r="Y206" i="6"/>
  <c r="W206" i="6"/>
  <c r="AK205" i="6"/>
  <c r="AJ205" i="6"/>
  <c r="AG205" i="6"/>
  <c r="AF205" i="6"/>
  <c r="Y205" i="6"/>
  <c r="W205" i="6"/>
  <c r="AK437" i="6"/>
  <c r="AJ437" i="6"/>
  <c r="AG437" i="6"/>
  <c r="AF437" i="6"/>
  <c r="Y437" i="6"/>
  <c r="W437" i="6"/>
  <c r="AK153" i="6"/>
  <c r="AJ153" i="6"/>
  <c r="AG153" i="6"/>
  <c r="AF153" i="6"/>
  <c r="Y153" i="6"/>
  <c r="W153" i="6"/>
  <c r="AK333" i="6"/>
  <c r="AJ333" i="6"/>
  <c r="AG333" i="6"/>
  <c r="AF333" i="6"/>
  <c r="Y333" i="6"/>
  <c r="W333" i="6"/>
  <c r="AK284" i="6"/>
  <c r="AJ284" i="6"/>
  <c r="AG284" i="6"/>
  <c r="AF284" i="6"/>
  <c r="Y284" i="6"/>
  <c r="W284" i="6"/>
  <c r="AK440" i="6"/>
  <c r="AJ440" i="6"/>
  <c r="AG440" i="6"/>
  <c r="AF440" i="6"/>
  <c r="Y440" i="6"/>
  <c r="W440" i="6"/>
  <c r="AK439" i="6"/>
  <c r="AJ439" i="6"/>
  <c r="AG439" i="6"/>
  <c r="AF439" i="6"/>
  <c r="Y439" i="6"/>
  <c r="W439" i="6"/>
  <c r="AK438" i="6"/>
  <c r="AJ438" i="6"/>
  <c r="AG438" i="6"/>
  <c r="AF438" i="6"/>
  <c r="Y438" i="6"/>
  <c r="W438" i="6"/>
  <c r="AK436" i="6"/>
  <c r="AJ436" i="6"/>
  <c r="AG436" i="6"/>
  <c r="AF436" i="6"/>
  <c r="Y436" i="6"/>
  <c r="W436" i="6"/>
  <c r="AK435" i="6"/>
  <c r="AJ435" i="6"/>
  <c r="AG435" i="6"/>
  <c r="AF435" i="6"/>
  <c r="Y435" i="6"/>
  <c r="W435" i="6"/>
  <c r="AK434" i="6"/>
  <c r="AJ434" i="6"/>
  <c r="AG434" i="6"/>
  <c r="AF434" i="6"/>
  <c r="Y434" i="6"/>
  <c r="W434" i="6"/>
  <c r="AK433" i="6"/>
  <c r="AJ433" i="6"/>
  <c r="AG433" i="6"/>
  <c r="AF433" i="6"/>
  <c r="Y433" i="6"/>
  <c r="W433" i="6"/>
  <c r="AK432" i="6"/>
  <c r="AJ432" i="6"/>
  <c r="AG432" i="6"/>
  <c r="AF432" i="6"/>
  <c r="Y432" i="6"/>
  <c r="W432" i="6"/>
  <c r="AK431" i="6"/>
  <c r="AJ431" i="6"/>
  <c r="AG431" i="6"/>
  <c r="AF431" i="6"/>
  <c r="Y431" i="6"/>
  <c r="W431" i="6"/>
  <c r="AK430" i="6"/>
  <c r="AJ430" i="6"/>
  <c r="AG430" i="6"/>
  <c r="AF430" i="6"/>
  <c r="Y430" i="6"/>
  <c r="W430" i="6"/>
  <c r="AK423" i="6"/>
  <c r="AJ423" i="6"/>
  <c r="AG423" i="6"/>
  <c r="AF423" i="6"/>
  <c r="Y423" i="6"/>
  <c r="W423" i="6"/>
  <c r="AK426" i="6"/>
  <c r="AJ426" i="6"/>
  <c r="AG426" i="6"/>
  <c r="AF426" i="6"/>
  <c r="Y426" i="6"/>
  <c r="W426" i="6"/>
  <c r="AK425" i="6"/>
  <c r="AJ425" i="6"/>
  <c r="AG425" i="6"/>
  <c r="AF425" i="6"/>
  <c r="Y425" i="6"/>
  <c r="W425" i="6"/>
  <c r="AK429" i="6"/>
  <c r="AJ429" i="6"/>
  <c r="AG429" i="6"/>
  <c r="AF429" i="6"/>
  <c r="Y429" i="6"/>
  <c r="W429" i="6"/>
  <c r="AK424" i="6"/>
  <c r="AJ424" i="6"/>
  <c r="AG424" i="6"/>
  <c r="AF424" i="6"/>
  <c r="Y424" i="6"/>
  <c r="W424" i="6"/>
  <c r="AK422" i="6"/>
  <c r="AJ422" i="6"/>
  <c r="AG422" i="6"/>
  <c r="AF422" i="6"/>
  <c r="Y422" i="6"/>
  <c r="W422" i="6"/>
  <c r="AK421" i="6"/>
  <c r="AJ421" i="6"/>
  <c r="AG421" i="6"/>
  <c r="AF421" i="6"/>
  <c r="Y421" i="6"/>
  <c r="W421" i="6"/>
  <c r="AK420" i="6"/>
  <c r="AJ420" i="6"/>
  <c r="AG420" i="6"/>
  <c r="AF420" i="6"/>
  <c r="Y420" i="6"/>
  <c r="W420" i="6"/>
  <c r="AK418" i="6"/>
  <c r="AJ418" i="6"/>
  <c r="AG418" i="6"/>
  <c r="AF418" i="6"/>
  <c r="Y418" i="6"/>
  <c r="W418" i="6"/>
  <c r="AK419" i="6"/>
  <c r="AJ419" i="6"/>
  <c r="AG419" i="6"/>
  <c r="AF419" i="6"/>
  <c r="Y419" i="6"/>
  <c r="W419" i="6"/>
  <c r="AK416" i="6"/>
  <c r="AJ416" i="6"/>
  <c r="AG416" i="6"/>
  <c r="AF416" i="6"/>
  <c r="Y416" i="6"/>
  <c r="W416" i="6"/>
  <c r="AK414" i="6"/>
  <c r="AJ414" i="6"/>
  <c r="AG414" i="6"/>
  <c r="AF414" i="6"/>
  <c r="Y414" i="6"/>
  <c r="W414" i="6"/>
  <c r="AK412" i="6"/>
  <c r="AJ412" i="6"/>
  <c r="AG412" i="6"/>
  <c r="AF412" i="6"/>
  <c r="Y412" i="6"/>
  <c r="W412" i="6"/>
  <c r="AK352" i="6"/>
  <c r="AJ352" i="6"/>
  <c r="AG352" i="6"/>
  <c r="AF352" i="6"/>
  <c r="Y352" i="6"/>
  <c r="W352" i="6"/>
  <c r="AK254" i="6"/>
  <c r="AJ254" i="6"/>
  <c r="AG254" i="6"/>
  <c r="AF254" i="6"/>
  <c r="Y254" i="6"/>
  <c r="W254" i="6"/>
  <c r="AK448" i="6"/>
  <c r="AJ448" i="6"/>
  <c r="AG448" i="6"/>
  <c r="AF448" i="6"/>
  <c r="Y448" i="6"/>
  <c r="W448" i="6"/>
  <c r="AK452" i="6"/>
  <c r="AJ452" i="6"/>
  <c r="AG452" i="6"/>
  <c r="AF452" i="6"/>
  <c r="Y452" i="6"/>
  <c r="W452" i="6"/>
  <c r="AK443" i="6"/>
  <c r="AJ443" i="6"/>
  <c r="AG443" i="6"/>
  <c r="AF443" i="6"/>
  <c r="Y443" i="6"/>
  <c r="W443" i="6"/>
  <c r="AK461" i="6"/>
  <c r="AJ461" i="6"/>
  <c r="AG461" i="6"/>
  <c r="AF461" i="6"/>
  <c r="Y461" i="6"/>
  <c r="W461" i="6"/>
  <c r="AK460" i="6"/>
  <c r="AJ460" i="6"/>
  <c r="AG460" i="6"/>
  <c r="AF460" i="6"/>
  <c r="Y460" i="6"/>
  <c r="W460" i="6"/>
  <c r="AK451" i="6"/>
  <c r="AJ451" i="6"/>
  <c r="AG451" i="6"/>
  <c r="AF451" i="6"/>
  <c r="Y451" i="6"/>
  <c r="W451" i="6"/>
  <c r="AK450" i="6"/>
  <c r="AJ450" i="6"/>
  <c r="AG450" i="6"/>
  <c r="AF450" i="6"/>
  <c r="Y450" i="6"/>
  <c r="W450" i="6"/>
  <c r="AK449" i="6"/>
  <c r="AJ449" i="6"/>
  <c r="AG449" i="6"/>
  <c r="AF449" i="6"/>
  <c r="Y449" i="6"/>
  <c r="W449" i="6"/>
  <c r="AK447" i="6"/>
  <c r="AJ447" i="6"/>
  <c r="AG447" i="6"/>
  <c r="AF447" i="6"/>
  <c r="Y447" i="6"/>
  <c r="W447" i="6"/>
  <c r="AK446" i="6"/>
  <c r="AJ446" i="6"/>
  <c r="AG446" i="6"/>
  <c r="AF446" i="6"/>
  <c r="Y446" i="6"/>
  <c r="W446" i="6"/>
  <c r="AK445" i="6"/>
  <c r="AJ445" i="6"/>
  <c r="AG445" i="6"/>
  <c r="AF445" i="6"/>
  <c r="Y445" i="6"/>
  <c r="W445" i="6"/>
  <c r="AK444" i="6"/>
  <c r="AJ444" i="6"/>
  <c r="AG444" i="6"/>
  <c r="AF444" i="6"/>
  <c r="Y444" i="6"/>
  <c r="W444" i="6"/>
  <c r="AK442" i="6"/>
  <c r="AJ442" i="6"/>
  <c r="AG442" i="6"/>
  <c r="AF442" i="6"/>
  <c r="Y442" i="6"/>
  <c r="W442" i="6"/>
  <c r="AK441" i="6"/>
  <c r="AJ441" i="6"/>
  <c r="AG441" i="6"/>
  <c r="AF441" i="6"/>
  <c r="Y441" i="6"/>
  <c r="W441" i="6"/>
  <c r="AK167" i="6"/>
  <c r="AJ167" i="6"/>
  <c r="AG167" i="6"/>
  <c r="AF167" i="6"/>
  <c r="Y167" i="6"/>
  <c r="W167" i="6"/>
  <c r="AK166" i="6"/>
  <c r="AJ166" i="6"/>
  <c r="AG166" i="6"/>
  <c r="AF166" i="6"/>
  <c r="Y166" i="6"/>
  <c r="W166" i="6"/>
  <c r="AK401" i="6"/>
  <c r="AJ401" i="6"/>
  <c r="AG401" i="6"/>
  <c r="AF401" i="6"/>
  <c r="Y401" i="6"/>
  <c r="W401" i="6"/>
  <c r="AK400" i="6"/>
  <c r="AJ400" i="6"/>
  <c r="AG400" i="6"/>
  <c r="AF400" i="6"/>
  <c r="Y400" i="6"/>
  <c r="W400" i="6"/>
  <c r="AK411" i="6"/>
  <c r="AJ411" i="6"/>
  <c r="AG411" i="6"/>
  <c r="AF411" i="6"/>
  <c r="Y411" i="6"/>
  <c r="W411" i="6"/>
  <c r="W9" i="6"/>
  <c r="W11" i="6"/>
  <c r="W22" i="6"/>
  <c r="W23" i="6"/>
  <c r="W24" i="6"/>
  <c r="W25" i="6"/>
  <c r="W26" i="6"/>
  <c r="W29" i="6"/>
  <c r="W31" i="6"/>
  <c r="W32" i="6"/>
  <c r="W33" i="6"/>
  <c r="W36" i="6"/>
  <c r="W37" i="6"/>
  <c r="W41" i="6"/>
  <c r="W43" i="6"/>
  <c r="W44" i="6"/>
  <c r="W47" i="6"/>
  <c r="W49" i="6"/>
  <c r="W50" i="6"/>
  <c r="W51" i="6"/>
  <c r="W54" i="6"/>
  <c r="W55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90" i="6"/>
  <c r="W100" i="6"/>
  <c r="W101" i="6"/>
  <c r="W102" i="6"/>
  <c r="W103" i="6"/>
  <c r="W105" i="6"/>
  <c r="W106" i="6"/>
  <c r="W107" i="6"/>
  <c r="W108" i="6"/>
  <c r="W109" i="6"/>
  <c r="W110" i="6"/>
  <c r="W111" i="6"/>
  <c r="W112" i="6"/>
  <c r="W113" i="6"/>
  <c r="W122" i="6"/>
  <c r="W123" i="6"/>
  <c r="W126" i="6"/>
  <c r="W127" i="6"/>
  <c r="W128" i="6"/>
  <c r="W129" i="6"/>
  <c r="W132" i="6"/>
  <c r="W135" i="6"/>
  <c r="W136" i="6"/>
  <c r="W137" i="6"/>
  <c r="W138" i="6"/>
  <c r="W139" i="6"/>
  <c r="W140" i="6"/>
  <c r="W141" i="6"/>
  <c r="W143" i="6"/>
  <c r="W144" i="6"/>
  <c r="W145" i="6"/>
  <c r="W146" i="6"/>
  <c r="W149" i="6"/>
  <c r="W150" i="6"/>
  <c r="W159" i="6"/>
  <c r="W160" i="6"/>
  <c r="W161" i="6"/>
  <c r="W164" i="6"/>
  <c r="W165" i="6"/>
  <c r="W168" i="6"/>
  <c r="W169" i="6"/>
  <c r="W171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9" i="6"/>
  <c r="W210" i="6"/>
  <c r="W213" i="6"/>
  <c r="W214" i="6"/>
  <c r="W215" i="6"/>
  <c r="W217" i="6"/>
  <c r="W219" i="6"/>
  <c r="W220" i="6"/>
  <c r="W221" i="6"/>
  <c r="W222" i="6"/>
  <c r="W223" i="6"/>
  <c r="W230" i="6"/>
  <c r="W231" i="6"/>
  <c r="W233" i="6"/>
  <c r="W234" i="6"/>
  <c r="W236" i="6"/>
  <c r="W237" i="6"/>
  <c r="W239" i="6"/>
  <c r="W240" i="6"/>
  <c r="W241" i="6"/>
  <c r="W242" i="6"/>
  <c r="W248" i="6"/>
  <c r="W251" i="6"/>
  <c r="W255" i="6"/>
  <c r="W262" i="6"/>
  <c r="W263" i="6"/>
  <c r="W264" i="6"/>
  <c r="W265" i="6"/>
  <c r="W266" i="6"/>
  <c r="W267" i="6"/>
  <c r="W268" i="6"/>
  <c r="W269" i="6"/>
  <c r="W270" i="6"/>
  <c r="W271" i="6"/>
  <c r="W272" i="6"/>
  <c r="W280" i="6"/>
  <c r="W281" i="6"/>
  <c r="W282" i="6"/>
  <c r="W283" i="6"/>
  <c r="W287" i="6"/>
  <c r="W288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5" i="6"/>
  <c r="W313" i="6"/>
  <c r="W314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4" i="6"/>
  <c r="W337" i="6"/>
  <c r="W342" i="6"/>
  <c r="W343" i="6"/>
  <c r="W344" i="6"/>
  <c r="W345" i="6"/>
  <c r="W346" i="6"/>
  <c r="W347" i="6"/>
  <c r="W348" i="6"/>
  <c r="W349" i="6"/>
  <c r="W350" i="6"/>
  <c r="W351" i="6"/>
  <c r="W357" i="6"/>
  <c r="W359" i="6"/>
  <c r="W371" i="6"/>
  <c r="W372" i="6"/>
  <c r="W373" i="6"/>
  <c r="W374" i="6"/>
  <c r="W378" i="6"/>
  <c r="W379" i="6"/>
  <c r="W380" i="6"/>
  <c r="W381" i="6"/>
  <c r="W382" i="6"/>
  <c r="W384" i="6"/>
  <c r="W385" i="6"/>
  <c r="W462" i="6"/>
  <c r="AB462" i="6"/>
  <c r="AK408" i="6"/>
  <c r="AJ408" i="6"/>
  <c r="AG408" i="6"/>
  <c r="AF408" i="6"/>
  <c r="Y408" i="6"/>
  <c r="W408" i="6"/>
  <c r="AK406" i="6"/>
  <c r="AJ406" i="6"/>
  <c r="AG406" i="6"/>
  <c r="AF406" i="6"/>
  <c r="Y406" i="6"/>
  <c r="W406" i="6"/>
  <c r="AK410" i="6"/>
  <c r="AJ410" i="6"/>
  <c r="AG410" i="6"/>
  <c r="AF410" i="6"/>
  <c r="Y410" i="6"/>
  <c r="W410" i="6"/>
  <c r="AK409" i="6"/>
  <c r="AJ409" i="6"/>
  <c r="AG409" i="6"/>
  <c r="AF409" i="6"/>
  <c r="Y409" i="6"/>
  <c r="W409" i="6"/>
  <c r="AK407" i="6"/>
  <c r="AJ407" i="6"/>
  <c r="AG407" i="6"/>
  <c r="AF407" i="6"/>
  <c r="Y407" i="6"/>
  <c r="W407" i="6"/>
  <c r="AK399" i="6"/>
  <c r="AJ399" i="6"/>
  <c r="AG399" i="6"/>
  <c r="AF399" i="6"/>
  <c r="Y399" i="6"/>
  <c r="W399" i="6"/>
  <c r="AK395" i="6"/>
  <c r="AJ395" i="6"/>
  <c r="AG395" i="6"/>
  <c r="AF395" i="6"/>
  <c r="Y395" i="6"/>
  <c r="W395" i="6"/>
  <c r="AK394" i="6"/>
  <c r="AJ394" i="6"/>
  <c r="AG394" i="6"/>
  <c r="AF394" i="6"/>
  <c r="Y394" i="6"/>
  <c r="W394" i="6"/>
  <c r="AK397" i="6"/>
  <c r="AJ397" i="6"/>
  <c r="AG397" i="6"/>
  <c r="AF397" i="6"/>
  <c r="Y397" i="6"/>
  <c r="W397" i="6"/>
  <c r="AK396" i="6"/>
  <c r="AJ396" i="6"/>
  <c r="AG396" i="6"/>
  <c r="AF396" i="6"/>
  <c r="Y396" i="6"/>
  <c r="W396" i="6"/>
  <c r="AK405" i="6"/>
  <c r="AJ405" i="6"/>
  <c r="AG405" i="6"/>
  <c r="AF405" i="6"/>
  <c r="Y405" i="6"/>
  <c r="W405" i="6"/>
  <c r="AK398" i="6"/>
  <c r="AJ398" i="6"/>
  <c r="AG398" i="6"/>
  <c r="AF398" i="6"/>
  <c r="Y398" i="6"/>
  <c r="W398" i="6"/>
  <c r="AK393" i="6"/>
  <c r="AJ393" i="6"/>
  <c r="AG393" i="6"/>
  <c r="AF393" i="6"/>
  <c r="Y393" i="6"/>
  <c r="W393" i="6"/>
  <c r="AK392" i="6"/>
  <c r="AJ392" i="6"/>
  <c r="AG392" i="6"/>
  <c r="AF392" i="6"/>
  <c r="Y392" i="6"/>
  <c r="W392" i="6"/>
  <c r="AK390" i="6"/>
  <c r="AJ390" i="6"/>
  <c r="AG390" i="6"/>
  <c r="AF390" i="6"/>
  <c r="Y390" i="6"/>
  <c r="W390" i="6"/>
  <c r="AK389" i="6"/>
  <c r="AJ389" i="6"/>
  <c r="AG389" i="6"/>
  <c r="AF389" i="6"/>
  <c r="Y389" i="6"/>
  <c r="W389" i="6"/>
  <c r="AK388" i="6"/>
  <c r="AJ388" i="6"/>
  <c r="AG388" i="6"/>
  <c r="AF388" i="6"/>
  <c r="Y388" i="6"/>
  <c r="W388" i="6"/>
  <c r="Y385" i="6"/>
  <c r="Y384" i="6"/>
  <c r="Y383" i="6"/>
  <c r="Y382" i="6"/>
  <c r="Y381" i="6"/>
  <c r="Y380" i="6"/>
  <c r="Y379" i="6"/>
  <c r="Y378" i="6"/>
  <c r="Y374" i="6"/>
  <c r="Y373" i="6"/>
  <c r="Y372" i="6"/>
  <c r="Y371" i="6"/>
  <c r="Y370" i="6"/>
  <c r="Y369" i="6"/>
  <c r="Y360" i="6"/>
  <c r="Y359" i="6"/>
  <c r="Y358" i="6"/>
  <c r="Y357" i="6"/>
  <c r="Y354" i="6"/>
  <c r="Y353" i="6"/>
  <c r="Y351" i="6"/>
  <c r="Y350" i="6"/>
  <c r="Y349" i="6"/>
  <c r="Y348" i="6"/>
  <c r="Y347" i="6"/>
  <c r="Y346" i="6"/>
  <c r="Y345" i="6"/>
  <c r="Y344" i="6"/>
  <c r="Y343" i="6"/>
  <c r="Y342" i="6"/>
  <c r="Y341" i="6"/>
  <c r="Y340" i="6"/>
  <c r="Y339" i="6"/>
  <c r="Y338" i="6"/>
  <c r="Y337" i="6"/>
  <c r="Y336" i="6"/>
  <c r="Y335" i="6"/>
  <c r="Y334" i="6"/>
  <c r="Y330" i="6"/>
  <c r="Y329" i="6"/>
  <c r="Y328" i="6"/>
  <c r="Y327" i="6"/>
  <c r="Y326" i="6"/>
  <c r="Y325" i="6"/>
  <c r="Y324" i="6"/>
  <c r="Y323" i="6"/>
  <c r="Y322" i="6"/>
  <c r="Y321" i="6"/>
  <c r="Y320" i="6"/>
  <c r="Y319" i="6"/>
  <c r="Y318" i="6"/>
  <c r="Y317" i="6"/>
  <c r="Y316" i="6"/>
  <c r="Y315" i="6"/>
  <c r="Y314" i="6"/>
  <c r="Y313" i="6"/>
  <c r="Y312" i="6"/>
  <c r="Y311" i="6"/>
  <c r="Y305" i="6"/>
  <c r="Y304" i="6"/>
  <c r="Y303" i="6"/>
  <c r="Y302" i="6"/>
  <c r="Y301" i="6"/>
  <c r="Y300" i="6"/>
  <c r="Y299" i="6"/>
  <c r="Y298" i="6"/>
  <c r="Y297" i="6"/>
  <c r="Y296" i="6"/>
  <c r="Y295" i="6"/>
  <c r="Y294" i="6"/>
  <c r="Y293" i="6"/>
  <c r="Y292" i="6"/>
  <c r="Y291" i="6"/>
  <c r="Y290" i="6"/>
  <c r="Y289" i="6"/>
  <c r="Y288" i="6"/>
  <c r="Y287" i="6"/>
  <c r="Y286" i="6"/>
  <c r="Y285" i="6"/>
  <c r="Y283" i="6"/>
  <c r="Y282" i="6"/>
  <c r="Y281" i="6"/>
  <c r="Y280" i="6"/>
  <c r="Y279" i="6"/>
  <c r="Y272" i="6"/>
  <c r="Y271" i="6"/>
  <c r="Y270" i="6"/>
  <c r="Y269" i="6"/>
  <c r="Y268" i="6"/>
  <c r="Y267" i="6"/>
  <c r="Y266" i="6"/>
  <c r="Y265" i="6"/>
  <c r="Y264" i="6"/>
  <c r="Y263" i="6"/>
  <c r="Y262" i="6"/>
  <c r="Y255" i="6"/>
  <c r="Y251" i="6"/>
  <c r="Y248" i="6"/>
  <c r="Y242" i="6"/>
  <c r="Y241" i="6"/>
  <c r="Y240" i="6"/>
  <c r="Y239" i="6"/>
  <c r="Y238" i="6"/>
  <c r="Y237" i="6"/>
  <c r="Y236" i="6"/>
  <c r="Y235" i="6"/>
  <c r="Y234" i="6"/>
  <c r="Y233" i="6"/>
  <c r="Y232" i="6"/>
  <c r="Y231" i="6"/>
  <c r="Y230" i="6"/>
  <c r="Y223" i="6"/>
  <c r="Y222" i="6"/>
  <c r="Y221" i="6"/>
  <c r="Y220" i="6"/>
  <c r="Y219" i="6"/>
  <c r="Y218" i="6"/>
  <c r="Y217" i="6"/>
  <c r="Y215" i="6"/>
  <c r="Y214" i="6"/>
  <c r="Y213" i="6"/>
  <c r="Y212" i="6"/>
  <c r="Y210" i="6"/>
  <c r="Y209" i="6"/>
  <c r="Y204" i="6"/>
  <c r="Y203" i="6"/>
  <c r="Y202" i="6"/>
  <c r="Y201" i="6"/>
  <c r="Y200" i="6"/>
  <c r="Y199" i="6"/>
  <c r="Y198" i="6"/>
  <c r="Y197" i="6"/>
  <c r="Y196" i="6"/>
  <c r="Y195" i="6"/>
  <c r="Y194" i="6"/>
  <c r="Y193" i="6"/>
  <c r="Y171" i="6"/>
  <c r="Y170" i="6"/>
  <c r="Y169" i="6"/>
  <c r="Y168" i="6"/>
  <c r="Y165" i="6"/>
  <c r="Y164" i="6"/>
  <c r="Y161" i="6"/>
  <c r="Y160" i="6"/>
  <c r="Y159" i="6"/>
  <c r="Y150" i="6"/>
  <c r="Y149" i="6"/>
  <c r="Y146" i="6"/>
  <c r="Y145" i="6"/>
  <c r="Y144" i="6"/>
  <c r="Y143" i="6"/>
  <c r="Y142" i="6"/>
  <c r="Y141" i="6"/>
  <c r="Y140" i="6"/>
  <c r="Y139" i="6"/>
  <c r="Y138" i="6"/>
  <c r="Y137" i="6"/>
  <c r="Y136" i="6"/>
  <c r="Y135" i="6"/>
  <c r="Y134" i="6"/>
  <c r="Y133" i="6"/>
  <c r="Y132" i="6"/>
  <c r="Y129" i="6"/>
  <c r="Y128" i="6"/>
  <c r="Y127" i="6"/>
  <c r="Y126" i="6"/>
  <c r="Y123" i="6"/>
  <c r="Y122" i="6"/>
  <c r="Y121" i="6"/>
  <c r="Y119" i="6"/>
  <c r="Y113" i="6"/>
  <c r="Y112" i="6"/>
  <c r="Y111" i="6"/>
  <c r="Y110" i="6"/>
  <c r="Y109" i="6"/>
  <c r="Y108" i="6"/>
  <c r="Y107" i="6"/>
  <c r="Y106" i="6"/>
  <c r="Y105" i="6"/>
  <c r="Y104" i="6"/>
  <c r="Y103" i="6"/>
  <c r="Y102" i="6"/>
  <c r="Y101" i="6"/>
  <c r="Y100" i="6"/>
  <c r="Y90" i="6"/>
  <c r="Y85" i="6"/>
  <c r="Y84" i="6"/>
  <c r="Y83" i="6"/>
  <c r="Y82" i="6"/>
  <c r="Y81" i="6"/>
  <c r="Y80" i="6"/>
  <c r="Y79" i="6"/>
  <c r="Y78" i="6"/>
  <c r="Y77" i="6"/>
  <c r="Y76" i="6"/>
  <c r="Y75" i="6"/>
  <c r="Y74" i="6"/>
  <c r="Y73" i="6"/>
  <c r="Y72" i="6"/>
  <c r="Y71" i="6"/>
  <c r="Y70" i="6"/>
  <c r="Y69" i="6"/>
  <c r="Y68" i="6"/>
  <c r="Y67" i="6"/>
  <c r="Y66" i="6"/>
  <c r="Y65" i="6"/>
  <c r="Y64" i="6"/>
  <c r="Y63" i="6"/>
  <c r="Y62" i="6"/>
  <c r="Y56" i="6"/>
  <c r="Y55" i="6"/>
  <c r="Y54" i="6"/>
  <c r="Y53" i="6"/>
  <c r="Y52" i="6"/>
  <c r="Y51" i="6"/>
  <c r="Y50" i="6"/>
  <c r="Y49" i="6"/>
  <c r="Y48" i="6"/>
  <c r="Y47" i="6"/>
  <c r="Y46" i="6"/>
  <c r="Y45" i="6"/>
  <c r="Y44" i="6"/>
  <c r="Y43" i="6"/>
  <c r="Y42" i="6"/>
  <c r="Y41" i="6"/>
  <c r="Y40" i="6"/>
  <c r="Y37" i="6"/>
  <c r="Y36" i="6"/>
  <c r="Y35" i="6"/>
  <c r="Y33" i="6"/>
  <c r="Y32" i="6"/>
  <c r="Y31" i="6"/>
  <c r="Y30" i="6"/>
  <c r="Y29" i="6"/>
  <c r="Y28" i="6"/>
  <c r="Y27" i="6"/>
  <c r="Y26" i="6"/>
  <c r="Y25" i="6"/>
  <c r="Y24" i="6"/>
  <c r="Y23" i="6"/>
  <c r="Y22" i="6"/>
  <c r="Y11" i="6"/>
  <c r="Y10" i="6"/>
  <c r="Y9" i="6"/>
  <c r="Y8" i="6"/>
  <c r="Y7" i="6"/>
  <c r="AK385" i="6"/>
  <c r="AJ385" i="6"/>
  <c r="AK384" i="6"/>
  <c r="AJ384" i="6"/>
  <c r="AK383" i="6"/>
  <c r="AJ383" i="6"/>
  <c r="AK382" i="6"/>
  <c r="AJ382" i="6"/>
  <c r="AK381" i="6"/>
  <c r="AJ381" i="6"/>
  <c r="AK380" i="6"/>
  <c r="AJ380" i="6"/>
  <c r="AK379" i="6"/>
  <c r="AJ379" i="6"/>
  <c r="AK378" i="6"/>
  <c r="AJ378" i="6"/>
  <c r="AK374" i="6"/>
  <c r="AJ374" i="6"/>
  <c r="AK373" i="6"/>
  <c r="AJ373" i="6"/>
  <c r="AK372" i="6"/>
  <c r="AJ372" i="6"/>
  <c r="AK371" i="6"/>
  <c r="AJ371" i="6"/>
  <c r="AK370" i="6"/>
  <c r="AJ370" i="6"/>
  <c r="AK369" i="6"/>
  <c r="AJ369" i="6"/>
  <c r="AK360" i="6"/>
  <c r="AJ360" i="6"/>
  <c r="AK359" i="6"/>
  <c r="AJ359" i="6"/>
  <c r="AK358" i="6"/>
  <c r="AJ358" i="6"/>
  <c r="AK357" i="6"/>
  <c r="AJ357" i="6"/>
  <c r="AK354" i="6"/>
  <c r="AJ354" i="6"/>
  <c r="AK353" i="6"/>
  <c r="AJ353" i="6"/>
  <c r="AK351" i="6"/>
  <c r="AJ351" i="6"/>
  <c r="AK350" i="6"/>
  <c r="AJ350" i="6"/>
  <c r="AK349" i="6"/>
  <c r="AJ349" i="6"/>
  <c r="AK348" i="6"/>
  <c r="AJ348" i="6"/>
  <c r="AK347" i="6"/>
  <c r="AJ347" i="6"/>
  <c r="AK346" i="6"/>
  <c r="AJ346" i="6"/>
  <c r="AK345" i="6"/>
  <c r="AJ345" i="6"/>
  <c r="AK344" i="6"/>
  <c r="AJ344" i="6"/>
  <c r="AK343" i="6"/>
  <c r="AJ343" i="6"/>
  <c r="AK342" i="6"/>
  <c r="AJ342" i="6"/>
  <c r="AK341" i="6"/>
  <c r="AJ341" i="6"/>
  <c r="AK340" i="6"/>
  <c r="AJ340" i="6"/>
  <c r="AK339" i="6"/>
  <c r="AJ339" i="6"/>
  <c r="AK338" i="6"/>
  <c r="AJ338" i="6"/>
  <c r="AK337" i="6"/>
  <c r="AJ337" i="6"/>
  <c r="AK336" i="6"/>
  <c r="AJ336" i="6"/>
  <c r="AK335" i="6"/>
  <c r="AJ335" i="6"/>
  <c r="AK334" i="6"/>
  <c r="AJ334" i="6"/>
  <c r="AK330" i="6"/>
  <c r="AJ330" i="6"/>
  <c r="AK329" i="6"/>
  <c r="AJ329" i="6"/>
  <c r="AK328" i="6"/>
  <c r="AJ328" i="6"/>
  <c r="AK327" i="6"/>
  <c r="AJ327" i="6"/>
  <c r="AK326" i="6"/>
  <c r="AJ326" i="6"/>
  <c r="AK325" i="6"/>
  <c r="AJ325" i="6"/>
  <c r="AK324" i="6"/>
  <c r="AJ324" i="6"/>
  <c r="AK323" i="6"/>
  <c r="AJ323" i="6"/>
  <c r="AK322" i="6"/>
  <c r="AJ322" i="6"/>
  <c r="AK321" i="6"/>
  <c r="AJ321" i="6"/>
  <c r="AK320" i="6"/>
  <c r="AJ320" i="6"/>
  <c r="AK319" i="6"/>
  <c r="AJ319" i="6"/>
  <c r="AK318" i="6"/>
  <c r="AJ318" i="6"/>
  <c r="AK317" i="6"/>
  <c r="AJ317" i="6"/>
  <c r="AK316" i="6"/>
  <c r="AJ316" i="6"/>
  <c r="AK315" i="6"/>
  <c r="AJ315" i="6"/>
  <c r="AK314" i="6"/>
  <c r="AJ314" i="6"/>
  <c r="AK313" i="6"/>
  <c r="AJ313" i="6"/>
  <c r="AK312" i="6"/>
  <c r="AJ312" i="6"/>
  <c r="AK311" i="6"/>
  <c r="AJ311" i="6"/>
  <c r="AK305" i="6"/>
  <c r="AJ305" i="6"/>
  <c r="AK304" i="6"/>
  <c r="AJ304" i="6"/>
  <c r="AK303" i="6"/>
  <c r="AJ303" i="6"/>
  <c r="AK302" i="6"/>
  <c r="AJ302" i="6"/>
  <c r="AK301" i="6"/>
  <c r="AJ301" i="6"/>
  <c r="AK300" i="6"/>
  <c r="AJ300" i="6"/>
  <c r="AK299" i="6"/>
  <c r="AJ299" i="6"/>
  <c r="AK298" i="6"/>
  <c r="AJ298" i="6"/>
  <c r="AK297" i="6"/>
  <c r="AJ297" i="6"/>
  <c r="AK296" i="6"/>
  <c r="AJ296" i="6"/>
  <c r="AK295" i="6"/>
  <c r="AJ295" i="6"/>
  <c r="AK294" i="6"/>
  <c r="AJ294" i="6"/>
  <c r="AK293" i="6"/>
  <c r="AJ293" i="6"/>
  <c r="AK292" i="6"/>
  <c r="AJ292" i="6"/>
  <c r="AK291" i="6"/>
  <c r="AJ291" i="6"/>
  <c r="AK290" i="6"/>
  <c r="AJ290" i="6"/>
  <c r="AK289" i="6"/>
  <c r="AJ289" i="6"/>
  <c r="AK288" i="6"/>
  <c r="AJ288" i="6"/>
  <c r="AK287" i="6"/>
  <c r="AJ287" i="6"/>
  <c r="AK286" i="6"/>
  <c r="AJ286" i="6"/>
  <c r="AK285" i="6"/>
  <c r="AJ285" i="6"/>
  <c r="AK283" i="6"/>
  <c r="AJ283" i="6"/>
  <c r="AK282" i="6"/>
  <c r="AJ282" i="6"/>
  <c r="AK281" i="6"/>
  <c r="AJ281" i="6"/>
  <c r="AK280" i="6"/>
  <c r="AJ280" i="6"/>
  <c r="AK279" i="6"/>
  <c r="AJ279" i="6"/>
  <c r="AK272" i="6"/>
  <c r="AJ272" i="6"/>
  <c r="AK271" i="6"/>
  <c r="AJ271" i="6"/>
  <c r="AK270" i="6"/>
  <c r="AJ270" i="6"/>
  <c r="AK269" i="6"/>
  <c r="AJ269" i="6"/>
  <c r="AK268" i="6"/>
  <c r="AJ268" i="6"/>
  <c r="AK267" i="6"/>
  <c r="AJ267" i="6"/>
  <c r="AK266" i="6"/>
  <c r="AJ266" i="6"/>
  <c r="AK265" i="6"/>
  <c r="AJ265" i="6"/>
  <c r="AK264" i="6"/>
  <c r="AJ264" i="6"/>
  <c r="AK263" i="6"/>
  <c r="AJ263" i="6"/>
  <c r="AK262" i="6"/>
  <c r="AJ262" i="6"/>
  <c r="AK255" i="6"/>
  <c r="AJ255" i="6"/>
  <c r="AK251" i="6"/>
  <c r="AJ251" i="6"/>
  <c r="AK248" i="6"/>
  <c r="AJ248" i="6"/>
  <c r="AK242" i="6"/>
  <c r="AJ242" i="6"/>
  <c r="AK241" i="6"/>
  <c r="AJ241" i="6"/>
  <c r="AK240" i="6"/>
  <c r="AJ240" i="6"/>
  <c r="AK239" i="6"/>
  <c r="AJ239" i="6"/>
  <c r="AK238" i="6"/>
  <c r="AJ238" i="6"/>
  <c r="AK237" i="6"/>
  <c r="AJ237" i="6"/>
  <c r="AK236" i="6"/>
  <c r="AJ236" i="6"/>
  <c r="AK235" i="6"/>
  <c r="AJ235" i="6"/>
  <c r="AK234" i="6"/>
  <c r="AJ234" i="6"/>
  <c r="AK233" i="6"/>
  <c r="AJ233" i="6"/>
  <c r="AK232" i="6"/>
  <c r="AJ232" i="6"/>
  <c r="AK231" i="6"/>
  <c r="AJ231" i="6"/>
  <c r="AK230" i="6"/>
  <c r="AJ230" i="6"/>
  <c r="AK223" i="6"/>
  <c r="AJ223" i="6"/>
  <c r="AK222" i="6"/>
  <c r="AJ222" i="6"/>
  <c r="AK221" i="6"/>
  <c r="AJ221" i="6"/>
  <c r="AK220" i="6"/>
  <c r="AJ220" i="6"/>
  <c r="AK219" i="6"/>
  <c r="AJ219" i="6"/>
  <c r="AK218" i="6"/>
  <c r="AJ218" i="6"/>
  <c r="AK217" i="6"/>
  <c r="AJ217" i="6"/>
  <c r="AK215" i="6"/>
  <c r="AJ215" i="6"/>
  <c r="AK214" i="6"/>
  <c r="AJ214" i="6"/>
  <c r="AK213" i="6"/>
  <c r="AJ213" i="6"/>
  <c r="AK212" i="6"/>
  <c r="AJ212" i="6"/>
  <c r="AK210" i="6"/>
  <c r="AJ210" i="6"/>
  <c r="AK209" i="6"/>
  <c r="AJ209" i="6"/>
  <c r="AK204" i="6"/>
  <c r="AJ204" i="6"/>
  <c r="AK203" i="6"/>
  <c r="AJ203" i="6"/>
  <c r="AK202" i="6"/>
  <c r="AJ202" i="6"/>
  <c r="AK201" i="6"/>
  <c r="AJ201" i="6"/>
  <c r="AK200" i="6"/>
  <c r="AJ200" i="6"/>
  <c r="AK199" i="6"/>
  <c r="AJ199" i="6"/>
  <c r="AK198" i="6"/>
  <c r="AJ198" i="6"/>
  <c r="AK197" i="6"/>
  <c r="AJ197" i="6"/>
  <c r="AK196" i="6"/>
  <c r="AJ196" i="6"/>
  <c r="AK195" i="6"/>
  <c r="AJ195" i="6"/>
  <c r="AK194" i="6"/>
  <c r="AJ194" i="6"/>
  <c r="AK193" i="6"/>
  <c r="AJ193" i="6"/>
  <c r="AK171" i="6"/>
  <c r="AJ171" i="6"/>
  <c r="AK170" i="6"/>
  <c r="AJ170" i="6"/>
  <c r="AK169" i="6"/>
  <c r="AJ169" i="6"/>
  <c r="AK168" i="6"/>
  <c r="AJ168" i="6"/>
  <c r="AK165" i="6"/>
  <c r="AJ165" i="6"/>
  <c r="AK164" i="6"/>
  <c r="AJ164" i="6"/>
  <c r="AK161" i="6"/>
  <c r="AJ161" i="6"/>
  <c r="AK160" i="6"/>
  <c r="AJ160" i="6"/>
  <c r="AK159" i="6"/>
  <c r="AJ159" i="6"/>
  <c r="AK150" i="6"/>
  <c r="AJ150" i="6"/>
  <c r="AK149" i="6"/>
  <c r="AJ149" i="6"/>
  <c r="AK146" i="6"/>
  <c r="AJ146" i="6"/>
  <c r="AK145" i="6"/>
  <c r="AJ145" i="6"/>
  <c r="AK144" i="6"/>
  <c r="AJ144" i="6"/>
  <c r="AK143" i="6"/>
  <c r="AJ143" i="6"/>
  <c r="AK142" i="6"/>
  <c r="AJ142" i="6"/>
  <c r="AK141" i="6"/>
  <c r="AJ141" i="6"/>
  <c r="AK140" i="6"/>
  <c r="AJ140" i="6"/>
  <c r="AK139" i="6"/>
  <c r="AJ139" i="6"/>
  <c r="AK138" i="6"/>
  <c r="AJ138" i="6"/>
  <c r="AK137" i="6"/>
  <c r="AJ137" i="6"/>
  <c r="AK136" i="6"/>
  <c r="AJ136" i="6"/>
  <c r="AK135" i="6"/>
  <c r="AJ135" i="6"/>
  <c r="AK134" i="6"/>
  <c r="AJ134" i="6"/>
  <c r="AK133" i="6"/>
  <c r="AJ133" i="6"/>
  <c r="AK132" i="6"/>
  <c r="AJ132" i="6"/>
  <c r="AK129" i="6"/>
  <c r="AJ129" i="6"/>
  <c r="AK128" i="6"/>
  <c r="AJ128" i="6"/>
  <c r="AK127" i="6"/>
  <c r="AJ127" i="6"/>
  <c r="AK126" i="6"/>
  <c r="AJ126" i="6"/>
  <c r="AK123" i="6"/>
  <c r="AJ123" i="6"/>
  <c r="AK122" i="6"/>
  <c r="AJ122" i="6"/>
  <c r="AK121" i="6"/>
  <c r="AJ121" i="6"/>
  <c r="AK119" i="6"/>
  <c r="AJ119" i="6"/>
  <c r="AK113" i="6"/>
  <c r="AJ113" i="6"/>
  <c r="AK112" i="6"/>
  <c r="AJ112" i="6"/>
  <c r="AK111" i="6"/>
  <c r="AJ111" i="6"/>
  <c r="AK110" i="6"/>
  <c r="AJ110" i="6"/>
  <c r="AK109" i="6"/>
  <c r="AJ109" i="6"/>
  <c r="AK108" i="6"/>
  <c r="AJ108" i="6"/>
  <c r="AK107" i="6"/>
  <c r="AJ107" i="6"/>
  <c r="AK106" i="6"/>
  <c r="AJ106" i="6"/>
  <c r="AK105" i="6"/>
  <c r="AJ105" i="6"/>
  <c r="AK104" i="6"/>
  <c r="AJ104" i="6"/>
  <c r="AK103" i="6"/>
  <c r="AJ103" i="6"/>
  <c r="AK102" i="6"/>
  <c r="AJ102" i="6"/>
  <c r="AK101" i="6"/>
  <c r="AJ101" i="6"/>
  <c r="AK100" i="6"/>
  <c r="AJ100" i="6"/>
  <c r="AK90" i="6"/>
  <c r="AJ90" i="6"/>
  <c r="AK85" i="6"/>
  <c r="AJ85" i="6"/>
  <c r="AK84" i="6"/>
  <c r="AJ84" i="6"/>
  <c r="AK83" i="6"/>
  <c r="AJ83" i="6"/>
  <c r="AK82" i="6"/>
  <c r="AJ82" i="6"/>
  <c r="AK81" i="6"/>
  <c r="AJ81" i="6"/>
  <c r="AK80" i="6"/>
  <c r="AJ80" i="6"/>
  <c r="AK79" i="6"/>
  <c r="AJ79" i="6"/>
  <c r="AK78" i="6"/>
  <c r="AJ78" i="6"/>
  <c r="AK77" i="6"/>
  <c r="AJ77" i="6"/>
  <c r="AK76" i="6"/>
  <c r="AJ76" i="6"/>
  <c r="AK75" i="6"/>
  <c r="AJ75" i="6"/>
  <c r="AK74" i="6"/>
  <c r="AJ74" i="6"/>
  <c r="AK73" i="6"/>
  <c r="AJ73" i="6"/>
  <c r="AK72" i="6"/>
  <c r="AJ72" i="6"/>
  <c r="AK71" i="6"/>
  <c r="AJ71" i="6"/>
  <c r="AK70" i="6"/>
  <c r="AJ70" i="6"/>
  <c r="AK69" i="6"/>
  <c r="AJ69" i="6"/>
  <c r="AK68" i="6"/>
  <c r="AJ68" i="6"/>
  <c r="AK67" i="6"/>
  <c r="AJ67" i="6"/>
  <c r="AK66" i="6"/>
  <c r="AJ66" i="6"/>
  <c r="AK65" i="6"/>
  <c r="AJ65" i="6"/>
  <c r="AK64" i="6"/>
  <c r="AJ64" i="6"/>
  <c r="AK63" i="6"/>
  <c r="AJ63" i="6"/>
  <c r="AK62" i="6"/>
  <c r="AJ62" i="6"/>
  <c r="AK56" i="6"/>
  <c r="AJ56" i="6"/>
  <c r="AK55" i="6"/>
  <c r="AJ55" i="6"/>
  <c r="AK54" i="6"/>
  <c r="AJ54" i="6"/>
  <c r="AK53" i="6"/>
  <c r="AJ53" i="6"/>
  <c r="AK52" i="6"/>
  <c r="AJ52" i="6"/>
  <c r="AK51" i="6"/>
  <c r="AJ51" i="6"/>
  <c r="AK50" i="6"/>
  <c r="AJ50" i="6"/>
  <c r="AK49" i="6"/>
  <c r="AJ49" i="6"/>
  <c r="AK48" i="6"/>
  <c r="AJ48" i="6"/>
  <c r="AK47" i="6"/>
  <c r="AJ47" i="6"/>
  <c r="AK46" i="6"/>
  <c r="AJ46" i="6"/>
  <c r="AK45" i="6"/>
  <c r="AJ45" i="6"/>
  <c r="AK44" i="6"/>
  <c r="AJ44" i="6"/>
  <c r="AK43" i="6"/>
  <c r="AJ43" i="6"/>
  <c r="AK42" i="6"/>
  <c r="AJ42" i="6"/>
  <c r="AK41" i="6"/>
  <c r="AJ41" i="6"/>
  <c r="AK40" i="6"/>
  <c r="AJ40" i="6"/>
  <c r="AK37" i="6"/>
  <c r="AJ37" i="6"/>
  <c r="AK36" i="6"/>
  <c r="AJ36" i="6"/>
  <c r="AK35" i="6"/>
  <c r="AJ35" i="6"/>
  <c r="AK33" i="6"/>
  <c r="AJ33" i="6"/>
  <c r="AK32" i="6"/>
  <c r="AJ32" i="6"/>
  <c r="AK31" i="6"/>
  <c r="AJ31" i="6"/>
  <c r="AK30" i="6"/>
  <c r="AJ30" i="6"/>
  <c r="AK29" i="6"/>
  <c r="AJ29" i="6"/>
  <c r="AK28" i="6"/>
  <c r="AJ28" i="6"/>
  <c r="AK27" i="6"/>
  <c r="AJ27" i="6"/>
  <c r="AK26" i="6"/>
  <c r="AJ26" i="6"/>
  <c r="AK25" i="6"/>
  <c r="AJ25" i="6"/>
  <c r="AK24" i="6"/>
  <c r="AJ24" i="6"/>
  <c r="AK23" i="6"/>
  <c r="AJ23" i="6"/>
  <c r="AK22" i="6"/>
  <c r="AJ22" i="6"/>
  <c r="AK11" i="6"/>
  <c r="AJ11" i="6"/>
  <c r="AK10" i="6"/>
  <c r="AJ10" i="6"/>
  <c r="AK9" i="6"/>
  <c r="AJ9" i="6"/>
  <c r="AK8" i="6"/>
  <c r="AJ8" i="6"/>
  <c r="AK7" i="6"/>
  <c r="AJ7" i="6"/>
  <c r="AG385" i="6"/>
  <c r="AF385" i="6"/>
  <c r="AG384" i="6"/>
  <c r="AF384" i="6"/>
  <c r="AG383" i="6"/>
  <c r="AF383" i="6"/>
  <c r="AG382" i="6"/>
  <c r="AF382" i="6"/>
  <c r="AG381" i="6"/>
  <c r="AF381" i="6"/>
  <c r="AG380" i="6"/>
  <c r="AF380" i="6"/>
  <c r="AG379" i="6"/>
  <c r="AF379" i="6"/>
  <c r="AG378" i="6"/>
  <c r="AF378" i="6"/>
  <c r="AG374" i="6"/>
  <c r="AF374" i="6"/>
  <c r="AG373" i="6"/>
  <c r="AF373" i="6"/>
  <c r="AG372" i="6"/>
  <c r="AF372" i="6"/>
  <c r="AG371" i="6"/>
  <c r="AF371" i="6"/>
  <c r="AG370" i="6"/>
  <c r="AF370" i="6"/>
  <c r="AG369" i="6"/>
  <c r="AF369" i="6"/>
  <c r="AG360" i="6"/>
  <c r="AF360" i="6"/>
  <c r="AG359" i="6"/>
  <c r="AF359" i="6"/>
  <c r="AG358" i="6"/>
  <c r="AF358" i="6"/>
  <c r="AG357" i="6"/>
  <c r="AF357" i="6"/>
  <c r="AG354" i="6"/>
  <c r="AF354" i="6"/>
  <c r="AG353" i="6"/>
  <c r="AF353" i="6"/>
  <c r="AG351" i="6"/>
  <c r="AF351" i="6"/>
  <c r="AG350" i="6"/>
  <c r="AF350" i="6"/>
  <c r="AG349" i="6"/>
  <c r="AF349" i="6"/>
  <c r="AG348" i="6"/>
  <c r="AF348" i="6"/>
  <c r="AG347" i="6"/>
  <c r="AF347" i="6"/>
  <c r="AG346" i="6"/>
  <c r="AF346" i="6"/>
  <c r="AG345" i="6"/>
  <c r="AF345" i="6"/>
  <c r="AG344" i="6"/>
  <c r="AF344" i="6"/>
  <c r="AG343" i="6"/>
  <c r="AF343" i="6"/>
  <c r="AG342" i="6"/>
  <c r="AF342" i="6"/>
  <c r="AG341" i="6"/>
  <c r="AF341" i="6"/>
  <c r="AG340" i="6"/>
  <c r="AF340" i="6"/>
  <c r="AG339" i="6"/>
  <c r="AF339" i="6"/>
  <c r="AG338" i="6"/>
  <c r="AF338" i="6"/>
  <c r="AG337" i="6"/>
  <c r="AF337" i="6"/>
  <c r="AG336" i="6"/>
  <c r="AF336" i="6"/>
  <c r="AG335" i="6"/>
  <c r="AF335" i="6"/>
  <c r="AG334" i="6"/>
  <c r="AF334" i="6"/>
  <c r="AG330" i="6"/>
  <c r="AF330" i="6"/>
  <c r="AG329" i="6"/>
  <c r="AF329" i="6"/>
  <c r="AG328" i="6"/>
  <c r="AF328" i="6"/>
  <c r="AG327" i="6"/>
  <c r="AF327" i="6"/>
  <c r="AG326" i="6"/>
  <c r="AF326" i="6"/>
  <c r="AG325" i="6"/>
  <c r="AF325" i="6"/>
  <c r="AG324" i="6"/>
  <c r="AF324" i="6"/>
  <c r="AG323" i="6"/>
  <c r="AF323" i="6"/>
  <c r="AG322" i="6"/>
  <c r="AF322" i="6"/>
  <c r="AG321" i="6"/>
  <c r="AF321" i="6"/>
  <c r="AG320" i="6"/>
  <c r="AF320" i="6"/>
  <c r="AG319" i="6"/>
  <c r="AF319" i="6"/>
  <c r="AG318" i="6"/>
  <c r="AF318" i="6"/>
  <c r="AG317" i="6"/>
  <c r="AF317" i="6"/>
  <c r="AG316" i="6"/>
  <c r="AF316" i="6"/>
  <c r="AG315" i="6"/>
  <c r="AF315" i="6"/>
  <c r="AG314" i="6"/>
  <c r="AF314" i="6"/>
  <c r="AG313" i="6"/>
  <c r="AF313" i="6"/>
  <c r="AG312" i="6"/>
  <c r="AF312" i="6"/>
  <c r="AG311" i="6"/>
  <c r="AF311" i="6"/>
  <c r="AG305" i="6"/>
  <c r="AF305" i="6"/>
  <c r="AG304" i="6"/>
  <c r="AF304" i="6"/>
  <c r="AG303" i="6"/>
  <c r="AF303" i="6"/>
  <c r="AG302" i="6"/>
  <c r="AF302" i="6"/>
  <c r="AG301" i="6"/>
  <c r="AF301" i="6"/>
  <c r="AG300" i="6"/>
  <c r="AF300" i="6"/>
  <c r="AG299" i="6"/>
  <c r="AF299" i="6"/>
  <c r="AG298" i="6"/>
  <c r="AF298" i="6"/>
  <c r="AG297" i="6"/>
  <c r="AF297" i="6"/>
  <c r="AG296" i="6"/>
  <c r="AF296" i="6"/>
  <c r="AG295" i="6"/>
  <c r="AF295" i="6"/>
  <c r="AG294" i="6"/>
  <c r="AF294" i="6"/>
  <c r="AG293" i="6"/>
  <c r="AF293" i="6"/>
  <c r="AG292" i="6"/>
  <c r="AF292" i="6"/>
  <c r="AG291" i="6"/>
  <c r="AF291" i="6"/>
  <c r="AG290" i="6"/>
  <c r="AF290" i="6"/>
  <c r="AG289" i="6"/>
  <c r="AF289" i="6"/>
  <c r="AG288" i="6"/>
  <c r="AF288" i="6"/>
  <c r="AG287" i="6"/>
  <c r="AF287" i="6"/>
  <c r="AG286" i="6"/>
  <c r="AF286" i="6"/>
  <c r="AG285" i="6"/>
  <c r="AF285" i="6"/>
  <c r="AG283" i="6"/>
  <c r="AF283" i="6"/>
  <c r="AG282" i="6"/>
  <c r="AF282" i="6"/>
  <c r="AG281" i="6"/>
  <c r="AF281" i="6"/>
  <c r="AG280" i="6"/>
  <c r="AF280" i="6"/>
  <c r="AG279" i="6"/>
  <c r="AF279" i="6"/>
  <c r="AG272" i="6"/>
  <c r="AF272" i="6"/>
  <c r="AG271" i="6"/>
  <c r="AF271" i="6"/>
  <c r="AG270" i="6"/>
  <c r="AF270" i="6"/>
  <c r="AG269" i="6"/>
  <c r="AF269" i="6"/>
  <c r="AG268" i="6"/>
  <c r="AF268" i="6"/>
  <c r="AG267" i="6"/>
  <c r="AF267" i="6"/>
  <c r="AG266" i="6"/>
  <c r="AF266" i="6"/>
  <c r="AG265" i="6"/>
  <c r="AF265" i="6"/>
  <c r="AG264" i="6"/>
  <c r="AF264" i="6"/>
  <c r="AG263" i="6"/>
  <c r="AF263" i="6"/>
  <c r="AG262" i="6"/>
  <c r="AF262" i="6"/>
  <c r="AG255" i="6"/>
  <c r="AF255" i="6"/>
  <c r="AG251" i="6"/>
  <c r="AF251" i="6"/>
  <c r="AG248" i="6"/>
  <c r="AF248" i="6"/>
  <c r="AG242" i="6"/>
  <c r="AF242" i="6"/>
  <c r="AG241" i="6"/>
  <c r="AF241" i="6"/>
  <c r="AG240" i="6"/>
  <c r="AF240" i="6"/>
  <c r="AG239" i="6"/>
  <c r="AF239" i="6"/>
  <c r="AG238" i="6"/>
  <c r="AF238" i="6"/>
  <c r="AG237" i="6"/>
  <c r="AF237" i="6"/>
  <c r="AG236" i="6"/>
  <c r="AF236" i="6"/>
  <c r="AG235" i="6"/>
  <c r="AF235" i="6"/>
  <c r="AG234" i="6"/>
  <c r="AF234" i="6"/>
  <c r="AG233" i="6"/>
  <c r="AF233" i="6"/>
  <c r="AG232" i="6"/>
  <c r="AF232" i="6"/>
  <c r="AG231" i="6"/>
  <c r="AF231" i="6"/>
  <c r="AG230" i="6"/>
  <c r="AF230" i="6"/>
  <c r="AG223" i="6"/>
  <c r="AF223" i="6"/>
  <c r="AG222" i="6"/>
  <c r="AF222" i="6"/>
  <c r="AG221" i="6"/>
  <c r="AF221" i="6"/>
  <c r="AG220" i="6"/>
  <c r="AF220" i="6"/>
  <c r="AG219" i="6"/>
  <c r="AF219" i="6"/>
  <c r="AG218" i="6"/>
  <c r="AF218" i="6"/>
  <c r="AG217" i="6"/>
  <c r="AF217" i="6"/>
  <c r="AG215" i="6"/>
  <c r="AF215" i="6"/>
  <c r="AG214" i="6"/>
  <c r="AF214" i="6"/>
  <c r="AG213" i="6"/>
  <c r="AF213" i="6"/>
  <c r="AG212" i="6"/>
  <c r="AF212" i="6"/>
  <c r="AG210" i="6"/>
  <c r="AF210" i="6"/>
  <c r="AG209" i="6"/>
  <c r="AF209" i="6"/>
  <c r="AG204" i="6"/>
  <c r="AF204" i="6"/>
  <c r="AG203" i="6"/>
  <c r="AF203" i="6"/>
  <c r="AG202" i="6"/>
  <c r="AF202" i="6"/>
  <c r="AG201" i="6"/>
  <c r="AF201" i="6"/>
  <c r="AG200" i="6"/>
  <c r="AF200" i="6"/>
  <c r="AG199" i="6"/>
  <c r="AF199" i="6"/>
  <c r="AG198" i="6"/>
  <c r="AF198" i="6"/>
  <c r="AG197" i="6"/>
  <c r="AF197" i="6"/>
  <c r="AG196" i="6"/>
  <c r="AF196" i="6"/>
  <c r="AG195" i="6"/>
  <c r="AF195" i="6"/>
  <c r="AG194" i="6"/>
  <c r="AF194" i="6"/>
  <c r="AG193" i="6"/>
  <c r="AF193" i="6"/>
  <c r="AG171" i="6"/>
  <c r="AF171" i="6"/>
  <c r="AG170" i="6"/>
  <c r="AF170" i="6"/>
  <c r="AG169" i="6"/>
  <c r="AF169" i="6"/>
  <c r="AG168" i="6"/>
  <c r="AF168" i="6"/>
  <c r="AG165" i="6"/>
  <c r="AF165" i="6"/>
  <c r="AG164" i="6"/>
  <c r="AF164" i="6"/>
  <c r="AG161" i="6"/>
  <c r="AF161" i="6"/>
  <c r="AG160" i="6"/>
  <c r="AF160" i="6"/>
  <c r="AG159" i="6"/>
  <c r="AF159" i="6"/>
  <c r="AG150" i="6"/>
  <c r="AF150" i="6"/>
  <c r="AG149" i="6"/>
  <c r="AF149" i="6"/>
  <c r="AG146" i="6"/>
  <c r="AF146" i="6"/>
  <c r="AG145" i="6"/>
  <c r="AF145" i="6"/>
  <c r="AG144" i="6"/>
  <c r="AF144" i="6"/>
  <c r="AG143" i="6"/>
  <c r="AF143" i="6"/>
  <c r="AG142" i="6"/>
  <c r="AF142" i="6"/>
  <c r="AG141" i="6"/>
  <c r="AF141" i="6"/>
  <c r="AG140" i="6"/>
  <c r="AF140" i="6"/>
  <c r="AG139" i="6"/>
  <c r="AF139" i="6"/>
  <c r="AG138" i="6"/>
  <c r="AF138" i="6"/>
  <c r="AG137" i="6"/>
  <c r="AF137" i="6"/>
  <c r="AG136" i="6"/>
  <c r="AF136" i="6"/>
  <c r="AG135" i="6"/>
  <c r="AF135" i="6"/>
  <c r="AG134" i="6"/>
  <c r="AF134" i="6"/>
  <c r="AG133" i="6"/>
  <c r="AF133" i="6"/>
  <c r="AG132" i="6"/>
  <c r="AF132" i="6"/>
  <c r="AG129" i="6"/>
  <c r="AF129" i="6"/>
  <c r="AG128" i="6"/>
  <c r="AF128" i="6"/>
  <c r="AG127" i="6"/>
  <c r="AF127" i="6"/>
  <c r="AG126" i="6"/>
  <c r="AF126" i="6"/>
  <c r="AG123" i="6"/>
  <c r="AF123" i="6"/>
  <c r="AG122" i="6"/>
  <c r="AF122" i="6"/>
  <c r="AG121" i="6"/>
  <c r="AF121" i="6"/>
  <c r="AG119" i="6"/>
  <c r="AF119" i="6"/>
  <c r="AG113" i="6"/>
  <c r="AF113" i="6"/>
  <c r="AG112" i="6"/>
  <c r="AF112" i="6"/>
  <c r="AG111" i="6"/>
  <c r="AF111" i="6"/>
  <c r="AG110" i="6"/>
  <c r="AF110" i="6"/>
  <c r="AG109" i="6"/>
  <c r="AF109" i="6"/>
  <c r="AG108" i="6"/>
  <c r="AF108" i="6"/>
  <c r="AG107" i="6"/>
  <c r="AF107" i="6"/>
  <c r="AG106" i="6"/>
  <c r="AF106" i="6"/>
  <c r="AG105" i="6"/>
  <c r="AF105" i="6"/>
  <c r="AG104" i="6"/>
  <c r="AF104" i="6"/>
  <c r="AG103" i="6"/>
  <c r="AF103" i="6"/>
  <c r="AG102" i="6"/>
  <c r="AF102" i="6"/>
  <c r="AG101" i="6"/>
  <c r="AF101" i="6"/>
  <c r="AG100" i="6"/>
  <c r="AF100" i="6"/>
  <c r="AG90" i="6"/>
  <c r="AF90" i="6"/>
  <c r="AG85" i="6"/>
  <c r="AF85" i="6"/>
  <c r="AG84" i="6"/>
  <c r="AF84" i="6"/>
  <c r="AG83" i="6"/>
  <c r="AF83" i="6"/>
  <c r="AG82" i="6"/>
  <c r="AF82" i="6"/>
  <c r="AG81" i="6"/>
  <c r="AF81" i="6"/>
  <c r="AG80" i="6"/>
  <c r="AF80" i="6"/>
  <c r="AG79" i="6"/>
  <c r="AF79" i="6"/>
  <c r="AG78" i="6"/>
  <c r="AF78" i="6"/>
  <c r="AG77" i="6"/>
  <c r="AF77" i="6"/>
  <c r="AG76" i="6"/>
  <c r="AF76" i="6"/>
  <c r="AG75" i="6"/>
  <c r="AF75" i="6"/>
  <c r="AG74" i="6"/>
  <c r="AF74" i="6"/>
  <c r="AG73" i="6"/>
  <c r="AF73" i="6"/>
  <c r="AG72" i="6"/>
  <c r="AF72" i="6"/>
  <c r="AG71" i="6"/>
  <c r="AF71" i="6"/>
  <c r="AG70" i="6"/>
  <c r="AF70" i="6"/>
  <c r="AG69" i="6"/>
  <c r="AF69" i="6"/>
  <c r="AG68" i="6"/>
  <c r="AF68" i="6"/>
  <c r="AG67" i="6"/>
  <c r="AF67" i="6"/>
  <c r="AG66" i="6"/>
  <c r="AF66" i="6"/>
  <c r="AG65" i="6"/>
  <c r="AF65" i="6"/>
  <c r="AG64" i="6"/>
  <c r="AF64" i="6"/>
  <c r="AG63" i="6"/>
  <c r="AF63" i="6"/>
  <c r="AG62" i="6"/>
  <c r="AF62" i="6"/>
  <c r="AG56" i="6"/>
  <c r="AF56" i="6"/>
  <c r="AG55" i="6"/>
  <c r="AF55" i="6"/>
  <c r="AG54" i="6"/>
  <c r="AF54" i="6"/>
  <c r="AG53" i="6"/>
  <c r="AF53" i="6"/>
  <c r="AG52" i="6"/>
  <c r="AF52" i="6"/>
  <c r="AG51" i="6"/>
  <c r="AF51" i="6"/>
  <c r="AG50" i="6"/>
  <c r="AF50" i="6"/>
  <c r="AG49" i="6"/>
  <c r="AF49" i="6"/>
  <c r="AG48" i="6"/>
  <c r="AF48" i="6"/>
  <c r="AG47" i="6"/>
  <c r="AF47" i="6"/>
  <c r="AG46" i="6"/>
  <c r="AF46" i="6"/>
  <c r="AG45" i="6"/>
  <c r="AF45" i="6"/>
  <c r="AG44" i="6"/>
  <c r="AF44" i="6"/>
  <c r="AG43" i="6"/>
  <c r="AF43" i="6"/>
  <c r="AG42" i="6"/>
  <c r="AF42" i="6"/>
  <c r="AG41" i="6"/>
  <c r="AF41" i="6"/>
  <c r="AG40" i="6"/>
  <c r="AF40" i="6"/>
  <c r="AG37" i="6"/>
  <c r="AF37" i="6"/>
  <c r="AG36" i="6"/>
  <c r="AF36" i="6"/>
  <c r="AG35" i="6"/>
  <c r="AF35" i="6"/>
  <c r="AG33" i="6"/>
  <c r="AF33" i="6"/>
  <c r="AG32" i="6"/>
  <c r="AF32" i="6"/>
  <c r="AG31" i="6"/>
  <c r="AF31" i="6"/>
  <c r="AG30" i="6"/>
  <c r="AF30" i="6"/>
  <c r="AG29" i="6"/>
  <c r="AF29" i="6"/>
  <c r="AG28" i="6"/>
  <c r="AF28" i="6"/>
  <c r="AG27" i="6"/>
  <c r="AF27" i="6"/>
  <c r="AG26" i="6"/>
  <c r="AF26" i="6"/>
  <c r="AG25" i="6"/>
  <c r="AF25" i="6"/>
  <c r="AG24" i="6"/>
  <c r="AF24" i="6"/>
  <c r="AG23" i="6"/>
  <c r="AF23" i="6"/>
  <c r="AG22" i="6"/>
  <c r="AF22" i="6"/>
  <c r="AG11" i="6"/>
  <c r="AF11" i="6"/>
  <c r="AG10" i="6"/>
  <c r="AF10" i="6"/>
  <c r="AG9" i="6"/>
  <c r="AF9" i="6"/>
  <c r="AG8" i="6"/>
  <c r="AF8" i="6"/>
  <c r="AG7" i="6"/>
  <c r="AF7" i="6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Y4" authorId="0" shapeId="0" xr:uid="{61889259-498D-CD4D-ACF4-8FDD0E6A3B77}">
      <text>
        <r>
          <rPr>
            <sz val="10"/>
            <color rgb="FF000000"/>
            <rFont val="Tahoma"/>
            <family val="2"/>
          </rPr>
          <t xml:space="preserve">Based on output category
</t>
        </r>
      </text>
    </comment>
    <comment ref="AB4" authorId="0" shapeId="0" xr:uid="{854FEC34-CD07-F040-8665-21152E6CD093}">
      <text>
        <r>
          <rPr>
            <sz val="10"/>
            <color rgb="FF000000"/>
            <rFont val="Tahoma"/>
            <family val="2"/>
          </rPr>
          <t xml:space="preserve">(Total time - Manual time) / Total time, in %
</t>
        </r>
      </text>
    </comment>
    <comment ref="AD4" authorId="0" shapeId="0" xr:uid="{91D26108-F564-5540-B024-23E9DED00464}">
      <text>
        <r>
          <rPr>
            <sz val="10"/>
            <color rgb="FF000000"/>
            <rFont val="Tahoma"/>
            <family val="2"/>
          </rPr>
          <t>Based on automation and pipeline integration score; fractional part indicates automation (if &lt;100%), whole number part indicates integration score</t>
        </r>
      </text>
    </comment>
    <comment ref="AF4" authorId="0" shapeId="0" xr:uid="{16121E0C-8812-0E4F-BAA5-CFD894116F4F}">
      <text>
        <r>
          <rPr>
            <sz val="10"/>
            <color rgb="FF000000"/>
            <rFont val="Tahoma"/>
            <family val="2"/>
          </rPr>
          <t>To compute mean for activities considering total time</t>
        </r>
      </text>
    </comment>
    <comment ref="AG4" authorId="0" shapeId="0" xr:uid="{3DCD1EA6-E821-AD4F-91E1-0DB4CE693077}">
      <text>
        <r>
          <rPr>
            <sz val="10"/>
            <color rgb="FF000000"/>
            <rFont val="Tahoma"/>
            <family val="2"/>
          </rPr>
          <t>To compute SD for activities considering total time</t>
        </r>
      </text>
    </comment>
    <comment ref="AH4" authorId="0" shapeId="0" xr:uid="{9498AF2B-9A71-1F4B-BA41-7FF5007C6A44}">
      <text>
        <r>
          <rPr>
            <sz val="10"/>
            <color rgb="FF000000"/>
            <rFont val="Tahoma"/>
            <family val="2"/>
          </rPr>
          <t xml:space="preserve">Based on practice type
</t>
        </r>
      </text>
    </comment>
    <comment ref="AI4" authorId="0" shapeId="0" xr:uid="{85931164-7E33-A94C-BB36-964866C654A3}">
      <text>
        <r>
          <rPr>
            <sz val="10"/>
            <color rgb="FF000000"/>
            <rFont val="Tahoma"/>
            <family val="2"/>
          </rPr>
          <t xml:space="preserve">Based on pipeline/ metrics integration
</t>
        </r>
      </text>
    </comment>
    <comment ref="AJ4" authorId="0" shapeId="0" xr:uid="{F758B36B-FCB3-F249-B242-B59484921CE4}">
      <text>
        <r>
          <rPr>
            <sz val="10"/>
            <color rgb="FF000000"/>
            <rFont val="Tahoma"/>
            <family val="2"/>
          </rPr>
          <t>To compute mean for activities considering manual time</t>
        </r>
      </text>
    </comment>
    <comment ref="AK4" authorId="0" shapeId="0" xr:uid="{ADBA90D2-4B3A-C84D-8CB6-DB79CC8544D2}">
      <text>
        <r>
          <rPr>
            <sz val="10"/>
            <color rgb="FF000000"/>
            <rFont val="Tahoma"/>
            <family val="2"/>
          </rPr>
          <t>To compute SD for activities considering manual time</t>
        </r>
      </text>
    </comment>
  </commentList>
</comments>
</file>

<file path=xl/sharedStrings.xml><?xml version="1.0" encoding="utf-8"?>
<sst xmlns="http://schemas.openxmlformats.org/spreadsheetml/2006/main" count="8349" uniqueCount="1981">
  <si>
    <t>Field Values</t>
  </si>
  <si>
    <r>
      <rPr>
        <b/>
        <i/>
        <sz val="8"/>
        <color theme="1"/>
        <rFont val="Calibri"/>
        <family val="2"/>
        <scheme val="minor"/>
      </rPr>
      <t>Note</t>
    </r>
    <r>
      <rPr>
        <i/>
        <sz val="8"/>
        <color theme="1"/>
        <rFont val="Calibri"/>
        <family val="2"/>
        <scheme val="minor"/>
      </rPr>
      <t>: Scores/ numbers for business parameters are in col. M of corresponding rows; other scored fields are indicated as 'SCO' in col. B under such rows</t>
    </r>
  </si>
  <si>
    <t>Occurrence</t>
  </si>
  <si>
    <t>Yes</t>
  </si>
  <si>
    <t>No</t>
  </si>
  <si>
    <t>Partial / Sometimes</t>
  </si>
  <si>
    <t>Business criticality</t>
  </si>
  <si>
    <t>High - severe customer impact; market share, goodwill or revenue loss</t>
  </si>
  <si>
    <t>Medium - average impact with acceptable alternatives available till circumvention</t>
  </si>
  <si>
    <t>Low - non-critical for customers; willing to forgo or wait for circumvention</t>
  </si>
  <si>
    <t>IT impact</t>
  </si>
  <si>
    <t>A. Primary business concern is due to user interface (UI) issues, erroneous output, information leaks or data issues</t>
  </si>
  <si>
    <t>B. Primary business concern is due to downtime or delays in response on portal or software</t>
  </si>
  <si>
    <t>C. Business more or less equally concerned with both IT functional and/or security, and IT responsiveness</t>
  </si>
  <si>
    <t>Other reason due to IT</t>
  </si>
  <si>
    <t>No specific business concern</t>
  </si>
  <si>
    <t>App / Package</t>
  </si>
  <si>
    <t>Java/J2EE</t>
  </si>
  <si>
    <t>MS .NET</t>
  </si>
  <si>
    <t>VB.NET</t>
  </si>
  <si>
    <t>VB</t>
  </si>
  <si>
    <t>Objective C</t>
  </si>
  <si>
    <t>C</t>
  </si>
  <si>
    <t>C++</t>
  </si>
  <si>
    <t>C#</t>
  </si>
  <si>
    <t>Guidewire</t>
  </si>
  <si>
    <t>PEGA</t>
  </si>
  <si>
    <t>SAP</t>
  </si>
  <si>
    <t>COBOL</t>
  </si>
  <si>
    <t>Natural Adabas</t>
  </si>
  <si>
    <t>PL/1</t>
  </si>
  <si>
    <t>Perl</t>
  </si>
  <si>
    <t>PHP</t>
  </si>
  <si>
    <t>BASIC / Fortran / Pascal</t>
  </si>
  <si>
    <t>Assembly language</t>
  </si>
  <si>
    <t>RPG</t>
  </si>
  <si>
    <t>SFDC</t>
  </si>
  <si>
    <t>Siebel CRM</t>
  </si>
  <si>
    <t>MS Dynamics</t>
  </si>
  <si>
    <t>Informatica</t>
  </si>
  <si>
    <t>Oracle EBS</t>
  </si>
  <si>
    <t>Oracle BI Enterprise Ed</t>
  </si>
  <si>
    <t>Cognos</t>
  </si>
  <si>
    <t>Business Objects</t>
  </si>
  <si>
    <t>Scala</t>
  </si>
  <si>
    <t>Clojure</t>
  </si>
  <si>
    <t>Ruby</t>
  </si>
  <si>
    <t>Go</t>
  </si>
  <si>
    <t>Python</t>
  </si>
  <si>
    <t>Rust</t>
  </si>
  <si>
    <t>F#</t>
  </si>
  <si>
    <t>Erlang</t>
  </si>
  <si>
    <t>Julia</t>
  </si>
  <si>
    <t>R</t>
  </si>
  <si>
    <t>Lisp</t>
  </si>
  <si>
    <t>Prolog</t>
  </si>
  <si>
    <t>Haskell</t>
  </si>
  <si>
    <t>Other - Java equivalent</t>
  </si>
  <si>
    <t>Other - C equivalent</t>
  </si>
  <si>
    <t>Other - infra and monitoring specific packages</t>
  </si>
  <si>
    <t>Other - AI/ML specific language</t>
  </si>
  <si>
    <t>Other</t>
  </si>
  <si>
    <t>DB</t>
  </si>
  <si>
    <t>Oracle</t>
  </si>
  <si>
    <t>MS SQL Server</t>
  </si>
  <si>
    <t>MySQL</t>
  </si>
  <si>
    <t>PostgreSQL</t>
  </si>
  <si>
    <t>DB2</t>
  </si>
  <si>
    <t>DB2 UDB</t>
  </si>
  <si>
    <t>IMS DB</t>
  </si>
  <si>
    <t>CICS</t>
  </si>
  <si>
    <t>IMS DC</t>
  </si>
  <si>
    <t>ADABAS</t>
  </si>
  <si>
    <t>IDMS</t>
  </si>
  <si>
    <t>MongoDB</t>
  </si>
  <si>
    <t>MS Access</t>
  </si>
  <si>
    <t>Sybase/ SAP Advantage</t>
  </si>
  <si>
    <t>SAP HANA</t>
  </si>
  <si>
    <t>Teradata</t>
  </si>
  <si>
    <t>Greenplum</t>
  </si>
  <si>
    <t>Hbase</t>
  </si>
  <si>
    <t>Neo4j</t>
  </si>
  <si>
    <t>NoSQL</t>
  </si>
  <si>
    <t>NonStop SQL</t>
  </si>
  <si>
    <t>SQL Azure</t>
  </si>
  <si>
    <t>Google Fusion Tables</t>
  </si>
  <si>
    <t>Apache Cassandra</t>
  </si>
  <si>
    <t>Redis</t>
  </si>
  <si>
    <t>Couchbase</t>
  </si>
  <si>
    <t>DynamoDB</t>
  </si>
  <si>
    <t>Elasticsearch</t>
  </si>
  <si>
    <t>MLDB</t>
  </si>
  <si>
    <t>Environment</t>
  </si>
  <si>
    <t>Physical server / Bare metal</t>
  </si>
  <si>
    <t>Massive parallel processing (MPP)</t>
  </si>
  <si>
    <t>VM / vNS</t>
  </si>
  <si>
    <t>Container</t>
  </si>
  <si>
    <t>Mix of VM and container</t>
  </si>
  <si>
    <t>PaaS</t>
  </si>
  <si>
    <t>Serverless</t>
  </si>
  <si>
    <t>Mix of PaaS and Serverless</t>
  </si>
  <si>
    <t>LPAR with / without VMs</t>
  </si>
  <si>
    <t>Infra spread</t>
  </si>
  <si>
    <t>On-premise</t>
  </si>
  <si>
    <t>HCI (on-premise)</t>
  </si>
  <si>
    <t>On-cloud</t>
  </si>
  <si>
    <t>Hybrid cloud (public + private)</t>
  </si>
  <si>
    <t>Hybrid cloud (private + on-premise)</t>
  </si>
  <si>
    <t>Hybrid cloud (public + private + on-premise)</t>
  </si>
  <si>
    <t>Multi-cloud</t>
  </si>
  <si>
    <t>IBM Z Series</t>
  </si>
  <si>
    <t>Tandem / HPE NonStop</t>
  </si>
  <si>
    <t>AS/400 or IBM iSeries</t>
  </si>
  <si>
    <t>Mobile device</t>
  </si>
  <si>
    <t>IoT device / embedded</t>
  </si>
  <si>
    <t>Edge compute (cloudlet, mobile, etc.)</t>
  </si>
  <si>
    <t>Other - distributed</t>
  </si>
  <si>
    <t>Other - legacy</t>
  </si>
  <si>
    <t>IT cycle time</t>
  </si>
  <si>
    <t>Business expects faster releases; resulting in critical escalations or business loss</t>
  </si>
  <si>
    <t>Business expects faster releases; non-critical impact say customer dissatisfaction</t>
  </si>
  <si>
    <t>Business somewhat adjusts to current release cycle time</t>
  </si>
  <si>
    <t>IT maintainability</t>
  </si>
  <si>
    <t>Frequent prod issues due to high technical debt of code and data, inadequate tests or low code traceability</t>
  </si>
  <si>
    <t>Substantial rework and traceability issues in SDLC due to monolithic or large code base</t>
  </si>
  <si>
    <t>Substantial rework and traceability issues due to fragmented code base maintained by multiple depts or vendors</t>
  </si>
  <si>
    <t>Substantial reproducibility issues of code and-or data due to high functional variability in code and-or data changes</t>
  </si>
  <si>
    <t>IT availability and performance</t>
  </si>
  <si>
    <t>Substantial business impact due to app or DB performance issues in handling say peak loads and users</t>
  </si>
  <si>
    <t>Substantial business impact due to environment unavailability, provisioning delays or performance degradation</t>
  </si>
  <si>
    <t>Frequent pipeline or deployment failures due to reliability or configuration issues</t>
  </si>
  <si>
    <t>IT security</t>
  </si>
  <si>
    <t>Frequent prod issues due to app code vulnerability and inadequate security tests</t>
  </si>
  <si>
    <t>Frequent prod issues due to issues in infrastructure security maintenance and policy admin such as no timely patch updates</t>
  </si>
  <si>
    <t xml:space="preserve">Frequent prod issues due to inadequate DB security maintenance and policy admin </t>
  </si>
  <si>
    <t>Software quality</t>
  </si>
  <si>
    <t>Substantial business impact due to poor app design and functionality issues, and lack of adequate tests</t>
  </si>
  <si>
    <t>Substantial business impact due to data integrity and quality issues</t>
  </si>
  <si>
    <t>Substantial business impact due to both app and DB quality, integrity and functionality issues</t>
  </si>
  <si>
    <t>DevOps driver</t>
  </si>
  <si>
    <t>CTO / CIO / CDO</t>
  </si>
  <si>
    <t>Head - Business transformation</t>
  </si>
  <si>
    <t>Head - IT transformation</t>
  </si>
  <si>
    <t>Head - IT engineering</t>
  </si>
  <si>
    <t>Head - Dev / QA</t>
  </si>
  <si>
    <t>Head - Ops / DBA / Infosec</t>
  </si>
  <si>
    <t>Vendor partner</t>
  </si>
  <si>
    <t>IT team operating structure - Dev and Data engineer</t>
  </si>
  <si>
    <t>Dev has single vendor or FTEs, collocated</t>
  </si>
  <si>
    <t>Dev has mix of vendors and-or FTEs, collocated</t>
  </si>
  <si>
    <t>Dev has mix of vendors and-or FTEs, distributed</t>
  </si>
  <si>
    <t>Dev includes data engineers has single vendor or FTEs, collocated</t>
  </si>
  <si>
    <t>Dev incl. data engineers has mix of vendors and-or FTEs, collocated</t>
  </si>
  <si>
    <t>Dev incl. data engineers has mix of vendors and-or FTEs, distributed</t>
  </si>
  <si>
    <t>IT team operating structure - QA</t>
  </si>
  <si>
    <t>QA is part of Dev team (say, pair programmers)</t>
  </si>
  <si>
    <t>QA specific to project/ Scrum, single vendor or FTEs</t>
  </si>
  <si>
    <t>QA specific to project/ Scrum, mix of vendors and-or FTEs</t>
  </si>
  <si>
    <t>QA is shared services, single vendor or FTEs</t>
  </si>
  <si>
    <t>QA is shared services, mix of vendors and-or FTEs</t>
  </si>
  <si>
    <t>IT team operating structure - Ops-infra</t>
  </si>
  <si>
    <t>Ops-infra is same as Dev team (may have self-service)</t>
  </si>
  <si>
    <t>Ops-infra specific to project/ Scrum, single vendor or FTEs</t>
  </si>
  <si>
    <t>Ops-infra specific to project/ Scrum, mix of vendors and-or FTEs</t>
  </si>
  <si>
    <t>Ops-infra is shared services, single vendor or FTEs</t>
  </si>
  <si>
    <t>Ops-infra is shared services, mix of vendors and-or FTEs</t>
  </si>
  <si>
    <t>IT team operating structure - Ops-release</t>
  </si>
  <si>
    <t>Ops-release is same as Dev team (may have self-service)</t>
  </si>
  <si>
    <t>Ops-release specific to project/ Scrum, single vendor or FTEs</t>
  </si>
  <si>
    <t>Ops-release specific to project/ Scrum, mix of vendors and-or FTEs</t>
  </si>
  <si>
    <t>Ops-release is shared services, single vendor or FTEs</t>
  </si>
  <si>
    <t>Ops-release is shared services, mix of vendors and-or FTEs</t>
  </si>
  <si>
    <t>IT team operating structure - Ops-ITSM</t>
  </si>
  <si>
    <t>Ops-ITSM has single vendor or FTEs providing L1-L3</t>
  </si>
  <si>
    <t>Ops-ITSM has mix of vendors and-or FTEs providing L1-L3</t>
  </si>
  <si>
    <t>Ops-ITSM has one or more vendors or FTEs, with Dev team having shared responsibility for L2/L3</t>
  </si>
  <si>
    <t>IT team operating structure - Infosec</t>
  </si>
  <si>
    <t>Infosec has single vendor or FTEs</t>
  </si>
  <si>
    <t>Infosec is shared services, single vendor or FTEs</t>
  </si>
  <si>
    <t>Infosec is shared services, mix of vendors and-or FTEs</t>
  </si>
  <si>
    <t>No separate Infosec team</t>
  </si>
  <si>
    <t>IT team operating structure - DBA and Dev</t>
  </si>
  <si>
    <t>DBA handles all data activities incl. changes, has single vendor or FTEs</t>
  </si>
  <si>
    <t>DBA handles data and has single vendor or FTEs, Dev handles changes</t>
  </si>
  <si>
    <t>DBA handles all data activities incl. changes, has mix of vendors and-or FTEs</t>
  </si>
  <si>
    <t>DBA handles data and has mix of vendors and-or FTEs, Dev handles changes</t>
  </si>
  <si>
    <t>No separate DBA</t>
  </si>
  <si>
    <t>Process blueprint or handbook defines</t>
  </si>
  <si>
    <t>Non-Agile methodology (waterfall, V-model, iterative, etc)</t>
  </si>
  <si>
    <t>Non-Agile with tool based point automation</t>
  </si>
  <si>
    <t>Agile methodology</t>
  </si>
  <si>
    <t>Agile with tool based point automation</t>
  </si>
  <si>
    <t>Agile with automation integrated to metrics-driven DevOps pipelines</t>
  </si>
  <si>
    <t>SCO</t>
  </si>
  <si>
    <t>Architecture defines</t>
  </si>
  <si>
    <t>Tightly coupled app architecture with centralized DBs</t>
  </si>
  <si>
    <t>Loosely coupled app architecture with centralized DBs</t>
  </si>
  <si>
    <t>Mix of tightly and loosely coupled app architectures with centralized DBs</t>
  </si>
  <si>
    <t>Tightly coupled app architecture with distributed DBs</t>
  </si>
  <si>
    <t>Loosely coupled app architecture with distributed DBs</t>
  </si>
  <si>
    <t>Mix of tightly and loosely coupled app architectures with distributed DBs</t>
  </si>
  <si>
    <t>No formal definition</t>
  </si>
  <si>
    <t>DevOps architecture definition</t>
  </si>
  <si>
    <t>Unified DevOps architecture defined and reference implementation exists</t>
  </si>
  <si>
    <t>DevOps architecture defined portfolio-wise, or infra-wise, and one or more reference implementation exists</t>
  </si>
  <si>
    <t>Unified architecture defined only</t>
  </si>
  <si>
    <t>DevOps architecture defined portfolio-wise, or infra-wise</t>
  </si>
  <si>
    <t>Every project within portfolio defines and implements its own DevOps architecture</t>
  </si>
  <si>
    <t>Architecture review board</t>
  </si>
  <si>
    <t>Exists and provides enterprise-level guidelines</t>
  </si>
  <si>
    <t>Exists and reviews implementation on sample of projects</t>
  </si>
  <si>
    <t>Exists and reviews implementation for every project using automated audits</t>
  </si>
  <si>
    <t>Does not formally exist</t>
  </si>
  <si>
    <t>Infosec review board</t>
  </si>
  <si>
    <t>Tracking and dashboard</t>
  </si>
  <si>
    <t>Centralized dashboard exists for tracking releases and ITSM workflows</t>
  </si>
  <si>
    <t>Centralized dashboard only exists for release tracking</t>
  </si>
  <si>
    <t>Centralized dashboard only exists for ITSM</t>
  </si>
  <si>
    <t>No centralized dashboards, however tool specific data used for manual reporting</t>
  </si>
  <si>
    <t>Requirements - Prioritization and planning</t>
  </si>
  <si>
    <t>Business requirements taken as-is for scheduled release planning</t>
  </si>
  <si>
    <t>Business requirements are prioritized thru release backlogs</t>
  </si>
  <si>
    <t>Business requirements broken into services and prioritized as release backlogs</t>
  </si>
  <si>
    <t>Requirements are requests obtained on running basis for FIFO closure or release</t>
  </si>
  <si>
    <t>Requirements - NFRs</t>
  </si>
  <si>
    <t>NFRs exist as a standardized set as part of architecture definition and related test cases included for each release</t>
  </si>
  <si>
    <t>NFRs are separately defined and translated to test cases for each release using automation</t>
  </si>
  <si>
    <t>NFRs are separately defined and translated to test cases for each release manually</t>
  </si>
  <si>
    <t>NFRs are not consistently included across releases</t>
  </si>
  <si>
    <t>Requirements - IT translation</t>
  </si>
  <si>
    <t>Business creates BRS which is translated to SRS by IT team</t>
  </si>
  <si>
    <t>Business creates BRS which is translated to user stories by IT team using AI-ML or NLP</t>
  </si>
  <si>
    <t>Business directly creates or translates requirements to user stories using AI-ML or NLP</t>
  </si>
  <si>
    <t>Business creates BRS which is translated to user stories by IT team</t>
  </si>
  <si>
    <t>Business directly creates or translates requirements to user stories</t>
  </si>
  <si>
    <t>Requirements - traceability</t>
  </si>
  <si>
    <t>All requirements incl. NFRs are mapped to code, DB and-or tests using automation tool</t>
  </si>
  <si>
    <t>Requirements are partially mapped to code, DB and-or tests, using automation tool (rest may be manually maintained)</t>
  </si>
  <si>
    <t>All requirements are manually mapped to code, DB and-or tests; mapping maintained in say, a document</t>
  </si>
  <si>
    <t>Requirements are partially (and manually) mapped to code, DB and-or tests, and maintained in say, a document (rest may not be mapped)</t>
  </si>
  <si>
    <t>No requirement is mapped to code, DB or tests; traceability is ad hoc/ by trial and error</t>
  </si>
  <si>
    <t>Requirements - AI/ML models</t>
  </si>
  <si>
    <t>Requirements include process modelling with standard rules</t>
  </si>
  <si>
    <t>Requirements include creating models with adaptive rules optionally requiring AI-ML capabilities</t>
  </si>
  <si>
    <t>Requirements do not include creating models</t>
  </si>
  <si>
    <t>Code and data - Quality checks</t>
  </si>
  <si>
    <t>Automated code quality checks with localized code metrics</t>
  </si>
  <si>
    <t>Automated code quality checks with code metrics through central server for peer or governance reporting</t>
  </si>
  <si>
    <t>Manual code quality checks</t>
  </si>
  <si>
    <t>Code and data - Branching strategy</t>
  </si>
  <si>
    <t>Code built and managed in multiple long lived branches, one of which is selected for release</t>
  </si>
  <si>
    <t>Code built and managed on release or feature branches, merged to single master for release</t>
  </si>
  <si>
    <t>Code built and managed on single master branch for release</t>
  </si>
  <si>
    <t>Code and data - Automation and pipeline</t>
  </si>
  <si>
    <t>Code changes are managed, built and packaged manually</t>
  </si>
  <si>
    <t>Code changes are managed, built and packaged using automation</t>
  </si>
  <si>
    <t>Code changes are managed, built and packaged using automation over a CI-CD pipeline</t>
  </si>
  <si>
    <t>Code and data - DB changes</t>
  </si>
  <si>
    <t>DB schema changes or migration are managed manually</t>
  </si>
  <si>
    <t>DB schema changes or migration are managed using automation</t>
  </si>
  <si>
    <t>DB schema changes or migration are managed using automation over a CI-CD pipeline</t>
  </si>
  <si>
    <t>Code and data - AI/ML models</t>
  </si>
  <si>
    <t>Code and data changes incorporate inherent AI-ML capabilities</t>
  </si>
  <si>
    <t>Code and data changes pertaining to models are separately managed and incorporate APIs</t>
  </si>
  <si>
    <t>Code and data changes do not require AI-ML capabilities</t>
  </si>
  <si>
    <t>Code and data - AIOps for code or DB checking</t>
  </si>
  <si>
    <t>Code and data integrity checking use AI-ML agents to define checking criteria</t>
  </si>
  <si>
    <t>Code checking uses AI-ML agents to define checking criteria</t>
  </si>
  <si>
    <t>Data integrity checking uses AI-ML agents to define checking criteria</t>
  </si>
  <si>
    <t>No AI-ML agents are used for defining code or data integrity checking criteria</t>
  </si>
  <si>
    <t>Quality - TDD/BDD</t>
  </si>
  <si>
    <t>TDD-BDD with functional and NFR tests</t>
  </si>
  <si>
    <t>TDD-BDD for functional tests only</t>
  </si>
  <si>
    <t>TDD-BDD for NFR tests only</t>
  </si>
  <si>
    <t>All tests are post facto (post development)</t>
  </si>
  <si>
    <t>Quality - Test automation</t>
  </si>
  <si>
    <t>All tests automated</t>
  </si>
  <si>
    <t>Only functional tests automated fully or partially</t>
  </si>
  <si>
    <t>Only NFR tests automated fully or partially</t>
  </si>
  <si>
    <t>Both functional and NFR tests partially automated</t>
  </si>
  <si>
    <t>All manual tests</t>
  </si>
  <si>
    <t>Quality - Pipeline integration</t>
  </si>
  <si>
    <t>All tests are run as part of CI-CD pipeline</t>
  </si>
  <si>
    <t>Functional and NFR tests both are partially executed using CI-CD pipeline</t>
  </si>
  <si>
    <t>Functional tests are fully or partially executed using CI-CD pipeline</t>
  </si>
  <si>
    <t>NFR tests are fully or partially executed using CI-CD pipeline</t>
  </si>
  <si>
    <t>Tests are not on CI-CD pipeline</t>
  </si>
  <si>
    <t>Quality - Code review</t>
  </si>
  <si>
    <t>Code review is done as part of pair programming or over-the-shoulder pre-commit</t>
  </si>
  <si>
    <t>Code review done using say pull requests pre-merge to main branch, by peers</t>
  </si>
  <si>
    <t>Code review done post-merge or periodically irrespective of merge, by separate review process</t>
  </si>
  <si>
    <t>No formal code review done</t>
  </si>
  <si>
    <t>Quality - AI/ML models</t>
  </si>
  <si>
    <t>Code and data changes incorporate AI-ML models trained and evaluated manually</t>
  </si>
  <si>
    <t>Code and data changes incorporate AI-ML models trained and evaluated using automation tools</t>
  </si>
  <si>
    <t>Code and data changes incorporate AI-ML models trained and evaluated as part of CI-CD pipeline prior to deploy</t>
  </si>
  <si>
    <t>Code and data changes do not incorporate AI-ML</t>
  </si>
  <si>
    <t>Quality - AIOps led tests</t>
  </si>
  <si>
    <t>Both functional and non-functional testing use AI-ML agents to define or execute tests</t>
  </si>
  <si>
    <t>Functional testing uses AI-ML agents to define or execute tests</t>
  </si>
  <si>
    <t>Non-functional testing uses AI-ML agents to define or execute tests</t>
  </si>
  <si>
    <t>No AI-ML agents are used to define or execute tests</t>
  </si>
  <si>
    <t>Deployment - Automation</t>
  </si>
  <si>
    <t>Deployments are fully automated</t>
  </si>
  <si>
    <t>Code deployments are automated, not DB</t>
  </si>
  <si>
    <t>DB deployments are automated, not code</t>
  </si>
  <si>
    <t>Deployments are partially automated across code and-or DB</t>
  </si>
  <si>
    <t>All deployments are manual</t>
  </si>
  <si>
    <t>Deployment - Type</t>
  </si>
  <si>
    <t>Zero downtime deployment with containers</t>
  </si>
  <si>
    <t>Canary, dark launch or feature-toggle deployment</t>
  </si>
  <si>
    <t>Rolling deployment</t>
  </si>
  <si>
    <t>Blue-green deployment</t>
  </si>
  <si>
    <t>Traditional deployment with downtime</t>
  </si>
  <si>
    <t>Deployment - Rollback</t>
  </si>
  <si>
    <t>Rollback is automated for both code and DB</t>
  </si>
  <si>
    <t>Rollback is automated for code only</t>
  </si>
  <si>
    <t>Rollback is automated for DB only</t>
  </si>
  <si>
    <t>Rollback is partially automated across code and-or DB</t>
  </si>
  <si>
    <t>Rollback is manual</t>
  </si>
  <si>
    <t>No rollback mechanism exist, roll forward is done</t>
  </si>
  <si>
    <t>Deployment - Role involvement</t>
  </si>
  <si>
    <t>Deployments are done as self-service by Dev</t>
  </si>
  <si>
    <t>Deployments are partially done as self-service by Dev, say for lower env</t>
  </si>
  <si>
    <t>Deployments are done by Ops with Dev support</t>
  </si>
  <si>
    <t>Deployments are done by Ops only</t>
  </si>
  <si>
    <t>Deployment - Pipeline integration</t>
  </si>
  <si>
    <t>Deployments are part of CI-CD pipeline</t>
  </si>
  <si>
    <t>Deployments are partially done as part of CI-CD pipeline</t>
  </si>
  <si>
    <t>Deployments are not part of CI-CD pipeline</t>
  </si>
  <si>
    <t>Environment and pipeline - Automation</t>
  </si>
  <si>
    <t>Environment provisioning is self-service, blueprinted and automated</t>
  </si>
  <si>
    <t>Environment provisioning is partially blueprinted and automated, via requests to Ops</t>
  </si>
  <si>
    <t>Environment provisioning is manual, via requests to Ops</t>
  </si>
  <si>
    <t>Environment and pipeline - Environment codification</t>
  </si>
  <si>
    <t>Environment configurations managed as versioned infra-as-code (IAC)</t>
  </si>
  <si>
    <t>Environment configurations managed through scripts</t>
  </si>
  <si>
    <t>Environment configurations are manually maintained</t>
  </si>
  <si>
    <t>Environment and pipeline - Containerization and failure</t>
  </si>
  <si>
    <t>Pipelines are containerized with automated mgmt. and failure detection or resolution</t>
  </si>
  <si>
    <t>Pipelines are containerized however manually managed and resolved for failures</t>
  </si>
  <si>
    <t>Pipelines are non-containerized, auto-monitored for mgmt. and failure detection</t>
  </si>
  <si>
    <t>Pipelines are non-containerized with manual mgmt. and failure detection</t>
  </si>
  <si>
    <t>No automated pipeline exists</t>
  </si>
  <si>
    <t>Environment and pipeline - Pipeline codification</t>
  </si>
  <si>
    <t>Pipeline configurations managed as versioned pipeline-as-code (PAC)</t>
  </si>
  <si>
    <t>Pipeline configurations managed through scripts</t>
  </si>
  <si>
    <t>Pipeline configurations are manually created and maintained</t>
  </si>
  <si>
    <t>No pipeline exists, all release work is done manually</t>
  </si>
  <si>
    <t>Environment and pipeline - Pipeline and workflow</t>
  </si>
  <si>
    <t>All pipeline failures due to failed tests, deploys or environment issues are resolved before any release work is executed</t>
  </si>
  <si>
    <t>Release work is executed in parallel to pipeline failure resolution in case of such failure</t>
  </si>
  <si>
    <t>Release work is executed while pipeline failure resoluton is postponed till end of release</t>
  </si>
  <si>
    <t>No automated release pipeline exists</t>
  </si>
  <si>
    <t>Environment and pipeline - AIOps for failure detection</t>
  </si>
  <si>
    <t>Pipeline failure detection involves configurable AI-ML models</t>
  </si>
  <si>
    <t>Pipeline failure detection involves AI-ML models, however non-configurable (fixed models)</t>
  </si>
  <si>
    <t>Pipeline failure detection involves configurable rules, however no AI-ML</t>
  </si>
  <si>
    <t>No automated pipeline failure detection is done (may be manual)</t>
  </si>
  <si>
    <t>Security and reliability - Security coverage and pipeline</t>
  </si>
  <si>
    <t>Security tests incorporate app, DB, and infra security, automated as part of pipeline</t>
  </si>
  <si>
    <t>Security tests incorporate app and DB security, automated as part of pipeline</t>
  </si>
  <si>
    <t>Security tests incorporate app, DB, and infra security, and automated</t>
  </si>
  <si>
    <t>Security tests incorporate app and DB security, and automated</t>
  </si>
  <si>
    <t>Security tests incorporate app and DB, and manual</t>
  </si>
  <si>
    <t>Security tests are not formally done</t>
  </si>
  <si>
    <t>Security and reliability - Security scanning</t>
  </si>
  <si>
    <t>Continuous security scanning with issue detection for app, DB, tools and infra (both pre-prod and prod)</t>
  </si>
  <si>
    <t>Continuous security scanning with issue detection for app and DB (both pre-prod and prod)</t>
  </si>
  <si>
    <t>Continuous security scanning with issue detection for app, DB, tools and-or infra (prod)</t>
  </si>
  <si>
    <t>Continuous security scanning with issue detection for app and DB (prod)</t>
  </si>
  <si>
    <t>No continuous security scanning, however may have periodic checks</t>
  </si>
  <si>
    <t>Security and reliability - Chaos tests</t>
  </si>
  <si>
    <t>Chaos tests conducted in both pre-prod and prod, with automated monitoring</t>
  </si>
  <si>
    <t>Chaos tests conducted in pre-prod only, with automated monitoring</t>
  </si>
  <si>
    <t>Chaos tests conducted in prod only, with automated monitoring</t>
  </si>
  <si>
    <t>No chaos tests, however automated failure monitoring and alerts for pipeline and infra exists</t>
  </si>
  <si>
    <t>No chaos tests or automated failure monitoring for pipeline or infra (manual checks only)</t>
  </si>
  <si>
    <t>Security and reliability - Performance monitoring</t>
  </si>
  <si>
    <t>Performance monitoring for app, DB and infra (both pre-prod and prod)</t>
  </si>
  <si>
    <t>Performance monitoring for app and DB (both pre-prod and prod)</t>
  </si>
  <si>
    <t>Performance monitoring for app, DB and infra (pre-prod)</t>
  </si>
  <si>
    <t>Performance monitoring for app and DB (pre-prod)</t>
  </si>
  <si>
    <t>Performance monitoring for app, DB and infra (prod)</t>
  </si>
  <si>
    <t>Performance monitoring for app and DB (prod)</t>
  </si>
  <si>
    <t>No performance monitoring</t>
  </si>
  <si>
    <t>Security and reliability - Infra security scope</t>
  </si>
  <si>
    <t>Infra security incl. container and-or VMs during build, and for network and storage</t>
  </si>
  <si>
    <t>Infra security incl. container and-or VMs during runtime only, and for network and storage</t>
  </si>
  <si>
    <t>Infra security incl. container and VMs during build</t>
  </si>
  <si>
    <t>Infra security incl. container and-or VMs at runtime only</t>
  </si>
  <si>
    <t>Infra security for network and storage only</t>
  </si>
  <si>
    <t>No specific infra security exists</t>
  </si>
  <si>
    <t>Security and reliability - AIOps for security</t>
  </si>
  <si>
    <t>Security vulnerability detection involves configurable AI-ML models</t>
  </si>
  <si>
    <t>Security vulnerability detection involves AI-ML models, however non-configurable</t>
  </si>
  <si>
    <t>Security vulnerability detection involves configurable rules, however no AI-ML</t>
  </si>
  <si>
    <t>No automated security vulnerability detection is done (may be manual)</t>
  </si>
  <si>
    <t>ITSM - Incident handling</t>
  </si>
  <si>
    <t>Incidents are both auto-triggered and manually raised, and auto-resolved fully or partially using AIOps</t>
  </si>
  <si>
    <t>Incidents are both auto-triggered and manually raised, and manually resolved</t>
  </si>
  <si>
    <t>Incidents are manually raised and resolved</t>
  </si>
  <si>
    <t>ITSM - Problem handling</t>
  </si>
  <si>
    <t>Problems are full auto-identified thru RCA using AIOps and routed</t>
  </si>
  <si>
    <t>Problems are both auto-identified thru RCA (using say AIOps) and manually identified, and routed</t>
  </si>
  <si>
    <t>Problems are manually identified thru RCA and routed</t>
  </si>
  <si>
    <t>Recurring problems are not identified or formally done</t>
  </si>
  <si>
    <t>ITSM - Change handling</t>
  </si>
  <si>
    <t>Change request workflow incl. L3 is fully automated using AIOps</t>
  </si>
  <si>
    <t>Change request workflow incl. L3 is partially automated based on change type</t>
  </si>
  <si>
    <t>Change request workflow incl. L3 is manual, may involve CAB</t>
  </si>
  <si>
    <t>No formal or defined change request workflow exists, CAB reviews case-by-case at intervals</t>
  </si>
  <si>
    <t>ITSM - Monitoring</t>
  </si>
  <si>
    <t>Continuous monitoring in both pre-prod and prod</t>
  </si>
  <si>
    <t>Continuous monitoring in prod only</t>
  </si>
  <si>
    <t>Continuous monitoring in pre-prod only</t>
  </si>
  <si>
    <t>No continuous monitoring, however may have periodic monitoring or checks</t>
  </si>
  <si>
    <t>Cultural and workflow - Cross skilling</t>
  </si>
  <si>
    <t>Cross training across Dev (or data engineer), QA and Ops</t>
  </si>
  <si>
    <t>Cross training across Dev (or data engineer) and QA only</t>
  </si>
  <si>
    <t>Cross skilling across Ops teams only</t>
  </si>
  <si>
    <t>Role specific training only</t>
  </si>
  <si>
    <t>Cultural and workflow - Agile and DevOps skilling</t>
  </si>
  <si>
    <t>Training in Agile and DevOps concepts for both Dev and Ops teams</t>
  </si>
  <si>
    <t>Training in Agile and DevOps, for Dev</t>
  </si>
  <si>
    <t>Training in Agile and DevOps, for Ops</t>
  </si>
  <si>
    <t>Training in Agile only for both Dev and Ops</t>
  </si>
  <si>
    <t>Training in Agile only, for Dev</t>
  </si>
  <si>
    <t>Training in Agile only, for Ops</t>
  </si>
  <si>
    <t>No Agile or DevOps training</t>
  </si>
  <si>
    <t>Cultural and workflow - Requirements review</t>
  </si>
  <si>
    <t>Requirements are reviewed by business, architect, IT owner, Dev and Ops</t>
  </si>
  <si>
    <t>Requirements are reviewed by business, architect and IT owner</t>
  </si>
  <si>
    <t>Requirements are reviewed by business and IT owner or team</t>
  </si>
  <si>
    <t>Requirements are reviewed by business and architect, and passed to IT team</t>
  </si>
  <si>
    <t>Requirements are passed to IT team without review</t>
  </si>
  <si>
    <t>Cultural and workflow - Pipeline failure resolution roles</t>
  </si>
  <si>
    <t>Pipeline failures due to failed tests, deploys and pipeline components are resolved by Dev (or data engineer), QA and Ops</t>
  </si>
  <si>
    <t>Pipeline failures are resolved by Dev (or data engineer) and QA only</t>
  </si>
  <si>
    <t>Pipeline failures are resolved by Ops only</t>
  </si>
  <si>
    <t>Pipeline failures are resolved post facto by Ops-ITSM</t>
  </si>
  <si>
    <t>No formal pipeline or failure resolution</t>
  </si>
  <si>
    <t>Cultural and workflow - Incident resolution roles</t>
  </si>
  <si>
    <t>L2/L3 incidents are primarily resolved by Dev (or data engineer) with support from Ops incl. ITSM team for certain duration post prod rollout</t>
  </si>
  <si>
    <t>L2/L3 incidents are resolved by Ops-ITSM team with shared responsibility by Dev (or data engineer) for certain duration post prod rollout</t>
  </si>
  <si>
    <t>L2/L3 incidents are routed and resolved by Ops-ITSM team</t>
  </si>
  <si>
    <t>No formal L2/L3 incident handling exists</t>
  </si>
  <si>
    <t>Cultural and workflow - Work tracking</t>
  </si>
  <si>
    <t>Agile tracking with both Scrum and Kanban boards</t>
  </si>
  <si>
    <t>Agile tracking with Scrum board only</t>
  </si>
  <si>
    <t>Agile tracking through Kanban only</t>
  </si>
  <si>
    <t>Non-Agile methods in work tracking</t>
  </si>
  <si>
    <t>Cultural and workflow - Integration from pipeline</t>
  </si>
  <si>
    <t>Pipeline is integrated to ALM or ITSM workflow and monitoring</t>
  </si>
  <si>
    <t>Pipeline is integrated to ALM or ITSM</t>
  </si>
  <si>
    <t>Pipeline is integrated to monitoring</t>
  </si>
  <si>
    <t>Pipeline is not integrated, however metrics and workflow are manually tracked</t>
  </si>
  <si>
    <t>15, 16, 17</t>
  </si>
  <si>
    <t>Tooling</t>
  </si>
  <si>
    <t>Collaboration / chat tools only</t>
  </si>
  <si>
    <t>Forms in KM tool</t>
  </si>
  <si>
    <t>Shared folders</t>
  </si>
  <si>
    <t>MS Excel / equivalent</t>
  </si>
  <si>
    <t>Email</t>
  </si>
  <si>
    <t>None</t>
  </si>
  <si>
    <t>Reporting and analytics - Requirements</t>
  </si>
  <si>
    <t>Prescriptive analytics in identification and prioritization</t>
  </si>
  <si>
    <t>Predictive analytics</t>
  </si>
  <si>
    <t>Descriptive reporting with traceability</t>
  </si>
  <si>
    <t>Basic metrics reporting</t>
  </si>
  <si>
    <t>Manual or no reporting</t>
  </si>
  <si>
    <t>Reporting and analytics - Code and data</t>
  </si>
  <si>
    <t>Prescriptive analytics on changes required</t>
  </si>
  <si>
    <t>Reporting and analytics - Quality</t>
  </si>
  <si>
    <t>Prescriptive analytics in defining tests and defect resolution</t>
  </si>
  <si>
    <t>Predictive analytics incl. defect prediction</t>
  </si>
  <si>
    <t>Reporting and analytics - Deployment</t>
  </si>
  <si>
    <t>Prescriptive analytics on deploy paths and failure resolution</t>
  </si>
  <si>
    <t>Predictive analytics incl. failure prediction</t>
  </si>
  <si>
    <t>Reporting and analytics - Environment</t>
  </si>
  <si>
    <t>Prescriptive analytics in allocation and performance</t>
  </si>
  <si>
    <t>Reporting and analytics - Service Ops</t>
  </si>
  <si>
    <t>Prescriptive analytics in incident to problem to change</t>
  </si>
  <si>
    <t>Reporting and analytics - Security</t>
  </si>
  <si>
    <t>Prescriptive analytics in policy identification and action</t>
  </si>
  <si>
    <t>Predictive analytics incl. vulnerability prediction</t>
  </si>
  <si>
    <t>SDLC metrics - Release frequency</t>
  </si>
  <si>
    <t>Multiple times a day</t>
  </si>
  <si>
    <t>Once a day</t>
  </si>
  <si>
    <t>1-5 times a week</t>
  </si>
  <si>
    <t>Multiple times a month</t>
  </si>
  <si>
    <t>Monthly</t>
  </si>
  <si>
    <t>Quarterly</t>
  </si>
  <si>
    <t>Few times in 6 months</t>
  </si>
  <si>
    <t>Half-yearly</t>
  </si>
  <si>
    <t>Few times in 1 year</t>
  </si>
  <si>
    <t>Annually</t>
  </si>
  <si>
    <t>SDLC metrics - Release cycle time to prod</t>
  </si>
  <si>
    <t>Few seconds or minutes</t>
  </si>
  <si>
    <t>Less than an hour</t>
  </si>
  <si>
    <t>8 hours or less (in a day)</t>
  </si>
  <si>
    <t>Multiple days, less than a month</t>
  </si>
  <si>
    <t>1-3 months</t>
  </si>
  <si>
    <t>4-6 months</t>
  </si>
  <si>
    <t>More than 6 months</t>
  </si>
  <si>
    <t>SDLC metrics - Average time to provision an environment</t>
  </si>
  <si>
    <t>Very fast, less than 30 min</t>
  </si>
  <si>
    <t>Fast, less than a day</t>
  </si>
  <si>
    <t>Average, 1-2 days</t>
  </si>
  <si>
    <t>Slow, 3-5 days</t>
  </si>
  <si>
    <t>Very slow, more than 5 days</t>
  </si>
  <si>
    <t>SDLC metrics - Functional test automation coverage</t>
  </si>
  <si>
    <t>High, 75% or above</t>
  </si>
  <si>
    <t>Average, 50-75%</t>
  </si>
  <si>
    <t>Low, 20-50%</t>
  </si>
  <si>
    <t>Very low, less than 20%</t>
  </si>
  <si>
    <t>SDLC metrics - NFR test automation coverage</t>
  </si>
  <si>
    <t>SDLC metrics - Average no. of build and test failures per release</t>
  </si>
  <si>
    <t>Low or none, 10% or less</t>
  </si>
  <si>
    <t>Average, 10-25%</t>
  </si>
  <si>
    <t>High, 25-50%</t>
  </si>
  <si>
    <t>Very high, 50-75%</t>
  </si>
  <si>
    <t>Too high, more than 75%</t>
  </si>
  <si>
    <t>SDLC metrics - Average no. of deployment failures across releases</t>
  </si>
  <si>
    <t>Low, 5% or less</t>
  </si>
  <si>
    <t>Average, more than 5% up to 25%</t>
  </si>
  <si>
    <t>Very high, more than 50%</t>
  </si>
  <si>
    <t>ITSM metrics - SLA compliance</t>
  </si>
  <si>
    <t>Very high, 95% or more</t>
  </si>
  <si>
    <t>High, 80-95%</t>
  </si>
  <si>
    <t>Average, 50-80%</t>
  </si>
  <si>
    <t>Low, 0-50%</t>
  </si>
  <si>
    <t>ITSM metrics - Database issues in prod</t>
  </si>
  <si>
    <t>Primarily DB security and access incidents</t>
  </si>
  <si>
    <t>Primarily DB integrity and quality incidents</t>
  </si>
  <si>
    <t>Primarily DB performance incidents</t>
  </si>
  <si>
    <t>Significant DB incidents, due to multiple issues</t>
  </si>
  <si>
    <t>None, or few mostly non-critical DB issues</t>
  </si>
  <si>
    <t>ITSM metrics - MTTR</t>
  </si>
  <si>
    <t>Very fast, 30 min or less</t>
  </si>
  <si>
    <t>Fast, few hours within a day</t>
  </si>
  <si>
    <t>ITSM metrics - MTBF</t>
  </si>
  <si>
    <t>Very rare, once a year or less</t>
  </si>
  <si>
    <t>Rare, 2-5 times a year</t>
  </si>
  <si>
    <t>Average, once or twice in 1-3 months</t>
  </si>
  <si>
    <t>Frequent, few times a month</t>
  </si>
  <si>
    <t>Very frequent, once or more times a day</t>
  </si>
  <si>
    <t>ITSM metrics - Change success rate in prod</t>
  </si>
  <si>
    <t>High (75% or more defects resolved in pre-prod)</t>
  </si>
  <si>
    <t>Average (50-75% defects resolved in pre-prod)</t>
  </si>
  <si>
    <t>Low (20-50% defects resolved in pre-prod)</t>
  </si>
  <si>
    <t>Very low (less than 20% defects resolved in pre-prod)</t>
  </si>
  <si>
    <t>ITSM metrics - Security incidents</t>
  </si>
  <si>
    <t>ITSM metrics - Performance incidents</t>
  </si>
  <si>
    <t>Business value chain</t>
  </si>
  <si>
    <t>Core services - customer</t>
  </si>
  <si>
    <t>Core services - vendor and supply chain</t>
  </si>
  <si>
    <t>Core operations - products / content / service design</t>
  </si>
  <si>
    <t>Mgmt. systems and analytics</t>
  </si>
  <si>
    <t>Compliance and audit</t>
  </si>
  <si>
    <t>Security and risk management</t>
  </si>
  <si>
    <t>Internal and support services</t>
  </si>
  <si>
    <t>Frequency and time - No. of IT change requests</t>
  </si>
  <si>
    <t>8 or less in a year</t>
  </si>
  <si>
    <t>3-12 per quarter</t>
  </si>
  <si>
    <t>10-30 per month</t>
  </si>
  <si>
    <t>Multiple times in a day</t>
  </si>
  <si>
    <t>Multiple times in an hour</t>
  </si>
  <si>
    <t>Frequency and time - New feature expectation time</t>
  </si>
  <si>
    <t>Annual or in six months</t>
  </si>
  <si>
    <t>Within a quarter</t>
  </si>
  <si>
    <t>Within 1-1.5 months</t>
  </si>
  <si>
    <t>Within 1-3 weeks</t>
  </si>
  <si>
    <t>Within 1-4 days</t>
  </si>
  <si>
    <t>Within 4-6 hours</t>
  </si>
  <si>
    <t>Frequency and time - Issue resolution expectation time</t>
  </si>
  <si>
    <t>Within 2-6 days</t>
  </si>
  <si>
    <t>Within a day</t>
  </si>
  <si>
    <t>Within 2 hours</t>
  </si>
  <si>
    <t>Customer experience - demand spike failures</t>
  </si>
  <si>
    <t>Frequent system failures during high demand, customer impact but no quick turnaround</t>
  </si>
  <si>
    <t>Frequent system failures during high demand, quick turnaround exists</t>
  </si>
  <si>
    <t>Occasional system failures during high demand, customer impact but no quick turnaround</t>
  </si>
  <si>
    <t>Occasional system failures during high demand, quick turnaround exists</t>
  </si>
  <si>
    <t>System failures are rare or none</t>
  </si>
  <si>
    <t>Customer experience - functional failures</t>
  </si>
  <si>
    <t>A. Erroneous outcomes (product or service) resulting in customer complaints and loss</t>
  </si>
  <si>
    <t>B. Inconsistent availability of features (product or service) resulting in customer complaints</t>
  </si>
  <si>
    <t>C. Difficult to understand and interpret outcomes (product or service) resulting in customer dissatisfaction</t>
  </si>
  <si>
    <t>A+B</t>
  </si>
  <si>
    <t>A+C</t>
  </si>
  <si>
    <t>B+C</t>
  </si>
  <si>
    <t>All of above</t>
  </si>
  <si>
    <t>None or rare</t>
  </si>
  <si>
    <t>Resilience - Delivery automation</t>
  </si>
  <si>
    <t>Product or service delivery as DIY or self-service</t>
  </si>
  <si>
    <t>Fully automated product or service delivery using electronic transmission methods</t>
  </si>
  <si>
    <t>Partially automated product or service delivery using both electronic and manual transmission methods</t>
  </si>
  <si>
    <t>Fully manual product or service delivery</t>
  </si>
  <si>
    <t>Resilience - Security compliance automation</t>
  </si>
  <si>
    <t>Security tollgates have automated scanning, monitoring, alert and auto or assisted resolution</t>
  </si>
  <si>
    <t>Security tollgates have partially automated scanning, monitoring, alert and assisted resolution</t>
  </si>
  <si>
    <t>Security tollgates have partially automated scanning and monitoring, with manual tracking and resolution</t>
  </si>
  <si>
    <t>No formal or automated security scanning or resolution</t>
  </si>
  <si>
    <t>Resilience - Supply chain pipeline failover</t>
  </si>
  <si>
    <t>Failure detection and resolution involves intelligent automation with business and IT team</t>
  </si>
  <si>
    <t>Failure detection and resolution involves high automation and IT team (business validates)</t>
  </si>
  <si>
    <t>Failure detection is automated, resolution is manual with partial automation, involving business and IT team</t>
  </si>
  <si>
    <t>Failure detection is automated, resolution is manual with partial automation, by IT team (business only validates)</t>
  </si>
  <si>
    <t>No formal failure detection or resolution</t>
  </si>
  <si>
    <t>Resilience - System design modularity</t>
  </si>
  <si>
    <t>Business functions exist as configurable loosely coupled services on highly scalable infrastructure</t>
  </si>
  <si>
    <t>Business functions exist as configurable loosely coupled services on fixed infrastructure</t>
  </si>
  <si>
    <t>Business functions exist as integrated modules on flexible infrastructure</t>
  </si>
  <si>
    <t>Business function exist as integrated modules on fixed infrastructure</t>
  </si>
  <si>
    <t>Business functions are built and extended without maintainability considerations</t>
  </si>
  <si>
    <t>Data security and compliance - Regulatory</t>
  </si>
  <si>
    <t>Compliance requirements frequently change, and have high non-compliance impact or penalty</t>
  </si>
  <si>
    <t>Compliance requirements frequently change, and have low non-compliance impact</t>
  </si>
  <si>
    <t>Compliance requirements rarely change, but have high non-compliance impact or penalty</t>
  </si>
  <si>
    <t>Compliance requirements rarely change, and have low non-compliance impact</t>
  </si>
  <si>
    <t>No compliance requirements exist</t>
  </si>
  <si>
    <t>Data security and compliance - Security monitoring coverage</t>
  </si>
  <si>
    <t>Security monitoring spans across physical and IT infrastructure, assembly or service line facilities and data storage</t>
  </si>
  <si>
    <t>Security monitoring spans across physical and IT infrastructure, assembly or service line facilities</t>
  </si>
  <si>
    <t>Security monitoring spans across physical and IT infrastructure, data storage</t>
  </si>
  <si>
    <t>Security monitoring spans across assembly or service line facilities and data storage</t>
  </si>
  <si>
    <t>No formal security monitoring exist</t>
  </si>
  <si>
    <t>Data security and compliance - Data change and usage policies</t>
  </si>
  <si>
    <t>Data is modularized and distributed, supporting frequent structural changes and configurations</t>
  </si>
  <si>
    <t>Data is modularized but centralized, supporting frequent structural changes and configurations</t>
  </si>
  <si>
    <t>Data is consolidated business unit-wise and centralized, supporting moderate structural changes and configurations</t>
  </si>
  <si>
    <t>Data is consolidated and tightly integrated across business units, supporting low or no structural changes and configurations</t>
  </si>
  <si>
    <t>Portfolio design - Functional redundancy</t>
  </si>
  <si>
    <t>High portfolio redundancy exists due to non-maintainable legacy business components</t>
  </si>
  <si>
    <t>High portfolio redundancy exists due to disaster recovery considerations</t>
  </si>
  <si>
    <t>Low to moderate redundancy exists due to non-maintainable legacy business components</t>
  </si>
  <si>
    <t>Low to moderate redundancy exists due to disaster recovery considerations</t>
  </si>
  <si>
    <t>Portfolio is more or less optimized without redundancy</t>
  </si>
  <si>
    <t>Portfolio design - Security and reliability architecture</t>
  </si>
  <si>
    <t>Security and reliability policies are occasionally reviewed and implemented on to enterprise architecture</t>
  </si>
  <si>
    <t>Policies are standardized (rarely revised) and implemented on to enterprise architecture</t>
  </si>
  <si>
    <t>Policies are reviewed case-by-case based on business units for unit-specific implementation</t>
  </si>
  <si>
    <t>Policies are rarely revised even at business unit level</t>
  </si>
  <si>
    <t>No formal policy review or implementation exists</t>
  </si>
  <si>
    <t>DevOps Assessment - Detailed Questionnaire</t>
  </si>
  <si>
    <t>Data capture template</t>
  </si>
  <si>
    <t>Questionnaire Columns marked in blue: A thru Q, Z, AC</t>
  </si>
  <si>
    <t>S#</t>
  </si>
  <si>
    <t>Epic</t>
  </si>
  <si>
    <t>Story</t>
  </si>
  <si>
    <t>Yes / No</t>
  </si>
  <si>
    <t>Total time taken</t>
  </si>
  <si>
    <t>Manual time spent</t>
  </si>
  <si>
    <t>Predecessor 1 (incl. INIT)</t>
  </si>
  <si>
    <t>Predecessor 2 (optional)</t>
  </si>
  <si>
    <t>Predecessor 3 (optional)</t>
  </si>
  <si>
    <t>Predecessor 4 (optional)</t>
  </si>
  <si>
    <t>Predecessor 5 (optional)</t>
  </si>
  <si>
    <t>Criticality</t>
  </si>
  <si>
    <t>Team / owner role</t>
  </si>
  <si>
    <t>Input</t>
  </si>
  <si>
    <t>Output</t>
  </si>
  <si>
    <t>Automation tool</t>
  </si>
  <si>
    <t>Rel. start time v.v. Pred 1</t>
  </si>
  <si>
    <t>Rel. start time v.v. Pred 2</t>
  </si>
  <si>
    <t>Rel. start time v.v. Pred 3</t>
  </si>
  <si>
    <t>Rel. start time v.v. Pred 4</t>
  </si>
  <si>
    <t>Rel. start time v.v. Pred 5</t>
  </si>
  <si>
    <t>Relative start time</t>
  </si>
  <si>
    <t>Output category</t>
  </si>
  <si>
    <t>Output type</t>
  </si>
  <si>
    <t>Primary pipeline integration</t>
  </si>
  <si>
    <t>Practice type</t>
  </si>
  <si>
    <t>%(time) of automation</t>
  </si>
  <si>
    <t>Primary metrics captured</t>
  </si>
  <si>
    <t>Tech usage score</t>
  </si>
  <si>
    <t>Tool category</t>
  </si>
  <si>
    <t>FxW</t>
  </si>
  <si>
    <t>FxW^2</t>
  </si>
  <si>
    <t>Practice score</t>
  </si>
  <si>
    <t>Pipeline integration score</t>
  </si>
  <si>
    <t>GxW</t>
  </si>
  <si>
    <t>GxW^2</t>
  </si>
  <si>
    <t>Reserved</t>
  </si>
  <si>
    <t>Category - Entity</t>
  </si>
  <si>
    <t>Category - Work type</t>
  </si>
  <si>
    <t>Section B</t>
  </si>
  <si>
    <t>Detailed Activities for IT</t>
  </si>
  <si>
    <t>INIT</t>
  </si>
  <si>
    <t>Initial activity</t>
  </si>
  <si>
    <t>Required for path analysis</t>
  </si>
  <si>
    <t>SDLC - Requirements analysis</t>
  </si>
  <si>
    <t>We create the business requirements specification (BRS) document</t>
  </si>
  <si>
    <t>Med</t>
  </si>
  <si>
    <t>Business</t>
  </si>
  <si>
    <t>Requirements</t>
  </si>
  <si>
    <t>BRS</t>
  </si>
  <si>
    <t>Confluence</t>
  </si>
  <si>
    <t>User story/ specification</t>
  </si>
  <si>
    <t>Manual/ None</t>
  </si>
  <si>
    <t>Manage</t>
  </si>
  <si>
    <t>None/ not applicable</t>
  </si>
  <si>
    <t>I01_Doc_generate</t>
  </si>
  <si>
    <t>Requirement</t>
  </si>
  <si>
    <t>Change specification</t>
  </si>
  <si>
    <t>We identify requirements for application changes from the BRS as part of software requirements specification (SRS) or as user story</t>
  </si>
  <si>
    <t>ITLead</t>
  </si>
  <si>
    <t>SRS</t>
  </si>
  <si>
    <t>ALM/ DLM</t>
  </si>
  <si>
    <t>Application</t>
  </si>
  <si>
    <t>We identify requirements for changes in services/ microservices (for applications broken down into services) from the BRS as part of SRS or as user story</t>
  </si>
  <si>
    <t>Service</t>
  </si>
  <si>
    <t>We identify requirements for database changes from the BRS or, as related to application changes, as part of SRS or as user story</t>
  </si>
  <si>
    <t>Database</t>
  </si>
  <si>
    <t>We identify requirements for DataWareHouse (DWH) changes from the BRS, as part of SRS or as user story</t>
  </si>
  <si>
    <t>We prioritize requirements from backlog into sprint(s) backlog(s) relevant for the release</t>
  </si>
  <si>
    <t>We prioritize requirements from backlog into sprint(s) backlog(s) as part of Minimum Viable Product (MVP) definition</t>
  </si>
  <si>
    <t>SDLC - Manage ML pipeline</t>
  </si>
  <si>
    <t>We identify requirements for ML as part of embedded/ integrated code system</t>
  </si>
  <si>
    <t>DBA-DataSE</t>
  </si>
  <si>
    <t>M32_MLOps</t>
  </si>
  <si>
    <t>MLOps</t>
  </si>
  <si>
    <t>ML model dev</t>
  </si>
  <si>
    <t>We identify requirements for ML as part of decoupled code system with APIs</t>
  </si>
  <si>
    <t>We select/ extract and integrate data from multiple data sources for data analysis, manually</t>
  </si>
  <si>
    <t>Data</t>
  </si>
  <si>
    <t>Data/ DB</t>
  </si>
  <si>
    <t>Implement</t>
  </si>
  <si>
    <t>We execute exploratory data analysis (EDA)</t>
  </si>
  <si>
    <t>We segregate/ prepare (cleansing, transformation, feature engineering) data as ML model training, validation and test sets</t>
  </si>
  <si>
    <t>We select/ extract and integrate data from multiple data sources for data analysis, using automation tool</t>
  </si>
  <si>
    <t>We execute exploratory data analysis (EDA), using automation tool</t>
  </si>
  <si>
    <t>We segregate/ prepare (cleansing, transformation, feature engineering) data as ML model training, validation and test sets, using automation tool</t>
  </si>
  <si>
    <t>We identify requirements for application rollback</t>
  </si>
  <si>
    <t>Ops-Rel</t>
  </si>
  <si>
    <t>IT handbook</t>
  </si>
  <si>
    <t>Rollback specification</t>
  </si>
  <si>
    <t>We identify requirements for database rollback/ roll forward</t>
  </si>
  <si>
    <t>We identify requirements for database warehouse (DWH) rollback</t>
  </si>
  <si>
    <t>We define user/ user groups for canary deployment</t>
  </si>
  <si>
    <t>Configuration rule/ SQL/ ETL</t>
  </si>
  <si>
    <t>Canary/ zoned deploy</t>
  </si>
  <si>
    <t>Deploy specification</t>
  </si>
  <si>
    <t>We group and/or prioritize application components in order of their respective deploy times, for a rolling deployment</t>
  </si>
  <si>
    <t>Plan/ design/ checklist</t>
  </si>
  <si>
    <t>We create the consolidated SRS from BRS</t>
  </si>
  <si>
    <t>We identify and include non-functional requirements (NFRs) to the SRS or as user story</t>
  </si>
  <si>
    <t>Architect</t>
  </si>
  <si>
    <t>We post-validate BRS with business users for traceability and coverage</t>
  </si>
  <si>
    <t>Hi</t>
  </si>
  <si>
    <t>Validate</t>
  </si>
  <si>
    <t>Traceability/ coverage metrics</t>
  </si>
  <si>
    <t>We post-validate SRS (or user stories) using BRS with IT team and architect SME for traceability and coverage</t>
  </si>
  <si>
    <t>We store the BRS and/or SRS in project document library</t>
  </si>
  <si>
    <t>Low</t>
  </si>
  <si>
    <t>BRS/SRS</t>
  </si>
  <si>
    <t>We identify a requirements repository</t>
  </si>
  <si>
    <t>Jira</t>
  </si>
  <si>
    <t>Tool/ software</t>
  </si>
  <si>
    <t>I03_Agile_tracker</t>
  </si>
  <si>
    <t>Identify tool</t>
  </si>
  <si>
    <t>We integrate the requirements repository (to or as part of an ALM tool, or pipeline)</t>
  </si>
  <si>
    <t>DevOps lead</t>
  </si>
  <si>
    <t>API</t>
  </si>
  <si>
    <t>Engineer</t>
  </si>
  <si>
    <t>Configure tool</t>
  </si>
  <si>
    <t>SDLC - Third party connections</t>
  </si>
  <si>
    <t>We establish third party connection natively or to/fro ALM tool to capture and update issues (thru APIs, plug-ins, Webhooks, etc.)</t>
  </si>
  <si>
    <t>Ops-Infra</t>
  </si>
  <si>
    <t>Puppet</t>
  </si>
  <si>
    <t>Data queue/ tag/ JSON/ XML</t>
  </si>
  <si>
    <t>M27_Infra_consolidated</t>
  </si>
  <si>
    <t>We baseline requirements in the repository</t>
  </si>
  <si>
    <t>We monitor baselined requirements via collaboration</t>
  </si>
  <si>
    <t>Track</t>
  </si>
  <si>
    <t>We identify changed requirements and record the changes in repository</t>
  </si>
  <si>
    <t>We establish third party connection natively or to/fro code impact analysis tools (thru APIs, Webhooks, etc.)</t>
  </si>
  <si>
    <t>App code</t>
  </si>
  <si>
    <t>We establish third party connection natively or to/fro DB impact analysis tools (thru APIs, Webhooks, etc.)</t>
  </si>
  <si>
    <t>We assess impact to associated application components for a change</t>
  </si>
  <si>
    <t>Dev (incl. QA)</t>
  </si>
  <si>
    <t>We assess impact to associated APIs and/or message queues for a change</t>
  </si>
  <si>
    <t>We assess impact to database components for a change</t>
  </si>
  <si>
    <t>We assess impact to data pipes and/or data staging areas for a change</t>
  </si>
  <si>
    <t>We record the changes in repository using a workflow</t>
  </si>
  <si>
    <t>We analyze (and mark) if the requirement is user-centric or system-centric</t>
  </si>
  <si>
    <t>QA</t>
  </si>
  <si>
    <t>TDD/ BDD</t>
  </si>
  <si>
    <t>Test specification</t>
  </si>
  <si>
    <t>For user-centric requirement, we apply BDD to templatize repeatable requirements in GWT format</t>
  </si>
  <si>
    <t>Test case</t>
  </si>
  <si>
    <t>Jbehave</t>
  </si>
  <si>
    <t>CI / CD</t>
  </si>
  <si>
    <t>I21_Testdesign_data_TDDBDD</t>
  </si>
  <si>
    <t>Test code specification</t>
  </si>
  <si>
    <t>We validate BDD led requirements</t>
  </si>
  <si>
    <t>For system-centric requirement, we apply TDD to templatize repeatable requirements in TDD format</t>
  </si>
  <si>
    <t>We validate TDD led requirements</t>
  </si>
  <si>
    <t>We translate the format into test scripts using manual workflow for application changes</t>
  </si>
  <si>
    <t>Test script</t>
  </si>
  <si>
    <t>Script</t>
  </si>
  <si>
    <t>We translate requirements into TDD test scripts using manual workflow for database or DWH changes</t>
  </si>
  <si>
    <t>We translate the format into test scripts using  workflow over a workflow/rules engine or tool for application changes</t>
  </si>
  <si>
    <t>We translate requirements into TDD test scripts using  workflow over a workflow/rules engine or tool for database or DWH changes</t>
  </si>
  <si>
    <t>We gather and templatize NFRs from multiple projects in TDD format</t>
  </si>
  <si>
    <t>We merge the NFRs with functional requirements (FRs) in the repository manually</t>
  </si>
  <si>
    <t>We merge the NFRs with functional requirements (FRs) in the repository using a workflow/rules engine or tool</t>
  </si>
  <si>
    <t>SDLC - Chaos experimentation</t>
  </si>
  <si>
    <t>We identify application or service to induce error for chaos experiments</t>
  </si>
  <si>
    <t>Chaos checklist</t>
  </si>
  <si>
    <t>Chaos</t>
  </si>
  <si>
    <t>Chaos specification</t>
  </si>
  <si>
    <t>We identify database entities or instances to induce error for chaos experiments</t>
  </si>
  <si>
    <t>We identify pre-prod infra components (incl. cloud services) w.r.t. blast radius for controlled environment, for running chaos experiments</t>
  </si>
  <si>
    <t>We identify prod infra components (incl. cloud services) w.r.t. blast radius for controlled environment, for running chaos experiments</t>
  </si>
  <si>
    <t>We identify metrics to monitor chaos tests</t>
  </si>
  <si>
    <t>SDLC - Design</t>
  </si>
  <si>
    <t>We translate requirement from SRS into design statements (high level design specification; HLDS) for application changes</t>
  </si>
  <si>
    <t>HLDS</t>
  </si>
  <si>
    <t>Pseudocode/ UML/ E-R/ flow diagram</t>
  </si>
  <si>
    <t>I02_Workflow_appdesigncode</t>
  </si>
  <si>
    <t>Design specification</t>
  </si>
  <si>
    <t>We translate requirement from SRS into design statements for database or DWH changes</t>
  </si>
  <si>
    <t>M30_Dbdesign_mgmt</t>
  </si>
  <si>
    <t>We document design statements as part of high level design doc (HLDD) for application changes</t>
  </si>
  <si>
    <t>Design (HL)</t>
  </si>
  <si>
    <t>HLDD</t>
  </si>
  <si>
    <t>We document design statements as part of HLDD for database or DWH changes</t>
  </si>
  <si>
    <t>We post-validate HLDD using the SRS for both traceability and coverage</t>
  </si>
  <si>
    <t>We store HLDD in project document library with versioning</t>
  </si>
  <si>
    <t>We translate design statement from HLDD into low level design script (LLDS)/ pseudocode for application changes</t>
  </si>
  <si>
    <t>LLDS</t>
  </si>
  <si>
    <t>We translate design statement from HLDD into low level design/ SQL statements for database or DWH changes</t>
  </si>
  <si>
    <t>We document low level design (as pseudocode) as part of low level design document (LLDD), from requirements for application change</t>
  </si>
  <si>
    <t>Design (LL)</t>
  </si>
  <si>
    <t>LLDD</t>
  </si>
  <si>
    <t>We document low level design (as SQL statements) as part of LLDD, from requirements for database or DWH change</t>
  </si>
  <si>
    <t>We document steps and scripts for application rollback</t>
  </si>
  <si>
    <t>M09_Continuous_deploy</t>
  </si>
  <si>
    <t>Rollback script</t>
  </si>
  <si>
    <t>We document steps and scripts for database or DWH rollback using restore-from-backup</t>
  </si>
  <si>
    <t>We document steps and scripts for database or DWH rollback using rollback scripts</t>
  </si>
  <si>
    <t>We document steps and scripts for database or DWH rollback using roll forward scripts</t>
  </si>
  <si>
    <t>We incorporate model driven methodology (such as UMLs) as part of LLDD for code design</t>
  </si>
  <si>
    <t>UML</t>
  </si>
  <si>
    <t>We incorporate model driven methodology (such as UMLs) as part of LLDD for code design using a modelling tool</t>
  </si>
  <si>
    <t>ArgoUML</t>
  </si>
  <si>
    <t>We post-validate LLDD using the HLDD for both traceability and coverage</t>
  </si>
  <si>
    <t>We store LLDD in project document library with versioning</t>
  </si>
  <si>
    <t>We identify design repository</t>
  </si>
  <si>
    <t>We integrate design repository to ALM tool or pipeline</t>
  </si>
  <si>
    <t>We baseline design in repository</t>
  </si>
  <si>
    <t>Design</t>
  </si>
  <si>
    <t>We monitor baselined design via collaboration</t>
  </si>
  <si>
    <t>HLDD/LLDD</t>
  </si>
  <si>
    <t>We identify and record design changes and associated priorities</t>
  </si>
  <si>
    <t>We update design repository over workflow</t>
  </si>
  <si>
    <t>We design application/ service/ API change to induce error for chaos experiments</t>
  </si>
  <si>
    <t>Chaos design document</t>
  </si>
  <si>
    <t>Template/ form</t>
  </si>
  <si>
    <t>Chaos design</t>
  </si>
  <si>
    <t>We design database entities or instances to induce error for chaos experiments</t>
  </si>
  <si>
    <t>We parameterize pre-prod infra components (incl. cloud services) w.r.t. controlled environment,and schedule chaos experiments</t>
  </si>
  <si>
    <t>We parameterize prod infra components (incl. cloud services) w.r.t. controlled environment, and schedule chaos experiments</t>
  </si>
  <si>
    <t>SDLC - Manage environment</t>
  </si>
  <si>
    <t>We identify mode of templated environment request form (email, service management tool) with basic set of parameters</t>
  </si>
  <si>
    <t>Template</t>
  </si>
  <si>
    <t>ServiceNow</t>
  </si>
  <si>
    <t>Workflow/ ITSM</t>
  </si>
  <si>
    <t>I28_Service_workflow</t>
  </si>
  <si>
    <t>Infra</t>
  </si>
  <si>
    <t>Parameterization</t>
  </si>
  <si>
    <t>We identify mode of infra management as manual configuration or script-based only</t>
  </si>
  <si>
    <t>PaaS/ configuration tool integration</t>
  </si>
  <si>
    <t>We identify mode of infra management to be Infra as code (IaC) typically using an infra configuration mgmt. tool</t>
  </si>
  <si>
    <t>SDLC - Manage pipeline</t>
  </si>
  <si>
    <t>We identify mode of pipeline management as manual configuration or script-based only</t>
  </si>
  <si>
    <t>M08_Continuous_integration</t>
  </si>
  <si>
    <t>CI/ CD</t>
  </si>
  <si>
    <t>We identify mode of pipeline mgmt. (for App change) to be Pipeline as code (PaC) typically using an orchestration or pipeline mgmt. tool</t>
  </si>
  <si>
    <t>Code</t>
  </si>
  <si>
    <t>We identify mode of pipeline mgmt. (for DB change) to be PaC typically using an orchestration or pipeline mgmt. tool</t>
  </si>
  <si>
    <t>We identify mode of pipeline mgmt. (for infra change) to be PaC typically using an orchestration or pipeline mgmt. tool</t>
  </si>
  <si>
    <t>For infrastructure/ environment requirement, we apply TDD to templatize tests in TDD format (for IaC tests)</t>
  </si>
  <si>
    <t>We validate TDD led infrastructure/ environment requirements (for IaC tests)</t>
  </si>
  <si>
    <t>We translate the format into test scripts for infrastructure/ environment configurations (for IaC tests)</t>
  </si>
  <si>
    <t>We incorporate parameters for infrastructure - CPU, disk space, etc.</t>
  </si>
  <si>
    <t>Infra as code</t>
  </si>
  <si>
    <t>IaC/ Parameterization</t>
  </si>
  <si>
    <t>We incorporate database specific parameters for infrastructure - persistent database volumes, etc.</t>
  </si>
  <si>
    <t>Volume infra</t>
  </si>
  <si>
    <t>We incorporate parameters for O/S - Linux, Unix, Windows, etc.</t>
  </si>
  <si>
    <t>We incorporate parameters for runtime incl. language compiler &amp; runtime, IDE, domains/ zones - high-security, DMZ, public, etc.</t>
  </si>
  <si>
    <t>We incorporate specific parameters for release to non-prod environments</t>
  </si>
  <si>
    <t>PaC/ Parameterization</t>
  </si>
  <si>
    <t>We incorporate specific parameters for production deployment</t>
  </si>
  <si>
    <t>We incorporate parameters for CI - post-commit unit test to build</t>
  </si>
  <si>
    <t>We incorporate parameters for CT - functional test automation</t>
  </si>
  <si>
    <t>We incorporate parameters for CT - NFR test automation</t>
  </si>
  <si>
    <t>We incorporate parameters for CT incl. TDD/ ATDD/ BDD</t>
  </si>
  <si>
    <t>We incorporate parameters for code metrics</t>
  </si>
  <si>
    <t>We incorporate parameters for automated code construction using say, MDD with/without language-specific code generation capability</t>
  </si>
  <si>
    <t>We incorporate parameters for CM in pre-prod</t>
  </si>
  <si>
    <t>Monitoring</t>
  </si>
  <si>
    <t>We incorporate parameters for CM in prod</t>
  </si>
  <si>
    <t>We establish mainframe connection natively or to/fro provisioning tool for provisioning LPARs, RD&amp;T regions, etc. (thru APIs, Webhooks, etc.)</t>
  </si>
  <si>
    <t>We execute PaC to create pipeline for X (X may be app change, DB change, infra change, deploy another pipeline)</t>
  </si>
  <si>
    <t>Pipeline as code</t>
  </si>
  <si>
    <t>Pipeline</t>
  </si>
  <si>
    <t>Jenkins with scripts</t>
  </si>
  <si>
    <t>Executable/ API</t>
  </si>
  <si>
    <t>Process failure metrics</t>
  </si>
  <si>
    <t>We execute and validate the pipeline for app change</t>
  </si>
  <si>
    <t>Workflow/ request</t>
  </si>
  <si>
    <t>We execute and validate the pipeline for DB change</t>
  </si>
  <si>
    <t>We execute and validate the pipeline for infra change</t>
  </si>
  <si>
    <t xml:space="preserve">We provision base infrastructure for development </t>
  </si>
  <si>
    <t>Provision</t>
  </si>
  <si>
    <t>SDLC - Security engineering</t>
  </si>
  <si>
    <t>We execute security scan/ test for base development infrastructure</t>
  </si>
  <si>
    <t>Hashicorp Vault</t>
  </si>
  <si>
    <t>Security metrics</t>
  </si>
  <si>
    <t>I19_Testauto_security</t>
  </si>
  <si>
    <t>Monitoring execution</t>
  </si>
  <si>
    <t>We identify and prepare environment parameters from dev/test/deploy requirements</t>
  </si>
  <si>
    <t>We define production environment instances and parameters for Rolling | Blue-Green | Red-Black | A/B | Canary deployment needs</t>
  </si>
  <si>
    <t>We validate the base infrastructure / compute resource provisioned</t>
  </si>
  <si>
    <t>Checklist</t>
  </si>
  <si>
    <t>We execute security scan/ test for base infrastructure / compute resource</t>
  </si>
  <si>
    <t>Security vulnerability fix for base infrastructure is managed using a separate security pipeline</t>
  </si>
  <si>
    <t>Service request</t>
  </si>
  <si>
    <t>Process metrics - other</t>
  </si>
  <si>
    <t>Preparation</t>
  </si>
  <si>
    <t>We request for firewall and other access configurations for app interfaces</t>
  </si>
  <si>
    <t>Firewall</t>
  </si>
  <si>
    <t>We validate the firewall and access configuration request</t>
  </si>
  <si>
    <t>Infosecurity</t>
  </si>
  <si>
    <t>We implement and test the firewall and access configurations</t>
  </si>
  <si>
    <t>We request for Enterprise Service Bus (ESB) and/or API management tool configuration changes</t>
  </si>
  <si>
    <t>Integration service</t>
  </si>
  <si>
    <t>We validate the ESB and/or API mgmt. tool configuration request</t>
  </si>
  <si>
    <t>We implement and test the ESB and/or API mgmt. tool configurations</t>
  </si>
  <si>
    <t>We request for environment through email or manual workflow</t>
  </si>
  <si>
    <t>We request for environment through a workflow/ rules engine</t>
  </si>
  <si>
    <t>We validate environment parameters using templates in rules engine</t>
  </si>
  <si>
    <t>We check infrastructure/ environment availability vis-à-vis environment request</t>
  </si>
  <si>
    <t>Zabbix</t>
  </si>
  <si>
    <t>M15_InVM_container_monitoring</t>
  </si>
  <si>
    <t>We approve environment request through workflow mentioning ETA</t>
  </si>
  <si>
    <t>Report</t>
  </si>
  <si>
    <t>We send back request through workflow for revision vis-à-vis available environment parameters</t>
  </si>
  <si>
    <t>We reject environment request through workflow</t>
  </si>
  <si>
    <t>We implement a bare metal infrastructure for target environment</t>
  </si>
  <si>
    <t>Bare metal</t>
  </si>
  <si>
    <t>We spin up VM over a VM provider tool directly using GUI or scripts</t>
  </si>
  <si>
    <t>VM infra</t>
  </si>
  <si>
    <t>We spin up VM over a VM provider tool using a VM provisioning and configuration tool</t>
  </si>
  <si>
    <t>We spin up VM over public cloud directly using in-built cloud services</t>
  </si>
  <si>
    <t>Cloud VM</t>
  </si>
  <si>
    <t>We spin up VM over private cloud directly using in-built cloud services</t>
  </si>
  <si>
    <t>We configure environment in the VM manually (using CLI scripts and installations)</t>
  </si>
  <si>
    <t>We configure environment in the VM using VM configuration tool</t>
  </si>
  <si>
    <t>We spin up VM and then configure environment using VM/cloud management tool over a VM provider</t>
  </si>
  <si>
    <t>We execute security scan/ test for the configured VM environment</t>
  </si>
  <si>
    <t>Security vulnerability fix for VM environment(s) is managed using a separate security pipeline</t>
  </si>
  <si>
    <t>We spin up a container with relevant configuration over a VM or cloud</t>
  </si>
  <si>
    <t>We spin up a container cluster with relevant configuration over a VM or cloud</t>
  </si>
  <si>
    <t>We execute security scan/ test for the configured container or container cluster</t>
  </si>
  <si>
    <t>Security vulnerability fix for container/ cluster environment(s) is managed using a separate security pipeline</t>
  </si>
  <si>
    <t>We obtain an abstracted compute resource (VM or container) provisioned by Platform-as-a-Service (PaaS)</t>
  </si>
  <si>
    <t>Availability and performance</t>
  </si>
  <si>
    <t>We provision and configure mainframe LPAR or RD&amp;T region, with ISPF / TSO session(s)</t>
  </si>
  <si>
    <t>We establish third party connection natively or to/fro CI tool (thru APIs, Webhooks, etc.)</t>
  </si>
  <si>
    <t>We establish third party connection natively or to/fro CD tool (thru APIs, Webhooks, etc.)</t>
  </si>
  <si>
    <t>We establish third party connection natively or to/fro source control repository tool (thru APIs, Webhooks, etc.)</t>
  </si>
  <si>
    <t>We establish third party connection natively or to/fro binary control repository tool (thru APIs, Webhooks, etc.)</t>
  </si>
  <si>
    <t>Binary</t>
  </si>
  <si>
    <t>We provision/ configure switching (DNS, or load balancer) for Rolling/ Blue-Green deployment</t>
  </si>
  <si>
    <t>We configure monitoring APIs across production/ non-production environment for Rolling/ Blue-Green deployment</t>
  </si>
  <si>
    <t>We provision persistent data volumes for test bed (data volumes) on given infrastructure</t>
  </si>
  <si>
    <t>We provision large distributed data clusters for ML pipeline analysis and execution</t>
  </si>
  <si>
    <t>ML operations</t>
  </si>
  <si>
    <t>We execute security scan/ test for data volumes or clusters</t>
  </si>
  <si>
    <t>We prepare test data - may include data masking, integrity checks, data quality checks - for test beds (provisioned data volumes) using scripts and manual tasks, using synthetic data created from scratch</t>
  </si>
  <si>
    <t>Test data</t>
  </si>
  <si>
    <t>We prepare test data - may include data masking, integrity checks, data quality checks - for test beds (provisioned data volumes) using test data management tool, using synthetic data created from scratch</t>
  </si>
  <si>
    <t>We prepare test data - may include data masking, integrity checks, data quality checks - for test beds (provisioned data volumes) using scripts and manual tasks, using synthetic data created from production seed data</t>
  </si>
  <si>
    <t>We prepare test data - may include data masking, integrity checks, data quality checks - for test beds (provisioned data volumes) using test data management tool, using synthetic data created from production seed data</t>
  </si>
  <si>
    <t>We inject/ refresh test data using scripts into test beds (provisioned data volumes)</t>
  </si>
  <si>
    <t>We inject/ refresh test data using test data management tool into test beds (provisioned data volumes)</t>
  </si>
  <si>
    <t>We post-validate environment (dev team)</t>
  </si>
  <si>
    <t>We store configuration scripts or IaC in project document library</t>
  </si>
  <si>
    <t>Code specification</t>
  </si>
  <si>
    <t>We store versioned IaC in code repository or configuration management tool database</t>
  </si>
  <si>
    <t>GitHub / GitLab</t>
  </si>
  <si>
    <t>M10_Sourcecode_repository</t>
  </si>
  <si>
    <t>We store versioned PaC in code repository or configuration management tool database</t>
  </si>
  <si>
    <t>We provision and configure controlled pre-prod environment (non-containerized) for chaos experiments</t>
  </si>
  <si>
    <t>We provision and configure controlled pre-prod environment (containerized) for chaos experiments</t>
  </si>
  <si>
    <t>We provision and configure controlled non-containerized prod environment (say, requiring canary deploys) for chaos experiments</t>
  </si>
  <si>
    <t>We provision and configure controlled containerized prod environment (say, requiring canary deploys) for chaos experiments</t>
  </si>
  <si>
    <t>SDLC - Testing</t>
  </si>
  <si>
    <t>We prepare infrastructure test scripts manually</t>
  </si>
  <si>
    <t>We prepare infrastructure test scripts using test automation tool</t>
  </si>
  <si>
    <t>We execute manual tests on infrastructure/ environment (provisioning and rollback)</t>
  </si>
  <si>
    <t>Test result</t>
  </si>
  <si>
    <t>Metric/ report</t>
  </si>
  <si>
    <t>Quality metrics</t>
  </si>
  <si>
    <t>Test execution</t>
  </si>
  <si>
    <t>We execute manual tests on infrastructure/ environment (access and security)</t>
  </si>
  <si>
    <t>We execute manual tests on infrastructure/ environment (performance and reliability)</t>
  </si>
  <si>
    <t>Reliability metrics</t>
  </si>
  <si>
    <t>We execute infrastructure/ environment tests (provisioning and rollback) using configuration or test automation tool</t>
  </si>
  <si>
    <t>We execute infrastructure/ environment tests (access and security) using configuration or test automation tool</t>
  </si>
  <si>
    <t>We execute infrastructure/ environment tests (performance and reliability) using configuration or test automation tool</t>
  </si>
  <si>
    <t>We execute infrastructure/ environment tests (provisioning and rollback) using configuration or test automation tool as part of CI</t>
  </si>
  <si>
    <t>We execute infrastructure/ environment tests (access and security) using configuration or test automation tool as part of CI</t>
  </si>
  <si>
    <t>We execute infrastructure/ environment tests (performance and reliability) using configuration or test automation tool as part of CI</t>
  </si>
  <si>
    <t>We (Red team) execute chaos test for pre-prod: failure conditions (container cluster, VM or region down, power shutdown, app held in batch, DB instance unavailable, storage unavailable, network latency, etc.)</t>
  </si>
  <si>
    <t>Configuration</t>
  </si>
  <si>
    <t>Chaos Monkey</t>
  </si>
  <si>
    <t>M15_Monitoring</t>
  </si>
  <si>
    <t>Chaos execution</t>
  </si>
  <si>
    <t>We (Red team) execute chaos test for pre-prod: non-failure conditions (peak transaction load, high network traffic, multiple HTTP calls or DB queries, multiple DB I/O causing deadlock, etc.)</t>
  </si>
  <si>
    <t>We (Red team) execute chaos test for pre-prod: security related (XSS, SQL injection, backdoor intrusion, malware, DDoS attack, etc.)</t>
  </si>
  <si>
    <t>We (Blue team) execute RCA and raise emergency fix requests to relevant SMEs for chaos test failures in pre-prod</t>
  </si>
  <si>
    <t>We identify binary artefact repository</t>
  </si>
  <si>
    <t>Artifactory Jfrog</t>
  </si>
  <si>
    <t>M11_Binary_repository</t>
  </si>
  <si>
    <t>We store configuration script files (tool based) in binary artefact repository</t>
  </si>
  <si>
    <t>We revise environment policies and parameters in workflow/ rules engine template</t>
  </si>
  <si>
    <t>We check environment utilization vis-à-vis dev/test ETA for given environment</t>
  </si>
  <si>
    <t>We provide reminder for environment deprovision (from ops team to dev/test team)</t>
  </si>
  <si>
    <t>We request for environment deprovision (from dev/test team to ops team)</t>
  </si>
  <si>
    <t>We prepare and execute scripts manually/ through batch job for test bed cleansing and/or test data archival</t>
  </si>
  <si>
    <t>We prepare and execute scripts or IaC using provisioning tool for test bed cleansing and/or test data archival</t>
  </si>
  <si>
    <t>We turn off environment using manual scripts</t>
  </si>
  <si>
    <t>We turn off environment using VM provisioner tool through a configuration file change</t>
  </si>
  <si>
    <t>We turn off environment as a configuration change in VM/cloud management tool</t>
  </si>
  <si>
    <t>We integrate environment provisioning task to ALM or CI workflow</t>
  </si>
  <si>
    <t>SDLC - Coding</t>
  </si>
  <si>
    <t>We identify/ create a single master branch for simultaneous development by developers</t>
  </si>
  <si>
    <t>Branching merging</t>
  </si>
  <si>
    <t>We identify/ create developer branch(es) and a single release-specific master branch</t>
  </si>
  <si>
    <t>We identify/ create developer branch(es), feature-specific branch(es) and a single release-specific main branch (may include feature-wise Minimum Viable Product - MVP - definition)</t>
  </si>
  <si>
    <t>We identify/ create developer branch(es), story-specific branch(es) and a single release-specific main branch (may include story-wise MVP definition)</t>
  </si>
  <si>
    <t>We request for dev environment as a self service request</t>
  </si>
  <si>
    <t>We code application using text editor</t>
  </si>
  <si>
    <t>Text editor (UNIX/LINUX)</t>
  </si>
  <si>
    <t>M05_Editor_IDE</t>
  </si>
  <si>
    <t>We establish third party connection natively or to/fro IDE for application code development (thru APIs, Webhooks, etc.)</t>
  </si>
  <si>
    <t>We code application using IDE</t>
  </si>
  <si>
    <t>We code application incorporating microservices architecture</t>
  </si>
  <si>
    <t>We code application using MDD tool in the workflow</t>
  </si>
  <si>
    <t>jBPM</t>
  </si>
  <si>
    <t>We code application using language-specific code generation tools incorporating MDD</t>
  </si>
  <si>
    <t>We establish third party connection natively or to/fro database modeller or SQL tools for DB changes (thru APIs, Webhooks, etc.)</t>
  </si>
  <si>
    <t>We code database schema changes through DDL scripts using SQL writer tool</t>
  </si>
  <si>
    <t>Flyway</t>
  </si>
  <si>
    <t>DB specification</t>
  </si>
  <si>
    <t>We code/ generate database schema changes through DDL scripts using database modelling tool</t>
  </si>
  <si>
    <t>We code migration rules (for database changes) and/or ETL scripts using SQL writer tool</t>
  </si>
  <si>
    <t>We code/ generate migration rules (for database changes) and/or ETL scripts using database modelling tool</t>
  </si>
  <si>
    <t>We code database usage and access policies through DCL scripts using SQL writer tool</t>
  </si>
  <si>
    <t>We code database usage and access policies through DCL scripts using database administration tool</t>
  </si>
  <si>
    <t>We integrate coding environment (IDE, etc.) to tasks in ALM tool</t>
  </si>
  <si>
    <t>We establish third party connection natively or to/fro code quality analysis tool (thru APIs, Webhooks, etc.)</t>
  </si>
  <si>
    <t>We establish third party connection natively or to/fro code debugging tool (thru APIs, Webhooks, etc.)</t>
  </si>
  <si>
    <t>We select models for experimentation for ML manually</t>
  </si>
  <si>
    <t>ML model</t>
  </si>
  <si>
    <t>We subject the ML algorithm(s) to training, including hyperparameter tuning, manually</t>
  </si>
  <si>
    <t>We select models for experimentation for ML using automation tool</t>
  </si>
  <si>
    <t>We subject the ML algorithm(s) to training, including hyperparameter tuning, using automation tool</t>
  </si>
  <si>
    <t>We check and fix code quality manually using checklist</t>
  </si>
  <si>
    <t>SonarQube</t>
  </si>
  <si>
    <t>M07_Code_quality</t>
  </si>
  <si>
    <t>Code quality check</t>
  </si>
  <si>
    <t>We check and fix code quality using code checking tool</t>
  </si>
  <si>
    <t>We check and fix code quality dynamically in-line as part of code checking tool/plug-in integration with IDE</t>
  </si>
  <si>
    <t>We check/track and fix code quality using tool driven metrics including technical debt</t>
  </si>
  <si>
    <t>We integrate code quality checks in ALM tool</t>
  </si>
  <si>
    <t>We commit code manually</t>
  </si>
  <si>
    <t>Commit</t>
  </si>
  <si>
    <t>We commit code automatically as part of code workflow automation</t>
  </si>
  <si>
    <t>We integrate/ consolidate (to a single/ master branch) code commits in ALM tool</t>
  </si>
  <si>
    <t>We commit database or DWH changes manually</t>
  </si>
  <si>
    <t>We commit database or DWH changes automatically as part of database workflow automation</t>
  </si>
  <si>
    <t>We integrate/ consolidate database or DWH change commits through DLM tool</t>
  </si>
  <si>
    <t>We generate tags manually prior to commit</t>
  </si>
  <si>
    <t>We generate tags prior to commit using automation tool</t>
  </si>
  <si>
    <t>SDLC - Build and package</t>
  </si>
  <si>
    <t>We merge the developer branch(es) to feature-specific or story-specific branch(es)</t>
  </si>
  <si>
    <t>We merge the feature or story-specific branch(es) to release-specific branch/ master branch</t>
  </si>
  <si>
    <t>We merge the developer branch(es) to release-specific branch/ master branch</t>
  </si>
  <si>
    <t>We execute security scan/ test for target deployment environment in pre-prod (VM, container, etc.) prior to build</t>
  </si>
  <si>
    <t>We establish third party connection natively or to/fro build tool (thru APIs, Webhooks, etc.)</t>
  </si>
  <si>
    <t>We build application (developer branch) using command line/ GUI compiler</t>
  </si>
  <si>
    <t>Maven</t>
  </si>
  <si>
    <t>M12_Build_package</t>
  </si>
  <si>
    <t>Build</t>
  </si>
  <si>
    <t>We build application (feature or story branch) using command line/ GUI compiler</t>
  </si>
  <si>
    <t>We build application (release/ master branch) using command line/ GUI compiler</t>
  </si>
  <si>
    <t>We build application (developer branch) using language-specific build tool (with embedded components)</t>
  </si>
  <si>
    <t>We build application (feature or story branch) using language-specific build tool (with embedded components)</t>
  </si>
  <si>
    <t>We build application (release/ master branch) using language-specific build tool (with embedded components)</t>
  </si>
  <si>
    <t>We identify and establish the CI platform</t>
  </si>
  <si>
    <t>Jenkins</t>
  </si>
  <si>
    <t>We build application (developer branch) automatically as part of CI workflow using a CI platform</t>
  </si>
  <si>
    <t>We build application (feature or story branch) automatically as part of CI workflow using a CI platform</t>
  </si>
  <si>
    <t>We build application (release/ master branch) automatically as part of CI workflow using a CI platform</t>
  </si>
  <si>
    <t>We unit test ML model with pipeline components using manual workflow</t>
  </si>
  <si>
    <t>ML pipeline</t>
  </si>
  <si>
    <t>We unit test ML model with pipeline components</t>
  </si>
  <si>
    <t>We build and package ML model with pipeline components using manual workflow</t>
  </si>
  <si>
    <t>We build and package ML model with pipeline components</t>
  </si>
  <si>
    <t>We integrate / update successful code builds to ALM tool</t>
  </si>
  <si>
    <t>We unit test code manually using test plan</t>
  </si>
  <si>
    <t>Selenium</t>
  </si>
  <si>
    <t>I17_Testauto_functional</t>
  </si>
  <si>
    <t>Unit test</t>
  </si>
  <si>
    <t>We unit test code using language-specific build / test tool</t>
  </si>
  <si>
    <t>We unit test database/ DWH changes manually using test plan</t>
  </si>
  <si>
    <t>We unit test database/ DWH changes using database-specific unit test tool</t>
  </si>
  <si>
    <t>We promote application code to one or more environment(s) manually</t>
  </si>
  <si>
    <t>XL Deploy</t>
  </si>
  <si>
    <t>Deploy</t>
  </si>
  <si>
    <t>We promote application code to one or more environment(s) as part of CD workflow</t>
  </si>
  <si>
    <t>We promote database/ DWH changes to one or more environment(s) manually</t>
  </si>
  <si>
    <t>We promote database/ DWH changes to one or more environment(s) as part of CD workflow</t>
  </si>
  <si>
    <t>We push code binaries manually to a binary repository</t>
  </si>
  <si>
    <t>BInary</t>
  </si>
  <si>
    <t>We push code binaries automatically to repository as part of CI workflow</t>
  </si>
  <si>
    <t>We push trained and evaluated ML model to model registry using manual workflow</t>
  </si>
  <si>
    <t>We push trained and evaluated ML model to model registry using CI</t>
  </si>
  <si>
    <t>We push feature sets with values into a Feature Store using manual workflow</t>
  </si>
  <si>
    <t>Oracle 12C (or up)</t>
  </si>
  <si>
    <t>We push feature sets with values into a Feature Store using CI</t>
  </si>
  <si>
    <t>We push ML pipeline execution log to ML Metadata Store using manual workflow</t>
  </si>
  <si>
    <t>We push ML pipeline execution log to ML Metadata Store using CI</t>
  </si>
  <si>
    <t>We request for test/ QA environment as a self service request</t>
  </si>
  <si>
    <t>We prepare test plan incl. test scenarios and test cases using Excel (or equivalent)</t>
  </si>
  <si>
    <t>Test plan</t>
  </si>
  <si>
    <t>We prepare test plan incl. test scenarios and test cases in an ALM tool</t>
  </si>
  <si>
    <t>For user centric requirements, we convert GWT statements to test scripts within a test automation tool</t>
  </si>
  <si>
    <t>We derive test cases using test case generation tool</t>
  </si>
  <si>
    <t>We include negative test cases designed for code failure/ ABEND conditions</t>
  </si>
  <si>
    <t>We prepare functional test scripts [regression] using test automation tool</t>
  </si>
  <si>
    <t>We prepare database/ DWH test scripts for data integrity using test automation tool</t>
  </si>
  <si>
    <t>We prepare migration or ETL test scripts (for database or DWH respectively) using test automation tool</t>
  </si>
  <si>
    <t>We prepare functional test scripts [integration] using test automation tool</t>
  </si>
  <si>
    <t>We prepare NFR test scripts [performance] using test automation tool</t>
  </si>
  <si>
    <t>Jmeter</t>
  </si>
  <si>
    <t>I18_Testauto_perf</t>
  </si>
  <si>
    <t>We prepare database/ DWH test scripts for database performance using test automation tool</t>
  </si>
  <si>
    <t>We prepare NFR test scripts [security] using test automation tool</t>
  </si>
  <si>
    <t>HP Fortify</t>
  </si>
  <si>
    <t>We prepare NFR test scripts [UI/UX/mobile] using test automation tool</t>
  </si>
  <si>
    <t>Karma</t>
  </si>
  <si>
    <t>I20_Testauto_UIUXmobile</t>
  </si>
  <si>
    <t>We prepare database/ DWH test scripts for data mapping checks using test automation tool</t>
  </si>
  <si>
    <t>We prepare NFR test scripts [accessibility, etc.] using test automation tool</t>
  </si>
  <si>
    <t>We push test scripts manually to a binary or arterfacts repository</t>
  </si>
  <si>
    <t>We execute manual tests - regression</t>
  </si>
  <si>
    <t>Regression test</t>
  </si>
  <si>
    <t>We execute manual tests on databases - data integrity post CRUD operations</t>
  </si>
  <si>
    <t>Data integrity/ compliance metrics</t>
  </si>
  <si>
    <t>Database test</t>
  </si>
  <si>
    <t>We execute manual tests on DWH - ETL operations (data integrity, completeness, quality, mapping and performance)</t>
  </si>
  <si>
    <t>We execute manual tests - integration</t>
  </si>
  <si>
    <t>Integration test</t>
  </si>
  <si>
    <t>We execute manual tests - performance</t>
  </si>
  <si>
    <t>Performance test</t>
  </si>
  <si>
    <t>We execute manual tests on databases - database performance during CRUD operations</t>
  </si>
  <si>
    <t>We execute manual tests - security</t>
  </si>
  <si>
    <t>Security test</t>
  </si>
  <si>
    <t>We execute manual tests - UI/UX/mobile</t>
  </si>
  <si>
    <t>User experience test</t>
  </si>
  <si>
    <t>We execute manual tests on databases - data mapping and ACID checks</t>
  </si>
  <si>
    <t>We execute manual tests - accessibility</t>
  </si>
  <si>
    <t>Accessibility test</t>
  </si>
  <si>
    <t>We establish third party connection natively or to/fro regression test tools (thru APIs, Webhooks, etc.)</t>
  </si>
  <si>
    <t>We establish third party connection natively or to/fro integration test tools (thru APIs, Webhooks, etc.)</t>
  </si>
  <si>
    <t>We establish third party connection natively or to/fro performance test tools (thru APIs, Webhooks, etc.)</t>
  </si>
  <si>
    <t>We establish third party connection natively or to/fro security test tools (thru APIs, Webhooks, etc.)</t>
  </si>
  <si>
    <t>We establish third party connection natively or to/fro accessibility test tools (thru APIs, Webhooks, etc.)</t>
  </si>
  <si>
    <t>We execute tests using automation tool - regression</t>
  </si>
  <si>
    <t>We execute tests on databases using automation tool - database integrity post CRUD operations</t>
  </si>
  <si>
    <t>We execute tests on DWH using automation tool - ETL operations (data integrity, completeness, quality, mapping and performance)</t>
  </si>
  <si>
    <t>We execute tests using automation tool - integration</t>
  </si>
  <si>
    <t>We execute tests using automation tool - performance</t>
  </si>
  <si>
    <t>We execute tests on databases using automation tool - database performance during CRUD operations</t>
  </si>
  <si>
    <t>We execute tests using automation tool - security</t>
  </si>
  <si>
    <t>We execute tests using automation tool - UI/UX/mobile</t>
  </si>
  <si>
    <t>We execute tests on databases using automation tool - data mapping and ACID checks</t>
  </si>
  <si>
    <t>We execute tests using automation tool - accessibility</t>
  </si>
  <si>
    <t>We execute automated tests as part of CI - regression</t>
  </si>
  <si>
    <t>We execute automated tests on databases as part of CI - database integrity post CRUD operations</t>
  </si>
  <si>
    <t>We execute automated tests on DWH as part of CI - ETL operations (data integrity, completeness, quality, mapping and performance)</t>
  </si>
  <si>
    <t>We execute automated tests as part of CI - integration</t>
  </si>
  <si>
    <t>We execute automated tests as part of CI - performance</t>
  </si>
  <si>
    <t>We execute automated tests on databases as part of CI - database performance during CRUD operations</t>
  </si>
  <si>
    <t>We execute automated tests as part of CI - security</t>
  </si>
  <si>
    <t>We execute automated tests as part of CI - UI/UX/mobile</t>
  </si>
  <si>
    <t>We execute automated tests on databases as part of CI - data mapping and ACID checks</t>
  </si>
  <si>
    <t>We execute automated tests as part of CI - accessibility, etc.</t>
  </si>
  <si>
    <t>We evaluate the ML model with related components against validation (to benchmark) and test data sets manually or tool automation</t>
  </si>
  <si>
    <t>We evaluate the ML model with related components against validation (to benchmark) and test data sets using CI</t>
  </si>
  <si>
    <t>We re-run failed CI workflow (due to code failure/ ABEND test case run) without the negative test cases</t>
  </si>
  <si>
    <t>Pipeline execution</t>
  </si>
  <si>
    <t>We record defects in Excel or equivalent</t>
  </si>
  <si>
    <t>Defect</t>
  </si>
  <si>
    <t>Test defect</t>
  </si>
  <si>
    <t>Defect resolution</t>
  </si>
  <si>
    <t>We record defects in ALM tool</t>
  </si>
  <si>
    <t>We review the defects before assigning to dev team</t>
  </si>
  <si>
    <t>IT cycle time metrics</t>
  </si>
  <si>
    <t>We (test team) send back recorded defects to dev team</t>
  </si>
  <si>
    <t>We (dev team) resolve issues corresponding to defects</t>
  </si>
  <si>
    <t>We (dev team) close/ update defects (subject to test team validation)</t>
  </si>
  <si>
    <t>We validate and provide the testing sign-off</t>
  </si>
  <si>
    <t>SDLC - Release and rollback</t>
  </si>
  <si>
    <t>We identify business change or incident fix requirements</t>
  </si>
  <si>
    <t>Release plan</t>
  </si>
  <si>
    <t>Release planning</t>
  </si>
  <si>
    <t>We prepare release plan and share (and align on) using Excel (or equivalent) and email</t>
  </si>
  <si>
    <t>We prepare release plan over a collaboration tool and circulate (to align)</t>
  </si>
  <si>
    <t>We share (and align on) release plan using a workflow tool</t>
  </si>
  <si>
    <t>We share (and align on) release plan using a workflow tool integrated with ALM tool</t>
  </si>
  <si>
    <t>We (dev team) prepare HOTO document / runsheet for production deployment and provide walk-thru (to release team)</t>
  </si>
  <si>
    <t>We request for release using email</t>
  </si>
  <si>
    <t>Release execution</t>
  </si>
  <si>
    <t>We request for release as a freeform request using a ticketing (or workflow) tool</t>
  </si>
  <si>
    <t>We request for release using parameterized template in a ticketing (or workflow) tool</t>
  </si>
  <si>
    <t>We approve release request using email</t>
  </si>
  <si>
    <t>We approve release request in ticketing/ workflow tool</t>
  </si>
  <si>
    <t>We identify and establish the CD/ release automation platform</t>
  </si>
  <si>
    <t>IBM UrbanCode Deploy</t>
  </si>
  <si>
    <t>We prepare application release scripts as batch job</t>
  </si>
  <si>
    <t>We prepare database release scripts as batch job</t>
  </si>
  <si>
    <t>We execute security scan/ test for target deployment environment for prod (VM, container, etc.) prior to prod deploy</t>
  </si>
  <si>
    <t>Security vulnerability fix for target deployment environment is managed using a separate security pipeline</t>
  </si>
  <si>
    <t>We execute application release using manual scripts and CLI commands</t>
  </si>
  <si>
    <t>We execute application release using release automation tool</t>
  </si>
  <si>
    <t>We execute database release using manual scripts and CLI commands</t>
  </si>
  <si>
    <t>We execute database release using release automation tool</t>
  </si>
  <si>
    <t>We validate compatibility and availability (memory, storage and other compute resource requirements) of infra/ environment vis-à-vis the ML model and its components manually</t>
  </si>
  <si>
    <t>We validate compatibility and availability (memory, storage and other compute resource requirements) of infra/ environment vis-à-vis the ML model and its components using CD workflow</t>
  </si>
  <si>
    <t>We deploy ML model as a part of embedded code or as prediction service with API using manual workflow</t>
  </si>
  <si>
    <t>We deploy ML model as a part of embedded code or as prediction service with API using CD</t>
  </si>
  <si>
    <t>We deploy ML continuous training (CT) pipeline in pre-prod/ staging environment</t>
  </si>
  <si>
    <t>We deploy ML pipeline (with new model evaluation) in pre-prod/ staging environment</t>
  </si>
  <si>
    <t>We deploy ML continuous training (CT) pipeline in prod environment</t>
  </si>
  <si>
    <t>We deploy ML pipeline (with new model evaluation) in prod environment</t>
  </si>
  <si>
    <t>We prepare application rollback/ roll forward scripts as batch job</t>
  </si>
  <si>
    <t>Rollback execution</t>
  </si>
  <si>
    <t>We prepare database rollback/ roll forward scripts as batch job</t>
  </si>
  <si>
    <t>We execute application rollback/ roll forward using manual scripts and CLI commands</t>
  </si>
  <si>
    <t>We execute application rollback/ roll forward using release automation tool</t>
  </si>
  <si>
    <t>We execute database rollback/ roll forward using manual scripts and CLI commands</t>
  </si>
  <si>
    <t>We execute database rollback/ roll forward using release automation tool</t>
  </si>
  <si>
    <t>We rollback ML model-based code or service in pre-prod/ staging environment</t>
  </si>
  <si>
    <t>We rollback changes (components, hyperparameters, etc.) using ML continuous training (CT) pipeline in pre-prod/ staging environment</t>
  </si>
  <si>
    <t>We rollback changes (model, components, hyperparameters, etc.) using ML pipeline in prod environment</t>
  </si>
  <si>
    <t>We execute application release in containers, optionally managed using a container cluster mechanism</t>
  </si>
  <si>
    <t>We execute database release in persistent volumes, optionally managed using a container cluster mechanism</t>
  </si>
  <si>
    <t>We execute database release in containers, optionally managed using a container cluster mechanism</t>
  </si>
  <si>
    <t>We manually execute zone switching using scripts for Blue-Green | Red-Black | A/B | Canary deployment</t>
  </si>
  <si>
    <t>We execute zone switching using release automation tool for Blue-Green | Red-Black | A/B | Canary deployment</t>
  </si>
  <si>
    <t>We analyze and route errors for failed deployment</t>
  </si>
  <si>
    <t>OverOps</t>
  </si>
  <si>
    <t>Deploy defect</t>
  </si>
  <si>
    <t>We (dev team) fix errors for failed deployment, to enable roll forward</t>
  </si>
  <si>
    <t>We (ops team) fix errors for failed deployment, to enable roll forward</t>
  </si>
  <si>
    <t>We establish/ configure policy for deletion of unused or redundant code branches post-release</t>
  </si>
  <si>
    <t>People metrics</t>
  </si>
  <si>
    <t>We identify and delete unused or redundant code branches post-release</t>
  </si>
  <si>
    <t>SDLC - Monitoring and feedback</t>
  </si>
  <si>
    <t>We identify a monitoring tool/ platform</t>
  </si>
  <si>
    <t>We identify a dashboard visualization tool/ platform</t>
  </si>
  <si>
    <t>Hygieia</t>
  </si>
  <si>
    <t>I13_Datavisualization</t>
  </si>
  <si>
    <t>We integrate the monitoring tool to dashboard visualization tool/ platform</t>
  </si>
  <si>
    <t>We establish third party connection natively or to/fro monitoring incl. data visualization tool (thru APIs, Webhooks, etc.)</t>
  </si>
  <si>
    <t>We monitor application and/or database quality metrics (functional and UI/UX) in development environment</t>
  </si>
  <si>
    <t>We monitor application and/or database quality metrics (functional and UI/UX) in test/ staging environment</t>
  </si>
  <si>
    <t>We monitor application and/or database quality metrics (performance and availability) in development environment</t>
  </si>
  <si>
    <t>We monitor application and/or database quality metrics (performance and availability) in test/ staging environment</t>
  </si>
  <si>
    <t>We monitor application and/or database security metrics in development environment</t>
  </si>
  <si>
    <t>We monitor application and/or database security metrics in test/ staging environment</t>
  </si>
  <si>
    <t>We monitor pipeline metrics (reliability) for CI pipeline</t>
  </si>
  <si>
    <t>We monitor pipeline metrics (security) for CI pipeline</t>
  </si>
  <si>
    <t>We monitor pipeline metrics (reliability) for CD pipeline</t>
  </si>
  <si>
    <t>We monitor pipeline metrics (security) for CD pipeline</t>
  </si>
  <si>
    <t>We monitor ML pipeline in pre-prod/ staging for model performance and data distribtion changes</t>
  </si>
  <si>
    <t>We manually trigger ML pipeline execution in pre-prod/ staging upon model performance degradation, data distribution changes, or on-demand/ schedule</t>
  </si>
  <si>
    <t>We trigger ML pipeline execution in pre-prod/ staging upon model performance degradation, data distribution changes, or on-demand/ schedule, using CI/CD workflow</t>
  </si>
  <si>
    <t>We provide fix for pipeline issues (reliability) for CI/CD pipeline</t>
  </si>
  <si>
    <t>We provide fix for pipeline issues (security) for CI/CD pipeline</t>
  </si>
  <si>
    <t>We monitor infrastructure/ environment metrics (reliability) for VMs</t>
  </si>
  <si>
    <t>We monitor infrastructure/ environment metrics (security) for VMs</t>
  </si>
  <si>
    <t>We monitor infrastructure/ environment metrics (security) for containers</t>
  </si>
  <si>
    <t>We provide fix for infrastructure/ environment issues (reliability)</t>
  </si>
  <si>
    <t>Metrics</t>
  </si>
  <si>
    <t>We provide fix for infrastructure/ environment issues (security)</t>
  </si>
  <si>
    <t>ITSM - Incident management</t>
  </si>
  <si>
    <t>We identify and establish a service request workflow platform for production</t>
  </si>
  <si>
    <t>Incident</t>
  </si>
  <si>
    <t>We establish third party connection natively or to/fro service request workflow platform (thru APIs, Webhooks, etc.)</t>
  </si>
  <si>
    <t>We identify and establish a change request workflow platform for production</t>
  </si>
  <si>
    <t>We establish third party connection natively or to/fro change request workflow platform (thru APIs, Webhooks, etc.)</t>
  </si>
  <si>
    <t>We identify and establish an AIOps platform for production</t>
  </si>
  <si>
    <t>AutoIntelli</t>
  </si>
  <si>
    <t>AIOps</t>
  </si>
  <si>
    <t>M31_AIOps</t>
  </si>
  <si>
    <t>We establish third party connection natively or to/fro AIOps platform (thru APIs, Webhooks, etc.)</t>
  </si>
  <si>
    <t>We integrate the AIOps tool to monitoring and service workflow platforms for production</t>
  </si>
  <si>
    <t>We monitor incident raised manually in production</t>
  </si>
  <si>
    <t>Ops-ITSM</t>
  </si>
  <si>
    <t>Incident request</t>
  </si>
  <si>
    <t>Incident trigger</t>
  </si>
  <si>
    <t>We monitor incident raised by monitoring tool/ platform in production</t>
  </si>
  <si>
    <t>We monitor incident raised by AIOps tool/ platform in production</t>
  </si>
  <si>
    <t>We categorize incident by application, database or environment issue</t>
  </si>
  <si>
    <t>Incident resolution</t>
  </si>
  <si>
    <t>We provide technical support (phone/ email/ IA) for incident (L1)</t>
  </si>
  <si>
    <t>I04_Chat</t>
  </si>
  <si>
    <t>We circumvent application related incident, optionally with respective SME (L2)</t>
  </si>
  <si>
    <t>We circumvent database related incident, optionally with respective SME (L2)</t>
  </si>
  <si>
    <t>We circumvent environment related incident, optionally with respective SME (L2)</t>
  </si>
  <si>
    <t>ITSM - Security engineering</t>
  </si>
  <si>
    <t>Security vulnerability fix is implemented as patch deploy on-demand (security pipeline) for infrastructure/ environment</t>
  </si>
  <si>
    <t>Security patch</t>
  </si>
  <si>
    <t>Security vulnerability fix is implemented as patch deploy batch run (security pipeline) for infrastructure/ environment</t>
  </si>
  <si>
    <t>We update the incident request</t>
  </si>
  <si>
    <t>ITSM - Problem management</t>
  </si>
  <si>
    <t>We analyze, identify root causes and categorize problems for application related incidents</t>
  </si>
  <si>
    <t>Problem</t>
  </si>
  <si>
    <t>Other/ uncategorized metrics</t>
  </si>
  <si>
    <t>Problem handling</t>
  </si>
  <si>
    <t>We analyze, identify root causes and categorize problems for database related incidents</t>
  </si>
  <si>
    <t>We analyze, identify root causes and categorize problems for environment related incidents</t>
  </si>
  <si>
    <t>We route the categorized and selected application problems to IT SDLC team (L3; dev and/or QA team)</t>
  </si>
  <si>
    <t>Problem request</t>
  </si>
  <si>
    <t>We route the categorized and selected database problems to IT SDLC/ DB maintenance team (L3; dev and/or data admin)</t>
  </si>
  <si>
    <t>We route the categorized and selected environment problems to ops-infra (L3)</t>
  </si>
  <si>
    <t>ITSM - Change management</t>
  </si>
  <si>
    <t>We monitor change request raised manually by business/ user</t>
  </si>
  <si>
    <t>Change request</t>
  </si>
  <si>
    <t>Change handling</t>
  </si>
  <si>
    <t>We monitor and analyze application and/or database utilization and redundancy</t>
  </si>
  <si>
    <t>We discover and maintain new infrastructure and network component configurations</t>
  </si>
  <si>
    <t>We monitor and analyze infrastructure/ environment capacity utilization and redundancy</t>
  </si>
  <si>
    <t>We route change request to respective team (IT SDLC/ database maintenance/ ops-infra)</t>
  </si>
  <si>
    <t>ITSM - Monitoring and feedback</t>
  </si>
  <si>
    <t>We identify a monitoring tool/ platform for production</t>
  </si>
  <si>
    <t>We identify a dashboard visualization tool/ platform for production (on-premise)</t>
  </si>
  <si>
    <t>We identify a dashboard visualization tool/ platform for production (on-cloud)</t>
  </si>
  <si>
    <t>We integrate the monitoring tool to dashboard visualization tool/ platform for production</t>
  </si>
  <si>
    <t>We monitor application and/or database quality metrics (functional and UI/UX) in production</t>
  </si>
  <si>
    <t>We monitor application and/or database quality metrics (performance and availability) in production</t>
  </si>
  <si>
    <t>We monitor application and/or database security metrics in production</t>
  </si>
  <si>
    <t>We report application and/or database issues for circumvention/ fix</t>
  </si>
  <si>
    <t>We monitor infrastructure/ environment metrics (reliability) for VMs in production</t>
  </si>
  <si>
    <t>We monitor infrastructure/ environment metrics (security) for VMs in production</t>
  </si>
  <si>
    <t>We monitor infrastructure/ environment metrics (security) for containers in production</t>
  </si>
  <si>
    <t>We report infrastructure/ environment issues for circumvention/ fix</t>
  </si>
  <si>
    <t>ITSM - Chaos experimentation</t>
  </si>
  <si>
    <t>We (Red team) execute chaos test for prod: failure conditions (container cluster, VM or region down, power shutdown, app held in batch, DB instance unavailable, storage unavailable, network latency, etc.)</t>
  </si>
  <si>
    <t>We (Red team) execute chaos test for prod: non-failure conditions (peak transaction load, high network traffic, multiple HTTP calls or DB queries, multiple DB I/O causing deadlock, etc.)</t>
  </si>
  <si>
    <t>We (Red team) execute chaos test for prod: security related (XSS, SQL injection, backdoor intrusion, malware, DDoS attack, etc.)</t>
  </si>
  <si>
    <t>We (Blue team) execute RCA and raise emergency fix requests to relevant SMEs for chaos test failures in prod</t>
  </si>
  <si>
    <t>We monitor ML pipeline in prod for model performance and data distribtion changes</t>
  </si>
  <si>
    <t>We manually trigger ML pipeline execution in prod upon model performance degradation, data distribution changes, or on-demand/ schedule</t>
  </si>
  <si>
    <t>We trigger ML pipeline execution in prod upon model performance degradation, data distribution changes, or on-demand/ schedule, using CI/CD workflow</t>
  </si>
  <si>
    <t>ITSM - Manage environment</t>
  </si>
  <si>
    <t>We provide fix for infrastructure/ environment issues (reliability) in production</t>
  </si>
  <si>
    <t>We provide fix for infrastructure/ environment issues (security) in production</t>
  </si>
  <si>
    <t>Total / Average / Max / Min</t>
  </si>
  <si>
    <t>Field Values and Vaildation Tables</t>
  </si>
  <si>
    <t>Dev and Ops teams</t>
  </si>
  <si>
    <t>Intel Agent</t>
  </si>
  <si>
    <t>Deliverable type</t>
  </si>
  <si>
    <t>Deliverable category</t>
  </si>
  <si>
    <t>Material</t>
  </si>
  <si>
    <t>Information</t>
  </si>
  <si>
    <t>Execution type</t>
  </si>
  <si>
    <t>Primary pipeline/ metrics integration</t>
  </si>
  <si>
    <t>Not applicable</t>
  </si>
  <si>
    <t>Decision table</t>
  </si>
  <si>
    <t>Guideline - derive 'Likely action' from 'Aggregated Value score'</t>
  </si>
  <si>
    <t>Sl#</t>
  </si>
  <si>
    <t>Category</t>
  </si>
  <si>
    <t>Level</t>
  </si>
  <si>
    <t>Level wt.</t>
  </si>
  <si>
    <t>Feature</t>
  </si>
  <si>
    <t>Feature wt.</t>
  </si>
  <si>
    <t>Value</t>
  </si>
  <si>
    <t>Value score</t>
  </si>
  <si>
    <t>Likely action</t>
  </si>
  <si>
    <t>Col. Required in Q_Stories?</t>
  </si>
  <si>
    <t>A</t>
  </si>
  <si>
    <t>People maturity</t>
  </si>
  <si>
    <t>Activity</t>
  </si>
  <si>
    <t>% of automation</t>
  </si>
  <si>
    <t>%(Total - manual time) = 80% or more</t>
  </si>
  <si>
    <t>No change</t>
  </si>
  <si>
    <t>No change (or prepone if required)</t>
  </si>
  <si>
    <t>Enhance (and prepone if required)</t>
  </si>
  <si>
    <t>Add (and enhance if required)</t>
  </si>
  <si>
    <t>Postpone, alter or eliminate</t>
  </si>
  <si>
    <t>Eliminate</t>
  </si>
  <si>
    <t>50 - 80%</t>
  </si>
  <si>
    <t>Enhance</t>
  </si>
  <si>
    <t>25 - 50%</t>
  </si>
  <si>
    <t>Add or enhance</t>
  </si>
  <si>
    <t>&lt; 25%</t>
  </si>
  <si>
    <t>B</t>
  </si>
  <si>
    <t>Degree of Agile as a practice</t>
  </si>
  <si>
    <t>Agile Ops enabled</t>
  </si>
  <si>
    <t>Agile Dev</t>
  </si>
  <si>
    <t>Add or enhance if required to extend to Ops</t>
  </si>
  <si>
    <t>Not Agile practice</t>
  </si>
  <si>
    <t>Inter-role communication</t>
  </si>
  <si>
    <t>Requires Dev-Ops collaboration</t>
  </si>
  <si>
    <t>Requires intra-Dev or intra-Ops collaboration</t>
  </si>
  <si>
    <t>Enhance if required</t>
  </si>
  <si>
    <t>Discourages collaboration</t>
  </si>
  <si>
    <t>D</t>
  </si>
  <si>
    <t>Path</t>
  </si>
  <si>
    <t>Role distribution per epic</t>
  </si>
  <si>
    <t>(Dev or QA) and Ops</t>
  </si>
  <si>
    <t>Dev or QA only</t>
  </si>
  <si>
    <t>Enhance or add to activities if required</t>
  </si>
  <si>
    <t>Ops only</t>
  </si>
  <si>
    <t>None of above, however IT Lead or 'Dev &amp; Ops teams'</t>
  </si>
  <si>
    <t>Enhance activities to expand IT scope if required</t>
  </si>
  <si>
    <t>None of above roles covered</t>
  </si>
  <si>
    <t>E</t>
  </si>
  <si>
    <t>Process maturity</t>
  </si>
  <si>
    <t>Engineering practice - managing [process centric] or engineering [technology centric]?</t>
  </si>
  <si>
    <t>Engineering</t>
  </si>
  <si>
    <t>Managing</t>
  </si>
  <si>
    <t>Enhance or add if required</t>
  </si>
  <si>
    <t>F</t>
  </si>
  <si>
    <t>Whether activity yields information or material (by role)</t>
  </si>
  <si>
    <t>Information (role not Dev, QA or Ops)</t>
  </si>
  <si>
    <t>Information (role Dev, QA or Ops)</t>
  </si>
  <si>
    <t>G</t>
  </si>
  <si>
    <t>No. of successors (inter-role variation)</t>
  </si>
  <si>
    <t>Three or more (more than one inter-role; Dev, QA, Ops)</t>
  </si>
  <si>
    <t>Three or more (one inter-role; Dev, QA, Ops)</t>
  </si>
  <si>
    <t>Enhance if required; prepone for more parallelism</t>
  </si>
  <si>
    <t>Three or more (same role)</t>
  </si>
  <si>
    <t>Enhance or add if required; prepone for more parallelism</t>
  </si>
  <si>
    <t>Two (both inter-role; Dev, QA, Ops)</t>
  </si>
  <si>
    <t>Two (one inter-role; Dev, QA, Ops)</t>
  </si>
  <si>
    <t>Two (same role)</t>
  </si>
  <si>
    <t>One (inter-role; Dev, QA, Ops)</t>
  </si>
  <si>
    <t>One (same role)</t>
  </si>
  <si>
    <t>H</t>
  </si>
  <si>
    <t>Level of Shift-Left for engineering practice</t>
  </si>
  <si>
    <t>No. of prepones = no. of postpones</t>
  </si>
  <si>
    <t>Change order of other activities around this</t>
  </si>
  <si>
    <t>Higher no. of prepones required</t>
  </si>
  <si>
    <t>Prepone if required</t>
  </si>
  <si>
    <t>Higher no. of postpones required</t>
  </si>
  <si>
    <t>Postpone if required</t>
  </si>
  <si>
    <t>No. of any prepones = postpones = 0</t>
  </si>
  <si>
    <t>I</t>
  </si>
  <si>
    <t>Technology maturity</t>
  </si>
  <si>
    <t>Degree of tool modularity</t>
  </si>
  <si>
    <t>Modules available with all/most industry tool plug-ins and option to code new plug-ins</t>
  </si>
  <si>
    <t>TBD - to be filled up by consultant</t>
  </si>
  <si>
    <t>Modules available with all/most industry tool plug-ins</t>
  </si>
  <si>
    <t>Modules available with one or few available plug-ins</t>
  </si>
  <si>
    <t>Limited or no extensibility</t>
  </si>
  <si>
    <t>No tool</t>
  </si>
  <si>
    <t>Alter or eliminate if required</t>
  </si>
  <si>
    <t>J</t>
  </si>
  <si>
    <t>Level of automation</t>
  </si>
  <si>
    <t>Adaptive automation - 100%</t>
  </si>
  <si>
    <t>No - to be filled up by consultant</t>
  </si>
  <si>
    <t>Mix of adaptive and passive automation</t>
  </si>
  <si>
    <t>Passive automation</t>
  </si>
  <si>
    <t>Add or enhance if required</t>
  </si>
  <si>
    <t>Little or no automation</t>
  </si>
  <si>
    <t>Alter or eliminate</t>
  </si>
  <si>
    <t>K</t>
  </si>
  <si>
    <t>Tool specific span of control (by tool category)</t>
  </si>
  <si>
    <t>More than 60% activities have one tool (up to 4 for infra), this activity has a tool</t>
  </si>
  <si>
    <t>More than 60% activities have tools (more than 1; more than 4 for infra), this activity has a tool</t>
  </si>
  <si>
    <t>Enhance tool scope or rationalize tool w.r.t. the activity if required</t>
  </si>
  <si>
    <t>More than 60% activities have tools, this activity has no tool</t>
  </si>
  <si>
    <t>Postpone, alter or eliminate activity to include tooling</t>
  </si>
  <si>
    <t>No tool for at least 60% of activities, activity has a tool</t>
  </si>
  <si>
    <t>No change; however other activities in category may be enhanced, added to, eliminated to bring in tools</t>
  </si>
  <si>
    <t>No tool for at least 60% of activities, activity has no tool</t>
  </si>
  <si>
    <t>Postpone, alter or eliminate activity; other activities may need to be revisited for tooling</t>
  </si>
  <si>
    <t>L</t>
  </si>
  <si>
    <t>Degree of tool-based abstraction (by build/test and release activities only)</t>
  </si>
  <si>
    <t>Tool for activity matches overall tool propensity</t>
  </si>
  <si>
    <t>Tool for activity exists, however it is the only tool with propensity</t>
  </si>
  <si>
    <t>No change for activity, however other activities for build/test or release may be revisited</t>
  </si>
  <si>
    <t>Tool for activity does not match overall tool propensity</t>
  </si>
  <si>
    <t>Add or enhance tool scope (to codable) for activity if required</t>
  </si>
  <si>
    <t>No tool for activity or not applicable</t>
  </si>
  <si>
    <t>Consolidated</t>
  </si>
  <si>
    <t>Temp</t>
  </si>
  <si>
    <t>Technology stack mapping for tools</t>
  </si>
  <si>
    <t>30</t>
  </si>
  <si>
    <t>M06_Placeholder</t>
  </si>
  <si>
    <t>I14_Release_mgmt</t>
  </si>
  <si>
    <t>I16_Placeholder</t>
  </si>
  <si>
    <t>M22_Env_provision</t>
  </si>
  <si>
    <t>M23_VM_VMclustering</t>
  </si>
  <si>
    <t>M24_HCI</t>
  </si>
  <si>
    <t>M25_Cloud_mgmt</t>
  </si>
  <si>
    <t>M26_Container_clustering</t>
  </si>
  <si>
    <t>M29_RPA</t>
  </si>
  <si>
    <t>M33_Placeholder</t>
  </si>
  <si>
    <t>WhatsApp</t>
  </si>
  <si>
    <t>Git</t>
  </si>
  <si>
    <t>XL Release</t>
  </si>
  <si>
    <t>VMWare</t>
  </si>
  <si>
    <t>Dell EMC VxRail</t>
  </si>
  <si>
    <t>Pivotal CloudFoundry (PCF)</t>
  </si>
  <si>
    <t>Docker</t>
  </si>
  <si>
    <t>UiPath</t>
  </si>
  <si>
    <t>DVC (Data Version Control)</t>
  </si>
  <si>
    <t>SharePoint</t>
  </si>
  <si>
    <t>BPMN</t>
  </si>
  <si>
    <t>HP ALM/ Agile Manager</t>
  </si>
  <si>
    <t>HipChat</t>
  </si>
  <si>
    <t>Text editor (Windows)</t>
  </si>
  <si>
    <t>FxCop</t>
  </si>
  <si>
    <t>Hudson</t>
  </si>
  <si>
    <t>NEXUS</t>
  </si>
  <si>
    <t>Ant</t>
  </si>
  <si>
    <t>Kibana</t>
  </si>
  <si>
    <t>IBM UrbanCode Release</t>
  </si>
  <si>
    <t>AppDynamics</t>
  </si>
  <si>
    <t>HP QTP</t>
  </si>
  <si>
    <t>LoadRunner</t>
  </si>
  <si>
    <t>HP WebInspect</t>
  </si>
  <si>
    <t>Jasmine</t>
  </si>
  <si>
    <t>Cucumber</t>
  </si>
  <si>
    <t>Chef</t>
  </si>
  <si>
    <t>Oracle VirtualBox</t>
  </si>
  <si>
    <t>Cisco HyperFlex</t>
  </si>
  <si>
    <t>OpenStack</t>
  </si>
  <si>
    <t>Docker Swarm</t>
  </si>
  <si>
    <t>BMC Remedy</t>
  </si>
  <si>
    <t>BluePrism</t>
  </si>
  <si>
    <t>Liquibase</t>
  </si>
  <si>
    <t>BigPanda</t>
  </si>
  <si>
    <t>Pachyderm</t>
  </si>
  <si>
    <t>Documentum</t>
  </si>
  <si>
    <t>COPPER</t>
  </si>
  <si>
    <t>IBM RTC</t>
  </si>
  <si>
    <t>Eclipse/ Eclipse Che</t>
  </si>
  <si>
    <t>StyleCop</t>
  </si>
  <si>
    <t>Bamboo</t>
  </si>
  <si>
    <t>Octopus Deploy</t>
  </si>
  <si>
    <t>SVN</t>
  </si>
  <si>
    <t>DockerHub</t>
  </si>
  <si>
    <t>MS Build</t>
  </si>
  <si>
    <t>CA Release Automation</t>
  </si>
  <si>
    <t>Dynatrace</t>
  </si>
  <si>
    <t>IBM RFT (Functional)/ RIT (Integration)</t>
  </si>
  <si>
    <t>Tool with adaptive/ bot based testing</t>
  </si>
  <si>
    <t>Tripwire</t>
  </si>
  <si>
    <t>PhantomJS</t>
  </si>
  <si>
    <t>As part of test automation tool</t>
  </si>
  <si>
    <t>AWS OpsWorks</t>
  </si>
  <si>
    <t>Vagrant</t>
  </si>
  <si>
    <t>Tool with adaptive convergence modules</t>
  </si>
  <si>
    <t>OpenShift</t>
  </si>
  <si>
    <t>PCF Warden</t>
  </si>
  <si>
    <t>RemedyForce</t>
  </si>
  <si>
    <t>Automation Anywhere</t>
  </si>
  <si>
    <t>Datical</t>
  </si>
  <si>
    <t>Resolve</t>
  </si>
  <si>
    <t>Kubeflow</t>
  </si>
  <si>
    <t>Alfresco</t>
  </si>
  <si>
    <t>Wexflow</t>
  </si>
  <si>
    <t>Rally</t>
  </si>
  <si>
    <t>Chatbot or tool with adaptive algorithm</t>
  </si>
  <si>
    <t>NetBeans IDE</t>
  </si>
  <si>
    <t>PMD</t>
  </si>
  <si>
    <t>Groovy scripts</t>
  </si>
  <si>
    <t>BitBucket</t>
  </si>
  <si>
    <t>CA Endevor</t>
  </si>
  <si>
    <t>Gradle</t>
  </si>
  <si>
    <t>Automic</t>
  </si>
  <si>
    <t>Splunk</t>
  </si>
  <si>
    <t>Junit</t>
  </si>
  <si>
    <t>Slob</t>
  </si>
  <si>
    <t>Mocha</t>
  </si>
  <si>
    <t>Test case generation tool</t>
  </si>
  <si>
    <t>Salt</t>
  </si>
  <si>
    <t>MS Hyper-V</t>
  </si>
  <si>
    <t>Proprietary</t>
  </si>
  <si>
    <t>CoreOS Tectonic</t>
  </si>
  <si>
    <t>Kubernetes</t>
  </si>
  <si>
    <t>Pagerduty</t>
  </si>
  <si>
    <t>WorkFusion</t>
  </si>
  <si>
    <t>Dbmaestro</t>
  </si>
  <si>
    <t>Splunk (variations)</t>
  </si>
  <si>
    <t>Ployaxon</t>
  </si>
  <si>
    <t>Wiki</t>
  </si>
  <si>
    <t>MS Visual Studio</t>
  </si>
  <si>
    <t>SmartBear</t>
  </si>
  <si>
    <t>Google Hangout</t>
  </si>
  <si>
    <t>Visual Studio Code</t>
  </si>
  <si>
    <t>Checkstyle</t>
  </si>
  <si>
    <t>Python scripts</t>
  </si>
  <si>
    <t>Mercurial</t>
  </si>
  <si>
    <t>Grunt</t>
  </si>
  <si>
    <t>Tool with adaptive release planning</t>
  </si>
  <si>
    <t>LogStash</t>
  </si>
  <si>
    <t>Nunit</t>
  </si>
  <si>
    <t>Orion</t>
  </si>
  <si>
    <t>OWASP ZAP</t>
  </si>
  <si>
    <t>Perfecto</t>
  </si>
  <si>
    <t>Data Factory</t>
  </si>
  <si>
    <t>Ansible</t>
  </si>
  <si>
    <t>Tool with adaptive clustering</t>
  </si>
  <si>
    <t>CloudForms</t>
  </si>
  <si>
    <t>Apache Mesos</t>
  </si>
  <si>
    <t>Plutora</t>
  </si>
  <si>
    <t>IBM Watson</t>
  </si>
  <si>
    <t>Redgate</t>
  </si>
  <si>
    <t>Airflow</t>
  </si>
  <si>
    <t>Jira / ALM</t>
  </si>
  <si>
    <t>VersionOne</t>
  </si>
  <si>
    <t>Slack</t>
  </si>
  <si>
    <t>Android SDK</t>
  </si>
  <si>
    <t>Cobertura</t>
  </si>
  <si>
    <t>Broccoli</t>
  </si>
  <si>
    <t>Grafana</t>
  </si>
  <si>
    <t>ELK (ElasticSearch-Logstash-Kibana)</t>
  </si>
  <si>
    <t>Zunit</t>
  </si>
  <si>
    <t>Iometer</t>
  </si>
  <si>
    <t>GauntIt</t>
  </si>
  <si>
    <t>Sauce Labs</t>
  </si>
  <si>
    <t>MockupData</t>
  </si>
  <si>
    <t>Terraform</t>
  </si>
  <si>
    <t>RightScale for Azure</t>
  </si>
  <si>
    <t>Azure services/ AKS</t>
  </si>
  <si>
    <t>Zendesk</t>
  </si>
  <si>
    <t>Visual Paradigm ERD</t>
  </si>
  <si>
    <t>Neptune</t>
  </si>
  <si>
    <t>AI-based content/ KM platform</t>
  </si>
  <si>
    <t>Sparx Enterprise Architect</t>
  </si>
  <si>
    <t>Pivotal Tracker</t>
  </si>
  <si>
    <t>Xcode editor</t>
  </si>
  <si>
    <t>Tool with adaptive algorithm</t>
  </si>
  <si>
    <t>TFS</t>
  </si>
  <si>
    <t>Provisioning tool with scripts</t>
  </si>
  <si>
    <t>MicroFocus Enterprise Sync</t>
  </si>
  <si>
    <t>Packer</t>
  </si>
  <si>
    <t>Monitoring tool (other)</t>
  </si>
  <si>
    <t>Sumo Logic</t>
  </si>
  <si>
    <t>TestNG</t>
  </si>
  <si>
    <t>HammerDB</t>
  </si>
  <si>
    <t>Mittn</t>
  </si>
  <si>
    <t>Browser testing tool</t>
  </si>
  <si>
    <t>DTM Data Generator</t>
  </si>
  <si>
    <t>AWS CloudFormation</t>
  </si>
  <si>
    <t>InContinuum CloudController for Azure</t>
  </si>
  <si>
    <t>VictorOps</t>
  </si>
  <si>
    <t>dModelAid</t>
  </si>
  <si>
    <t>Micro Focus OpsBridge</t>
  </si>
  <si>
    <t>MLflow</t>
  </si>
  <si>
    <t>Magicdraw</t>
  </si>
  <si>
    <t>Trello</t>
  </si>
  <si>
    <t>Objective C editor</t>
  </si>
  <si>
    <t>*Lint tools</t>
  </si>
  <si>
    <t>PowerShell script</t>
  </si>
  <si>
    <t>CA Nolio</t>
  </si>
  <si>
    <t>Specific language  compiler</t>
  </si>
  <si>
    <t>AIOps tool</t>
  </si>
  <si>
    <t>Graylog</t>
  </si>
  <si>
    <t>SwingBench</t>
  </si>
  <si>
    <t>BDD-Security</t>
  </si>
  <si>
    <t>IBM InfosphereOptim TDM</t>
  </si>
  <si>
    <t>AWS (Elastic) Beanstalk</t>
  </si>
  <si>
    <t>Windows Azure Pack</t>
  </si>
  <si>
    <t>Mantis BT</t>
  </si>
  <si>
    <t>Vertabelo</t>
  </si>
  <si>
    <t>Zenoss</t>
  </si>
  <si>
    <t>Comet</t>
  </si>
  <si>
    <t>Modelio</t>
  </si>
  <si>
    <t>SprintGround</t>
  </si>
  <si>
    <t>Other C/C++ editor</t>
  </si>
  <si>
    <t>Helix QAC</t>
  </si>
  <si>
    <t>CircleCI</t>
  </si>
  <si>
    <t>RunDeck</t>
  </si>
  <si>
    <t>Tool with adaptive build algorithm</t>
  </si>
  <si>
    <t>Apache Kafka</t>
  </si>
  <si>
    <t>T-SQL framework</t>
  </si>
  <si>
    <t>Simora</t>
  </si>
  <si>
    <t>Appium</t>
  </si>
  <si>
    <t>IBM InfosphereOptim Data Privacy</t>
  </si>
  <si>
    <t>VM configuration (e.g. VagrantFile)</t>
  </si>
  <si>
    <t>Heroku</t>
  </si>
  <si>
    <t>Freshservice</t>
  </si>
  <si>
    <t>Lucidchart</t>
  </si>
  <si>
    <t>Moogsoft</t>
  </si>
  <si>
    <t>Optuna</t>
  </si>
  <si>
    <t>IBM Rational Rhapsody/SM/SA</t>
  </si>
  <si>
    <t>Targetprocess</t>
  </si>
  <si>
    <t>COBOL dataset editor</t>
  </si>
  <si>
    <t>CAST AIP</t>
  </si>
  <si>
    <t>TeamCity</t>
  </si>
  <si>
    <t>AutoRabit</t>
  </si>
  <si>
    <t>Nagios</t>
  </si>
  <si>
    <t>tSQLt/ tSQLt based tool</t>
  </si>
  <si>
    <t>Oracle Real App Testing</t>
  </si>
  <si>
    <t>Brakeman</t>
  </si>
  <si>
    <t>Selendroid</t>
  </si>
  <si>
    <t>Turbodata</t>
  </si>
  <si>
    <t>Container configuration (e.g. DockerFile)</t>
  </si>
  <si>
    <t>IBM Bluemix</t>
  </si>
  <si>
    <t>Spiceworks</t>
  </si>
  <si>
    <t>SQL Server DB Modeler</t>
  </si>
  <si>
    <t>LogicMonitor</t>
  </si>
  <si>
    <t>Sigopt</t>
  </si>
  <si>
    <t>Software Ideas Modeler</t>
  </si>
  <si>
    <t>ALM Octane</t>
  </si>
  <si>
    <t>IBM RDz / Developer for Z-series</t>
  </si>
  <si>
    <t>Compuware Xpediter</t>
  </si>
  <si>
    <t>CruiseControl</t>
  </si>
  <si>
    <t>Gearset</t>
  </si>
  <si>
    <t>New Relic</t>
  </si>
  <si>
    <t>Oracle SQL Developer</t>
  </si>
  <si>
    <t>Empirixe-TEST Suite</t>
  </si>
  <si>
    <t>Rubocop</t>
  </si>
  <si>
    <t>Calabash</t>
  </si>
  <si>
    <t>Datatect</t>
  </si>
  <si>
    <t>Azure services</t>
  </si>
  <si>
    <t>Scalr</t>
  </si>
  <si>
    <t>Solarwinds Service Desk/ Help Desk</t>
  </si>
  <si>
    <t>DeZign for DBs</t>
  </si>
  <si>
    <t>ScienceLogic SL1</t>
  </si>
  <si>
    <t>Cortex</t>
  </si>
  <si>
    <t>Visual Paradigm for UML</t>
  </si>
  <si>
    <t>Other language editor</t>
  </si>
  <si>
    <t>TravisCI</t>
  </si>
  <si>
    <t>Cloudbees Jenkins</t>
  </si>
  <si>
    <t>Opsview Monitor</t>
  </si>
  <si>
    <t>NoSQLUnit/ NoSQLMap</t>
  </si>
  <si>
    <t>WebLoad</t>
  </si>
  <si>
    <t>Metasploit</t>
  </si>
  <si>
    <t>UI Automator</t>
  </si>
  <si>
    <t>Chai</t>
  </si>
  <si>
    <t>Tool with adaptive provisioning</t>
  </si>
  <si>
    <t>CloudBolt</t>
  </si>
  <si>
    <t>Jira Service Desk</t>
  </si>
  <si>
    <t>Erwin</t>
  </si>
  <si>
    <t>MS System Center Ops Mgr</t>
  </si>
  <si>
    <t>Seldon</t>
  </si>
  <si>
    <t>Other UML-based tool</t>
  </si>
  <si>
    <t>Tool with adaptive integration</t>
  </si>
  <si>
    <t>UNIX/LINUX Shell scripts</t>
  </si>
  <si>
    <t>cAdvisor</t>
  </si>
  <si>
    <t>SeLite</t>
  </si>
  <si>
    <t>Database Benchmark</t>
  </si>
  <si>
    <t>OpenVAS</t>
  </si>
  <si>
    <t>Kobiton</t>
  </si>
  <si>
    <t>CA Brightside/ Zowe</t>
  </si>
  <si>
    <t>OpsGenie</t>
  </si>
  <si>
    <t>Aqua Data Studio ER Modeler</t>
  </si>
  <si>
    <t>Jfrog Insight</t>
  </si>
  <si>
    <t>Amazon Sagemaker</t>
  </si>
  <si>
    <t>CodeSmith suite</t>
  </si>
  <si>
    <t>Compuware Topaz Workbench</t>
  </si>
  <si>
    <t>Tool with adaptive CI</t>
  </si>
  <si>
    <t>PowerShell scripts</t>
  </si>
  <si>
    <t>Prometheus</t>
  </si>
  <si>
    <t>SQLMap</t>
  </si>
  <si>
    <t>DTM DB Stress</t>
  </si>
  <si>
    <t>Arachni</t>
  </si>
  <si>
    <t>SmartBear BitBar</t>
  </si>
  <si>
    <t>LogicManager</t>
  </si>
  <si>
    <t>DbWrench</t>
  </si>
  <si>
    <t>Netreo</t>
  </si>
  <si>
    <t>AzureML</t>
  </si>
  <si>
    <t>Code generator tool - distributed languages</t>
  </si>
  <si>
    <t>Visual Studio Code w/ Code4z</t>
  </si>
  <si>
    <t>Docker and related</t>
  </si>
  <si>
    <t>Kubelet</t>
  </si>
  <si>
    <t>Toad</t>
  </si>
  <si>
    <t>Micro Focus LoadRunner For Oracle</t>
  </si>
  <si>
    <t>NMAP</t>
  </si>
  <si>
    <t>TestComplete</t>
  </si>
  <si>
    <t>ALM tool</t>
  </si>
  <si>
    <t>ManageEngine ServiceDesk Plus</t>
  </si>
  <si>
    <t>IBM InfoSphere Data Architect</t>
  </si>
  <si>
    <t>Appnomic AppsOne</t>
  </si>
  <si>
    <t>Hydrosphere</t>
  </si>
  <si>
    <t>Code generator tool - legacy languages</t>
  </si>
  <si>
    <t>Eclipse Che w/ Che4z</t>
  </si>
  <si>
    <t>GitLab CI</t>
  </si>
  <si>
    <t>Tool with adaptive CD</t>
  </si>
  <si>
    <t>Kube-state-metrics</t>
  </si>
  <si>
    <t>DBVisualizer</t>
  </si>
  <si>
    <t>LoadNinja</t>
  </si>
  <si>
    <t>Wireshark</t>
  </si>
  <si>
    <t>Robotium</t>
  </si>
  <si>
    <t>SpecFlow</t>
  </si>
  <si>
    <t>DbDesigner.net</t>
  </si>
  <si>
    <t>CloudFabrix</t>
  </si>
  <si>
    <t>Code generator tool - web front-end and APIs</t>
  </si>
  <si>
    <t>CA Application Lifecycle Conductor</t>
  </si>
  <si>
    <t>MicroFocus Enterprise Developer</t>
  </si>
  <si>
    <t>CodeShip</t>
  </si>
  <si>
    <t>Kubewatch</t>
  </si>
  <si>
    <t>SQLite</t>
  </si>
  <si>
    <t>SmartMeter.io</t>
  </si>
  <si>
    <t>W3AF</t>
  </si>
  <si>
    <t>MonkeyRunner</t>
  </si>
  <si>
    <t>HipTest</t>
  </si>
  <si>
    <t>Tool with adaptive workflow algorithm</t>
  </si>
  <si>
    <t>Apache Spark</t>
  </si>
  <si>
    <t>Federator.ai</t>
  </si>
  <si>
    <t>Code generator tool - data interchange formats</t>
  </si>
  <si>
    <t>Buddy</t>
  </si>
  <si>
    <t>Rollbar</t>
  </si>
  <si>
    <t>Weave Scope</t>
  </si>
  <si>
    <t>DbFit</t>
  </si>
  <si>
    <t>LoadView</t>
  </si>
  <si>
    <t>John the Ripper</t>
  </si>
  <si>
    <t>CrossBrowserTesting.com</t>
  </si>
  <si>
    <t>EasyB</t>
  </si>
  <si>
    <t>ChangeGear</t>
  </si>
  <si>
    <t>Amazon RedShift</t>
  </si>
  <si>
    <t>IBM Netcool Ops Insight</t>
  </si>
  <si>
    <t>Compuware ISPW</t>
  </si>
  <si>
    <t>Raygun</t>
  </si>
  <si>
    <t>EFK (ElasticSearch-Fluentd-Kibana)</t>
  </si>
  <si>
    <t>DbUnit</t>
  </si>
  <si>
    <t>LoadUI Pro</t>
  </si>
  <si>
    <t>Veracode</t>
  </si>
  <si>
    <t>LambdaTest</t>
  </si>
  <si>
    <t>JDave</t>
  </si>
  <si>
    <t>Whatfix</t>
  </si>
  <si>
    <t>Loom Systems</t>
  </si>
  <si>
    <t>MicroFocus Enterprise Test Server</t>
  </si>
  <si>
    <t>Sentry</t>
  </si>
  <si>
    <t>SQLUnit</t>
  </si>
  <si>
    <t>IBM RPT</t>
  </si>
  <si>
    <t>Docker Bench</t>
  </si>
  <si>
    <t>Ranorex Studio</t>
  </si>
  <si>
    <t>FitNesse</t>
  </si>
  <si>
    <t>Web Help Desk</t>
  </si>
  <si>
    <t>Nastel Xray</t>
  </si>
  <si>
    <t>Airbrake</t>
  </si>
  <si>
    <t>NDBUnit</t>
  </si>
  <si>
    <t>NeoLoad</t>
  </si>
  <si>
    <t>Clair</t>
  </si>
  <si>
    <t>Browsershots</t>
  </si>
  <si>
    <t>Concordion</t>
  </si>
  <si>
    <t>Gensuite</t>
  </si>
  <si>
    <t>New Relic One</t>
  </si>
  <si>
    <t>BugSnag</t>
  </si>
  <si>
    <t>DB Test Driven</t>
  </si>
  <si>
    <t>Appvance UTP</t>
  </si>
  <si>
    <t>Cilium</t>
  </si>
  <si>
    <t>Browsera</t>
  </si>
  <si>
    <t>Tool with adaptive/ bot based test design</t>
  </si>
  <si>
    <t>StarTeam</t>
  </si>
  <si>
    <t>IBM Infosphere</t>
  </si>
  <si>
    <t>NexGen Cloud Platform</t>
  </si>
  <si>
    <t>AndroMDA</t>
  </si>
  <si>
    <t>StackHunter</t>
  </si>
  <si>
    <t>Simian Army</t>
  </si>
  <si>
    <t>Visual Studio Team Ed. For DB Professional</t>
  </si>
  <si>
    <t>Apica</t>
  </si>
  <si>
    <t>Anchore</t>
  </si>
  <si>
    <t>WAVE</t>
  </si>
  <si>
    <t>SysAid</t>
  </si>
  <si>
    <t>Ab Initio</t>
  </si>
  <si>
    <t>Numerify</t>
  </si>
  <si>
    <t>Other MDD tool</t>
  </si>
  <si>
    <t>Pumba</t>
  </si>
  <si>
    <t>Micro Focus UFT</t>
  </si>
  <si>
    <t>Testing Anywhere</t>
  </si>
  <si>
    <t>OpenSCAP Workbench</t>
  </si>
  <si>
    <t>JAWS</t>
  </si>
  <si>
    <t>Alloy Navigator</t>
  </si>
  <si>
    <t>ParAccel</t>
  </si>
  <si>
    <t>OpsRamp</t>
  </si>
  <si>
    <t>MDD tool with language plug-in</t>
  </si>
  <si>
    <t>PowerfulSeal</t>
  </si>
  <si>
    <t>SmartBearTestComplete</t>
  </si>
  <si>
    <t>LoadImpact</t>
  </si>
  <si>
    <t>Dagda</t>
  </si>
  <si>
    <t>Dynomapper</t>
  </si>
  <si>
    <t>Cloudera</t>
  </si>
  <si>
    <t>Optanix</t>
  </si>
  <si>
    <t>MDD tool with adaptive code generation algorithm</t>
  </si>
  <si>
    <t>MicroFocus Enterprise Server</t>
  </si>
  <si>
    <t>Litmus</t>
  </si>
  <si>
    <t>utPLSQL</t>
  </si>
  <si>
    <t>Predator</t>
  </si>
  <si>
    <t>Qualys</t>
  </si>
  <si>
    <t>SortSite</t>
  </si>
  <si>
    <t>AnalytixDS</t>
  </si>
  <si>
    <t>Chaos tool (other)</t>
  </si>
  <si>
    <t>Katalon Studio</t>
  </si>
  <si>
    <t>CloudTest by SOASTA</t>
  </si>
  <si>
    <t>CipherCloud</t>
  </si>
  <si>
    <t>Accessibility Checker by CKSource</t>
  </si>
  <si>
    <t>MarkLogic</t>
  </si>
  <si>
    <t>Other - Auto-discovery only</t>
  </si>
  <si>
    <t>Compuware Topaz for Program Analysis</t>
  </si>
  <si>
    <t>Tool-specific failover / chaos feature</t>
  </si>
  <si>
    <t>Testimony for SAP</t>
  </si>
  <si>
    <t>Httperf</t>
  </si>
  <si>
    <t>Zscaler</t>
  </si>
  <si>
    <t>Accessibility Valet</t>
  </si>
  <si>
    <t>Panoply</t>
  </si>
  <si>
    <t>Other - Analytics only</t>
  </si>
  <si>
    <t>CAST Highlight</t>
  </si>
  <si>
    <t>Compuware Strobe/ iStrobe</t>
  </si>
  <si>
    <t>OpenSTA</t>
  </si>
  <si>
    <t>Achecker</t>
  </si>
  <si>
    <t>Talend</t>
  </si>
  <si>
    <t>Other - Resolution automation</t>
  </si>
  <si>
    <t>Compuware Abend-AID</t>
  </si>
  <si>
    <t>Digivante</t>
  </si>
  <si>
    <t>Compuware Hiperstation</t>
  </si>
  <si>
    <t>Codacy</t>
  </si>
  <si>
    <t>ACTF Adesigner</t>
  </si>
  <si>
    <t>Alteryx</t>
  </si>
  <si>
    <t>Compuware zAdviser</t>
  </si>
  <si>
    <t>CAST Image</t>
  </si>
  <si>
    <t>Compuware Application Audit</t>
  </si>
  <si>
    <t>Testsigma</t>
  </si>
  <si>
    <t>WhiteSource</t>
  </si>
  <si>
    <t>Tool with adaptive provisioning and cloud/container mgmt</t>
  </si>
  <si>
    <t>Oracle Hyperion</t>
  </si>
  <si>
    <t>CAST Appmarq</t>
  </si>
  <si>
    <t>BMC MainView</t>
  </si>
  <si>
    <t>Nessus</t>
  </si>
  <si>
    <t>MicroFocus Enterprise Analyzer</t>
  </si>
  <si>
    <t>Correlog</t>
  </si>
  <si>
    <t>ABAP Unit</t>
  </si>
  <si>
    <t>Skybox</t>
  </si>
  <si>
    <t>Navicat</t>
  </si>
  <si>
    <t>MicroFocus Enterprise View</t>
  </si>
  <si>
    <t>Alibaba Cloud Managed Security</t>
  </si>
  <si>
    <t>Azure services/ Azure DevOps</t>
  </si>
  <si>
    <t>Database Workbench</t>
  </si>
  <si>
    <t>VectorCAST/*</t>
  </si>
  <si>
    <t>AT&amp;T Cybersecurity</t>
  </si>
  <si>
    <t>AWS services (security and others)</t>
  </si>
  <si>
    <t>Azure Data Studio</t>
  </si>
  <si>
    <t>RightData</t>
  </si>
  <si>
    <t>Netsparker</t>
  </si>
  <si>
    <t>MS SQL Server Mgmt. Studio</t>
  </si>
  <si>
    <t>Informatica Data Validation</t>
  </si>
  <si>
    <t>Amazon Inspector</t>
  </si>
  <si>
    <t>QuerySurge</t>
  </si>
  <si>
    <t>Burp</t>
  </si>
  <si>
    <t>ICEDQ</t>
  </si>
  <si>
    <t>Acunetix</t>
  </si>
  <si>
    <t>Datagaps ETL Validator</t>
  </si>
  <si>
    <t>Intruder</t>
  </si>
  <si>
    <t>QualiDI</t>
  </si>
  <si>
    <t>Nikto2</t>
  </si>
  <si>
    <t>Talend Open Studio for Data Integration</t>
  </si>
  <si>
    <t>GoLismero</t>
  </si>
  <si>
    <t>Compuware Topaz for Total Test</t>
  </si>
  <si>
    <t>Comodo Hackerproof</t>
  </si>
  <si>
    <t>Retina CS Community</t>
  </si>
  <si>
    <t>MS Baseline Security Analyzer</t>
  </si>
  <si>
    <t>Nexpose</t>
  </si>
  <si>
    <t>Solarwinds NCM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</si>
</sst>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rgb="FF000000"/>
      <name val="Tahoma"/>
      <family val="2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Alignment="1">
      <alignment vertical="top"/>
    </xf>
    <xf numFmtId="0" fontId="2" fillId="3" borderId="0" xfId="0" applyFont="1" applyFill="1" applyAlignment="1">
      <alignment vertical="top"/>
    </xf>
    <xf numFmtId="0" fontId="3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2" fillId="5" borderId="0" xfId="0" applyFont="1" applyFill="1" applyAlignment="1">
      <alignment vertical="top"/>
    </xf>
    <xf numFmtId="0" fontId="6" fillId="5" borderId="0" xfId="0" applyFont="1" applyFill="1" applyAlignment="1">
      <alignment vertical="top"/>
    </xf>
    <xf numFmtId="0" fontId="6" fillId="6" borderId="0" xfId="0" applyFont="1" applyFill="1" applyAlignment="1">
      <alignment horizontal="center" vertical="top" wrapText="1"/>
    </xf>
    <xf numFmtId="0" fontId="0" fillId="0" borderId="1" xfId="0" applyBorder="1" applyAlignment="1">
      <alignment vertical="top" wrapText="1"/>
    </xf>
    <xf numFmtId="0" fontId="8" fillId="8" borderId="1" xfId="0" applyFont="1" applyFill="1" applyBorder="1" applyAlignment="1">
      <alignment vertical="top" wrapText="1"/>
    </xf>
    <xf numFmtId="9" fontId="0" fillId="0" borderId="1" xfId="1" applyFont="1" applyBorder="1" applyAlignment="1">
      <alignment vertical="top" wrapText="1"/>
    </xf>
    <xf numFmtId="0" fontId="1" fillId="0" borderId="0" xfId="0" applyFont="1" applyAlignment="1">
      <alignment vertical="top" wrapText="1"/>
    </xf>
    <xf numFmtId="0" fontId="1" fillId="0" borderId="1" xfId="0" applyFont="1" applyBorder="1" applyAlignment="1">
      <alignment vertical="top" wrapText="1"/>
    </xf>
    <xf numFmtId="9" fontId="1" fillId="0" borderId="1" xfId="0" applyNumberFormat="1" applyFont="1" applyBorder="1" applyAlignment="1">
      <alignment vertical="top" wrapText="1"/>
    </xf>
    <xf numFmtId="0" fontId="9" fillId="3" borderId="0" xfId="0" applyFont="1" applyFill="1" applyAlignment="1">
      <alignment vertical="top"/>
    </xf>
    <xf numFmtId="0" fontId="11" fillId="0" borderId="0" xfId="0" applyFont="1" applyAlignment="1">
      <alignment vertical="top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2" fillId="3" borderId="0" xfId="0" applyFont="1" applyFill="1" applyAlignment="1">
      <alignment horizontal="center" vertical="top"/>
    </xf>
    <xf numFmtId="0" fontId="8" fillId="8" borderId="1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6" fillId="10" borderId="0" xfId="0" applyFont="1" applyFill="1" applyAlignment="1">
      <alignment horizontal="center" vertical="top" wrapText="1"/>
    </xf>
    <xf numFmtId="0" fontId="4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6" fillId="8" borderId="1" xfId="0" applyFont="1" applyFill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6" fillId="0" borderId="0" xfId="0" applyFont="1" applyAlignment="1">
      <alignment vertical="top" wrapText="1"/>
    </xf>
    <xf numFmtId="0" fontId="12" fillId="0" borderId="0" xfId="0" applyFont="1" applyAlignment="1">
      <alignment vertical="top" wrapText="1"/>
    </xf>
    <xf numFmtId="0" fontId="1" fillId="9" borderId="0" xfId="0" applyFont="1" applyFill="1" applyAlignment="1">
      <alignment horizontal="center" vertical="top" wrapText="1"/>
    </xf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14" fillId="0" borderId="1" xfId="0" applyFont="1" applyBorder="1" applyAlignment="1">
      <alignment vertical="top" wrapText="1"/>
    </xf>
    <xf numFmtId="0" fontId="14" fillId="0" borderId="0" xfId="0" applyFont="1" applyAlignment="1">
      <alignment vertical="top" wrapText="1"/>
    </xf>
    <xf numFmtId="0" fontId="14" fillId="0" borderId="2" xfId="0" applyFont="1" applyBorder="1" applyAlignment="1">
      <alignment vertical="top" wrapText="1"/>
    </xf>
    <xf numFmtId="0" fontId="17" fillId="0" borderId="1" xfId="0" applyFont="1" applyBorder="1" applyAlignment="1">
      <alignment vertical="top" wrapText="1"/>
    </xf>
    <xf numFmtId="0" fontId="18" fillId="0" borderId="0" xfId="0" applyFont="1" applyAlignment="1">
      <alignment vertical="top"/>
    </xf>
    <xf numFmtId="0" fontId="19" fillId="0" borderId="0" xfId="0" applyFont="1" applyAlignment="1">
      <alignment vertical="top"/>
    </xf>
    <xf numFmtId="0" fontId="20" fillId="3" borderId="0" xfId="0" applyFont="1" applyFill="1" applyAlignment="1">
      <alignment vertical="top"/>
    </xf>
    <xf numFmtId="0" fontId="21" fillId="3" borderId="0" xfId="0" applyFont="1" applyFill="1" applyAlignment="1">
      <alignment vertical="top"/>
    </xf>
    <xf numFmtId="0" fontId="21" fillId="0" borderId="0" xfId="0" applyFont="1" applyAlignment="1">
      <alignment vertical="top"/>
    </xf>
    <xf numFmtId="0" fontId="19" fillId="0" borderId="1" xfId="0" applyFont="1" applyBorder="1" applyAlignment="1">
      <alignment vertical="top" wrapText="1"/>
    </xf>
    <xf numFmtId="0" fontId="19" fillId="0" borderId="0" xfId="0" applyFont="1" applyAlignment="1">
      <alignment vertical="top" wrapText="1"/>
    </xf>
    <xf numFmtId="0" fontId="18" fillId="0" borderId="1" xfId="0" applyFont="1" applyBorder="1" applyAlignment="1">
      <alignment vertical="top" wrapText="1"/>
    </xf>
    <xf numFmtId="0" fontId="18" fillId="2" borderId="1" xfId="0" applyFont="1" applyFill="1" applyBorder="1" applyAlignment="1">
      <alignment vertical="top" wrapText="1"/>
    </xf>
    <xf numFmtId="0" fontId="19" fillId="2" borderId="1" xfId="0" applyFont="1" applyFill="1" applyBorder="1" applyAlignment="1">
      <alignment vertical="top" wrapText="1"/>
    </xf>
    <xf numFmtId="0" fontId="18" fillId="0" borderId="0" xfId="0" applyFont="1" applyAlignment="1">
      <alignment vertical="top" wrapText="1"/>
    </xf>
    <xf numFmtId="0" fontId="14" fillId="7" borderId="0" xfId="0" applyFont="1" applyFill="1" applyAlignment="1">
      <alignment vertical="top"/>
    </xf>
    <xf numFmtId="0" fontId="14" fillId="2" borderId="0" xfId="0" applyFont="1" applyFill="1" applyAlignment="1">
      <alignment vertical="top"/>
    </xf>
    <xf numFmtId="0" fontId="22" fillId="3" borderId="0" xfId="0" applyFont="1" applyFill="1" applyAlignment="1">
      <alignment vertical="top"/>
    </xf>
    <xf numFmtId="0" fontId="9" fillId="0" borderId="0" xfId="0" applyFont="1" applyAlignment="1">
      <alignment vertical="top"/>
    </xf>
    <xf numFmtId="0" fontId="13" fillId="0" borderId="0" xfId="0" applyFont="1" applyAlignment="1">
      <alignment vertical="top" wrapText="1"/>
    </xf>
    <xf numFmtId="0" fontId="13" fillId="2" borderId="0" xfId="0" applyFont="1" applyFill="1" applyAlignment="1">
      <alignment vertical="top" wrapText="1"/>
    </xf>
    <xf numFmtId="0" fontId="13" fillId="0" borderId="5" xfId="0" applyFont="1" applyBorder="1" applyAlignment="1">
      <alignment vertical="top" wrapText="1"/>
    </xf>
    <xf numFmtId="0" fontId="13" fillId="7" borderId="5" xfId="0" applyFont="1" applyFill="1" applyBorder="1" applyAlignment="1">
      <alignment vertical="top" wrapText="1"/>
    </xf>
    <xf numFmtId="0" fontId="13" fillId="0" borderId="1" xfId="0" applyFont="1" applyBorder="1" applyAlignment="1">
      <alignment vertical="top" wrapText="1"/>
    </xf>
    <xf numFmtId="0" fontId="14" fillId="0" borderId="4" xfId="0" applyFont="1" applyBorder="1" applyAlignment="1">
      <alignment vertical="top" wrapText="1"/>
    </xf>
    <xf numFmtId="0" fontId="14" fillId="0" borderId="6" xfId="0" applyFont="1" applyBorder="1" applyAlignment="1">
      <alignment vertical="top" wrapText="1"/>
    </xf>
    <xf numFmtId="0" fontId="14" fillId="11" borderId="6" xfId="0" applyFont="1" applyFill="1" applyBorder="1" applyAlignment="1">
      <alignment vertical="top" wrapText="1"/>
    </xf>
    <xf numFmtId="0" fontId="14" fillId="0" borderId="3" xfId="0" applyFont="1" applyBorder="1" applyAlignment="1">
      <alignment vertical="top" wrapText="1"/>
    </xf>
    <xf numFmtId="0" fontId="14" fillId="0" borderId="8" xfId="0" applyFont="1" applyBorder="1" applyAlignment="1">
      <alignment vertical="top" wrapText="1"/>
    </xf>
    <xf numFmtId="0" fontId="14" fillId="11" borderId="1" xfId="0" applyFont="1" applyFill="1" applyBorder="1" applyAlignment="1">
      <alignment vertical="top" wrapText="1"/>
    </xf>
    <xf numFmtId="0" fontId="14" fillId="0" borderId="7" xfId="0" applyFont="1" applyBorder="1" applyAlignment="1">
      <alignment vertical="top" wrapText="1"/>
    </xf>
  </cellXfs>
  <cellStyles count="2">
    <cellStyle name="Normal" xfId="0" builtinId="0"/>
    <cellStyle name="Percent" xfId="1" builtinId="5"/>
  </cellStyles>
  <dxfs count="86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general" vertical="top" textRotation="0" wrapText="1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Medium7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4:A40" totalsRowShown="0" headerRowDxfId="199" dataDxfId="198" tableBorderDxfId="197">
  <tableColumns count="1">
    <tableColumn id="1" xr3:uid="{00000000-0010-0000-0000-000001000000}" name="Category" dataDxfId="196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B4:B15" totalsRowShown="0" headerRowDxfId="195" dataDxfId="194" headerRowBorderDxfId="192" tableBorderDxfId="193" totalsRowBorderDxfId="191">
  <tableColumns count="1">
    <tableColumn id="1" xr3:uid="{00000000-0010-0000-0100-000001000000}" name="I01_Doc_generate" dataDxfId="190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C4:C40" totalsRowShown="0" headerRowDxfId="189" dataDxfId="188" headerRowBorderDxfId="186" tableBorderDxfId="187" totalsRowBorderDxfId="185">
  <tableColumns count="1">
    <tableColumn id="1" xr3:uid="{00000000-0010-0000-0200-000001000000}" name="I02_Workflow_appdesigncode" dataDxfId="184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D4:D25" totalsRowShown="0" headerRowDxfId="183" dataDxfId="182" headerRowBorderDxfId="180" tableBorderDxfId="181" totalsRowBorderDxfId="179">
  <tableColumns count="1">
    <tableColumn id="1" xr3:uid="{00000000-0010-0000-0300-000001000000}" name="I03_Agile_tracker" dataDxfId="178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5" displayName="Table5" ref="E4:E13" totalsRowShown="0" headerRowDxfId="177" dataDxfId="176" headerRowBorderDxfId="174" tableBorderDxfId="175" totalsRowBorderDxfId="173">
  <tableColumns count="1">
    <tableColumn id="1" xr3:uid="{00000000-0010-0000-0400-000001000000}" name="I04_Chat" dataDxfId="172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6" displayName="Table6" ref="F4:F24" totalsRowShown="0" headerRowDxfId="171" dataDxfId="170" headerRowBorderDxfId="168" tableBorderDxfId="169" totalsRowBorderDxfId="167">
  <tableColumns count="1">
    <tableColumn id="1" xr3:uid="{00000000-0010-0000-0500-000001000000}" name="M05_Editor_IDE" dataDxfId="166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7" displayName="Table7" ref="G4:G11" totalsRowShown="0" headerRowDxfId="165" dataDxfId="164" headerRowBorderDxfId="162" tableBorderDxfId="163" totalsRowBorderDxfId="161">
  <tableColumns count="1">
    <tableColumn id="1" xr3:uid="{00000000-0010-0000-0600-000001000000}" name="M06_Placeholder" dataDxfId="160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8" displayName="Table8" ref="H4:H18" totalsRowShown="0" headerRowDxfId="159" dataDxfId="158" headerRowBorderDxfId="156" tableBorderDxfId="157" totalsRowBorderDxfId="155">
  <tableColumns count="1">
    <tableColumn id="1" xr3:uid="{00000000-0010-0000-0700-000001000000}" name="M07_Code_quality" dataDxfId="154"/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9" displayName="Table9" ref="I4:I27" totalsRowShown="0" headerRowDxfId="153" dataDxfId="152" headerRowBorderDxfId="150" tableBorderDxfId="151" totalsRowBorderDxfId="149">
  <tableColumns count="1">
    <tableColumn id="1" xr3:uid="{00000000-0010-0000-0800-000001000000}" name="M08_Continuous_integration" dataDxfId="148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10" displayName="Table10" ref="J4:J33" totalsRowShown="0" headerRowDxfId="147" dataDxfId="146" headerRowBorderDxfId="144" tableBorderDxfId="145" totalsRowBorderDxfId="143">
  <tableColumns count="1">
    <tableColumn id="1" xr3:uid="{00000000-0010-0000-0900-000001000000}" name="M09_Continuous_deploy" dataDxfId="142"/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11" displayName="Table11" ref="K4:K15" totalsRowShown="0" headerRowDxfId="141" dataDxfId="140" headerRowBorderDxfId="138" tableBorderDxfId="139" totalsRowBorderDxfId="137">
  <tableColumns count="1">
    <tableColumn id="1" xr3:uid="{00000000-0010-0000-0A00-000001000000}" name="M10_Sourcecode_repository" dataDxfId="136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12" displayName="Table12" ref="L4:L11" totalsRowShown="0" headerRowDxfId="135" dataDxfId="134" headerRowBorderDxfId="132" tableBorderDxfId="133" totalsRowBorderDxfId="131">
  <tableColumns count="1">
    <tableColumn id="1" xr3:uid="{00000000-0010-0000-0B00-000001000000}" name="M11_Binary_repository" dataDxfId="130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13" displayName="Table13" ref="M4:M16" totalsRowShown="0" headerRowDxfId="129" dataDxfId="128" headerRowBorderDxfId="126" tableBorderDxfId="127" totalsRowBorderDxfId="125">
  <tableColumns count="1">
    <tableColumn id="1" xr3:uid="{00000000-0010-0000-0C00-000001000000}" name="M12_Build_package" dataDxfId="124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14" displayName="Table14" ref="N4:N15" totalsRowShown="0" headerRowDxfId="123" dataDxfId="122" headerRowBorderDxfId="120" tableBorderDxfId="121" totalsRowBorderDxfId="119">
  <tableColumns count="1">
    <tableColumn id="1" xr3:uid="{00000000-0010-0000-0D00-000001000000}" name="I13_Datavisualization" dataDxfId="118"/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15" displayName="Table15" ref="O4:O13" totalsRowShown="0" headerRowDxfId="117" dataDxfId="116" headerRowBorderDxfId="114" tableBorderDxfId="115" totalsRowBorderDxfId="113">
  <tableColumns count="1">
    <tableColumn id="1" xr3:uid="{00000000-0010-0000-0E00-000001000000}" name="I14_Release_mgmt" dataDxfId="112"/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16" displayName="Table16" ref="P4:P41" totalsRowShown="0" headerRowDxfId="111" dataDxfId="110" headerRowBorderDxfId="108" tableBorderDxfId="109" totalsRowBorderDxfId="107">
  <tableColumns count="1">
    <tableColumn id="1" xr3:uid="{00000000-0010-0000-0F00-000001000000}" name="M15_Monitoring" dataDxfId="106"/>
  </tableColumns>
  <tableStyleInfo name="TableStyleLight1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e17" displayName="Table17" ref="Q4:Q97" totalsRowShown="0" headerRowDxfId="105" dataDxfId="104" headerRowBorderDxfId="102" tableBorderDxfId="103" totalsRowBorderDxfId="101">
  <tableColumns count="1">
    <tableColumn id="1" xr3:uid="{00000000-0010-0000-1000-000001000000}" name="I16_Placeholder" dataDxfId="100"/>
  </tableColumns>
  <tableStyleInfo name="TableStyleLight1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18" displayName="Table18" ref="R4:R50" totalsRowShown="0" headerRowDxfId="99" dataDxfId="98" headerRowBorderDxfId="96" tableBorderDxfId="97" totalsRowBorderDxfId="95">
  <tableColumns count="1">
    <tableColumn id="1" xr3:uid="{00000000-0010-0000-1100-000001000000}" name="I17_Testauto_functional" dataDxfId="94"/>
  </tableColumns>
  <tableStyleInfo name="TableStyleLight1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e19" displayName="Table19" ref="S4:S37" totalsRowShown="0" headerRowDxfId="93" dataDxfId="92" headerRowBorderDxfId="90" tableBorderDxfId="91" totalsRowBorderDxfId="89">
  <tableColumns count="1">
    <tableColumn id="1" xr3:uid="{00000000-0010-0000-1200-000001000000}" name="I18_Testauto_perf" dataDxfId="88"/>
  </tableColumns>
  <tableStyleInfo name="TableStyleLight1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e20" displayName="Table20" ref="T4:T54" totalsRowShown="0" headerRowDxfId="87" dataDxfId="86" headerRowBorderDxfId="84" tableBorderDxfId="85" totalsRowBorderDxfId="83">
  <tableColumns count="1">
    <tableColumn id="1" xr3:uid="{00000000-0010-0000-1300-000001000000}" name="I19_Testauto_security" dataDxfId="82"/>
  </tableColumns>
  <tableStyleInfo name="TableStyleLight1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e21" displayName="Table21" ref="U4:U37" totalsRowShown="0" headerRowDxfId="81" dataDxfId="80" headerRowBorderDxfId="78" tableBorderDxfId="79" totalsRowBorderDxfId="77">
  <tableColumns count="1">
    <tableColumn id="1" xr3:uid="{00000000-0010-0000-1400-000001000000}" name="I20_Testauto_UIUXmobile" dataDxfId="76"/>
  </tableColumns>
  <tableStyleInfo name="TableStyleLight1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e22" displayName="Table22" ref="V4:V29" totalsRowShown="0" headerRowDxfId="75" dataDxfId="74" headerRowBorderDxfId="72" tableBorderDxfId="73" totalsRowBorderDxfId="71">
  <tableColumns count="1">
    <tableColumn id="1" xr3:uid="{00000000-0010-0000-1500-000001000000}" name="I21_Testdesign_data_TDDBDD" dataDxfId="70"/>
  </tableColumns>
  <tableStyleInfo name="TableStyleLight1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e23" displayName="Table23" ref="W4:W20" totalsRowShown="0" headerRowDxfId="69" dataDxfId="68" headerRowBorderDxfId="66" tableBorderDxfId="67" totalsRowBorderDxfId="65">
  <tableColumns count="1">
    <tableColumn id="1" xr3:uid="{00000000-0010-0000-1600-000001000000}" name="M22_Env_provision" dataDxfId="64"/>
  </tableColumns>
  <tableStyleInfo name="TableStyleLight1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e24" displayName="Table24" ref="X4:X12" totalsRowShown="0" headerRowDxfId="63" dataDxfId="62" headerRowBorderDxfId="60" tableBorderDxfId="61" totalsRowBorderDxfId="59">
  <tableColumns count="1">
    <tableColumn id="1" xr3:uid="{00000000-0010-0000-1700-000001000000}" name="M23_VM_VMclustering" dataDxfId="58"/>
  </tableColumns>
  <tableStyleInfo name="TableStyleLight1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e25" displayName="Table25" ref="Y4:Y10" totalsRowShown="0" headerRowDxfId="57" dataDxfId="56" headerRowBorderDxfId="54" tableBorderDxfId="55" totalsRowBorderDxfId="53">
  <tableColumns count="1">
    <tableColumn id="1" xr3:uid="{00000000-0010-0000-1800-000001000000}" name="M24_HCI" dataDxfId="52"/>
  </tableColumns>
  <tableStyleInfo name="TableStyleLight16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e26" displayName="Table26" ref="Z4:Z21" totalsRowShown="0" headerRowDxfId="51" dataDxfId="50" headerRowBorderDxfId="48" tableBorderDxfId="49" totalsRowBorderDxfId="47">
  <tableColumns count="1">
    <tableColumn id="1" xr3:uid="{00000000-0010-0000-1900-000001000000}" name="M25_Cloud_mgmt" dataDxfId="46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able27" displayName="Table27" ref="AA4:AA14" totalsRowShown="0" headerRowDxfId="45" dataDxfId="44" headerRowBorderDxfId="42" tableBorderDxfId="43" totalsRowBorderDxfId="41">
  <tableColumns count="1">
    <tableColumn id="1" xr3:uid="{00000000-0010-0000-1A00-000001000000}" name="M26_Container_clustering" dataDxfId="40"/>
  </tableColumns>
  <tableStyleInfo name="TableStyleLight1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Table28" displayName="Table28" ref="AB4:AB43" totalsRowShown="0" headerRowDxfId="39" dataDxfId="38" headerRowBorderDxfId="36" tableBorderDxfId="37" totalsRowBorderDxfId="35">
  <tableColumns count="1">
    <tableColumn id="1" xr3:uid="{00000000-0010-0000-1B00-000001000000}" name="M27_Infra_consolidated" dataDxfId="34"/>
  </tableColumns>
  <tableStyleInfo name="TableStyleLight1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Table29" displayName="Table29" ref="AC4:AC32" totalsRowShown="0" headerRowDxfId="33" dataDxfId="32" headerRowBorderDxfId="30" tableBorderDxfId="31" totalsRowBorderDxfId="29">
  <tableColumns count="1">
    <tableColumn id="1" xr3:uid="{00000000-0010-0000-1C00-000001000000}" name="I28_Service_workflow" dataDxfId="28"/>
  </tableColumns>
  <tableStyleInfo name="TableStyleLight16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Table30" displayName="Table30" ref="AD4:AD12" totalsRowShown="0" headerRowDxfId="27" dataDxfId="26" headerRowBorderDxfId="24" tableBorderDxfId="25" totalsRowBorderDxfId="23">
  <tableColumns count="1">
    <tableColumn id="1" xr3:uid="{00000000-0010-0000-1D00-000001000000}" name="M29_RPA" dataDxfId="22"/>
  </tableColumns>
  <tableStyleInfo name="TableStyleLight16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Table31" displayName="Table31" ref="AE3:AE47" totalsRowShown="0" headerRowDxfId="21" dataDxfId="20" tableBorderDxfId="19">
  <tableColumns count="1">
    <tableColumn id="1" xr3:uid="{00000000-0010-0000-1E00-000001000000}" name="30" dataDxfId="18"/>
  </tableColumns>
  <tableStyleInfo name="TableStyleLight16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Table32" displayName="Table32" ref="AF4:AF36" totalsRowShown="0" headerRowDxfId="17" dataDxfId="16" headerRowBorderDxfId="14" tableBorderDxfId="15" totalsRowBorderDxfId="13">
  <tableColumns count="1">
    <tableColumn id="1" xr3:uid="{00000000-0010-0000-1F00-000001000000}" name="M31_AIOps" dataDxfId="12"/>
  </tableColumns>
  <tableStyleInfo name="TableStyleLight16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Table33" displayName="Table33" ref="AG4:AG22" totalsRowShown="0" headerRowDxfId="11" dataDxfId="10" headerRowBorderDxfId="8" tableBorderDxfId="9" totalsRowBorderDxfId="7">
  <tableColumns count="1">
    <tableColumn id="1" xr3:uid="{00000000-0010-0000-2000-000001000000}" name="M32_MLOps" dataDxfId="6"/>
  </tableColumns>
  <tableStyleInfo name="TableStyleLight16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Table34" displayName="Table34" ref="AH4:AH8" totalsRowShown="0" headerRowDxfId="5" dataDxfId="4" headerRowBorderDxfId="2" tableBorderDxfId="3" totalsRowBorderDxfId="1">
  <tableColumns count="1">
    <tableColumn id="1" xr3:uid="{00000000-0010-0000-2100-000001000000}" name="M33_Placeholder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26" Type="http://schemas.openxmlformats.org/officeDocument/2006/relationships/table" Target="../tables/table25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34" Type="http://schemas.openxmlformats.org/officeDocument/2006/relationships/table" Target="../tables/table33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33" Type="http://schemas.openxmlformats.org/officeDocument/2006/relationships/table" Target="../tables/table32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29" Type="http://schemas.openxmlformats.org/officeDocument/2006/relationships/table" Target="../tables/table28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32" Type="http://schemas.openxmlformats.org/officeDocument/2006/relationships/table" Target="../tables/table31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28" Type="http://schemas.openxmlformats.org/officeDocument/2006/relationships/table" Target="../tables/table27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31" Type="http://schemas.openxmlformats.org/officeDocument/2006/relationships/table" Target="../tables/table30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Relationship Id="rId27" Type="http://schemas.openxmlformats.org/officeDocument/2006/relationships/table" Target="../tables/table26.xml"/><Relationship Id="rId30" Type="http://schemas.openxmlformats.org/officeDocument/2006/relationships/table" Target="../tables/table29.xml"/><Relationship Id="rId35" Type="http://schemas.openxmlformats.org/officeDocument/2006/relationships/table" Target="../tables/table34.xml"/><Relationship Id="rId8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42898-0FA0-964F-B52E-B81E230E789E}">
  <sheetPr codeName="Sheet2"/>
  <dimension ref="A1:AV195"/>
  <sheetViews>
    <sheetView zoomScale="25" zoomScaleNormal="25" workbookViewId="0">
      <pane xSplit="2" ySplit="1" topLeftCell="C21" activePane="bottomRight" state="frozen"/>
      <selection pane="bottomRight" activeCell="C38" sqref="C38"/>
      <selection pane="bottomLeft" activeCell="A2" sqref="A2"/>
      <selection pane="topRight" activeCell="C1" sqref="C1"/>
    </sheetView>
  </sheetViews>
  <sheetFormatPr defaultColWidth="10.875" defaultRowHeight="11.25"/>
  <cols>
    <col min="1" max="1" width="10.875" style="41"/>
    <col min="2" max="2" width="16.375" style="41" customWidth="1"/>
    <col min="3" max="12" width="14.625" style="41" customWidth="1"/>
    <col min="13" max="16384" width="10.875" style="41"/>
  </cols>
  <sheetData>
    <row r="1" spans="1:48" s="38" customFormat="1">
      <c r="A1" s="37" t="s">
        <v>0</v>
      </c>
      <c r="C1" s="39" t="s">
        <v>1</v>
      </c>
    </row>
    <row r="2" spans="1:48">
      <c r="A2" s="40">
        <v>0</v>
      </c>
      <c r="B2" s="40" t="s">
        <v>2</v>
      </c>
      <c r="C2" s="40" t="s">
        <v>3</v>
      </c>
      <c r="D2" s="40" t="s">
        <v>4</v>
      </c>
      <c r="E2" s="40" t="s">
        <v>5</v>
      </c>
    </row>
    <row r="3" spans="1:48" ht="56.25">
      <c r="A3" s="40">
        <v>1</v>
      </c>
      <c r="B3" s="40" t="s">
        <v>6</v>
      </c>
      <c r="C3" s="40" t="s">
        <v>7</v>
      </c>
      <c r="D3" s="40" t="s">
        <v>8</v>
      </c>
      <c r="E3" s="40" t="s">
        <v>9</v>
      </c>
      <c r="M3" s="41">
        <v>1</v>
      </c>
      <c r="N3" s="41">
        <v>2</v>
      </c>
      <c r="O3" s="41">
        <v>3</v>
      </c>
    </row>
    <row r="4" spans="1:48" ht="67.5">
      <c r="A4" s="40">
        <v>1</v>
      </c>
      <c r="B4" s="40" t="s">
        <v>10</v>
      </c>
      <c r="C4" s="42" t="s">
        <v>11</v>
      </c>
      <c r="D4" s="42" t="s">
        <v>12</v>
      </c>
      <c r="E4" s="42" t="s">
        <v>13</v>
      </c>
      <c r="F4" s="42" t="s">
        <v>14</v>
      </c>
      <c r="G4" s="42" t="s">
        <v>15</v>
      </c>
      <c r="M4" s="41">
        <v>1</v>
      </c>
      <c r="N4" s="41">
        <v>2</v>
      </c>
      <c r="O4" s="41">
        <v>3</v>
      </c>
      <c r="P4" s="41">
        <v>4</v>
      </c>
      <c r="Q4" s="41">
        <v>5</v>
      </c>
    </row>
    <row r="5" spans="1:48" ht="45">
      <c r="A5" s="40">
        <v>2</v>
      </c>
      <c r="B5" s="40" t="s">
        <v>16</v>
      </c>
      <c r="C5" s="40" t="s">
        <v>17</v>
      </c>
      <c r="D5" s="40" t="s">
        <v>18</v>
      </c>
      <c r="E5" s="40" t="s">
        <v>19</v>
      </c>
      <c r="F5" s="40" t="s">
        <v>20</v>
      </c>
      <c r="G5" s="40" t="s">
        <v>21</v>
      </c>
      <c r="H5" s="40" t="s">
        <v>22</v>
      </c>
      <c r="I5" s="40" t="s">
        <v>23</v>
      </c>
      <c r="J5" s="40" t="s">
        <v>24</v>
      </c>
      <c r="K5" s="40" t="s">
        <v>25</v>
      </c>
      <c r="L5" s="40" t="s">
        <v>26</v>
      </c>
      <c r="M5" s="40" t="s">
        <v>27</v>
      </c>
      <c r="N5" s="40" t="s">
        <v>28</v>
      </c>
      <c r="O5" s="40" t="s">
        <v>29</v>
      </c>
      <c r="P5" s="40" t="s">
        <v>30</v>
      </c>
      <c r="Q5" s="40" t="s">
        <v>28</v>
      </c>
      <c r="R5" s="40" t="s">
        <v>31</v>
      </c>
      <c r="S5" s="40" t="s">
        <v>32</v>
      </c>
      <c r="T5" s="40" t="s">
        <v>33</v>
      </c>
      <c r="U5" s="40" t="s">
        <v>34</v>
      </c>
      <c r="V5" s="40" t="s">
        <v>35</v>
      </c>
      <c r="W5" s="40" t="s">
        <v>36</v>
      </c>
      <c r="X5" s="40" t="s">
        <v>37</v>
      </c>
      <c r="Y5" s="40" t="s">
        <v>38</v>
      </c>
      <c r="Z5" s="40" t="s">
        <v>39</v>
      </c>
      <c r="AA5" s="40" t="s">
        <v>40</v>
      </c>
      <c r="AB5" s="40" t="s">
        <v>41</v>
      </c>
      <c r="AC5" s="40" t="s">
        <v>42</v>
      </c>
      <c r="AD5" s="40" t="s">
        <v>43</v>
      </c>
      <c r="AE5" s="40" t="s">
        <v>44</v>
      </c>
      <c r="AF5" s="40" t="s">
        <v>45</v>
      </c>
      <c r="AG5" s="40" t="s">
        <v>46</v>
      </c>
      <c r="AH5" s="40" t="s">
        <v>47</v>
      </c>
      <c r="AI5" s="40" t="s">
        <v>48</v>
      </c>
      <c r="AJ5" s="40" t="s">
        <v>49</v>
      </c>
      <c r="AK5" s="40" t="s">
        <v>50</v>
      </c>
      <c r="AL5" s="40" t="s">
        <v>51</v>
      </c>
      <c r="AM5" s="40" t="s">
        <v>52</v>
      </c>
      <c r="AN5" s="40" t="s">
        <v>53</v>
      </c>
      <c r="AO5" s="40" t="s">
        <v>54</v>
      </c>
      <c r="AP5" s="40" t="s">
        <v>55</v>
      </c>
      <c r="AQ5" s="40" t="s">
        <v>56</v>
      </c>
      <c r="AR5" s="40" t="s">
        <v>57</v>
      </c>
      <c r="AS5" s="40" t="s">
        <v>58</v>
      </c>
      <c r="AT5" s="40" t="s">
        <v>59</v>
      </c>
      <c r="AU5" s="40" t="s">
        <v>60</v>
      </c>
      <c r="AV5" s="40" t="s">
        <v>61</v>
      </c>
    </row>
    <row r="6" spans="1:48" ht="22.5">
      <c r="A6" s="40">
        <v>2</v>
      </c>
      <c r="B6" s="40" t="s">
        <v>62</v>
      </c>
      <c r="C6" s="40" t="s">
        <v>63</v>
      </c>
      <c r="D6" s="40" t="s">
        <v>64</v>
      </c>
      <c r="E6" s="40" t="s">
        <v>65</v>
      </c>
      <c r="F6" s="40" t="s">
        <v>66</v>
      </c>
      <c r="G6" s="40" t="s">
        <v>67</v>
      </c>
      <c r="H6" s="40" t="s">
        <v>68</v>
      </c>
      <c r="I6" s="40" t="s">
        <v>69</v>
      </c>
      <c r="J6" s="40" t="s">
        <v>70</v>
      </c>
      <c r="K6" s="40" t="s">
        <v>71</v>
      </c>
      <c r="L6" s="40" t="s">
        <v>72</v>
      </c>
      <c r="M6" s="40" t="s">
        <v>73</v>
      </c>
      <c r="N6" s="40" t="s">
        <v>74</v>
      </c>
      <c r="O6" s="40" t="s">
        <v>75</v>
      </c>
      <c r="P6" s="40" t="s">
        <v>76</v>
      </c>
      <c r="Q6" s="40" t="s">
        <v>77</v>
      </c>
      <c r="R6" s="40" t="s">
        <v>78</v>
      </c>
      <c r="S6" s="40" t="s">
        <v>79</v>
      </c>
      <c r="T6" s="40" t="s">
        <v>80</v>
      </c>
      <c r="U6" s="40" t="s">
        <v>81</v>
      </c>
      <c r="V6" s="40" t="s">
        <v>82</v>
      </c>
      <c r="W6" s="40" t="s">
        <v>83</v>
      </c>
      <c r="X6" s="40" t="s">
        <v>84</v>
      </c>
      <c r="Y6" s="40" t="s">
        <v>85</v>
      </c>
      <c r="Z6" s="40" t="s">
        <v>86</v>
      </c>
      <c r="AA6" s="40" t="s">
        <v>87</v>
      </c>
      <c r="AB6" s="40" t="s">
        <v>88</v>
      </c>
      <c r="AC6" s="40" t="s">
        <v>89</v>
      </c>
      <c r="AD6" s="40" t="s">
        <v>90</v>
      </c>
      <c r="AE6" s="40" t="s">
        <v>91</v>
      </c>
      <c r="AF6" s="40" t="s">
        <v>61</v>
      </c>
    </row>
    <row r="7" spans="1:48" ht="22.5">
      <c r="A7" s="40">
        <v>2</v>
      </c>
      <c r="B7" s="40" t="s">
        <v>92</v>
      </c>
      <c r="C7" s="40" t="s">
        <v>93</v>
      </c>
      <c r="D7" s="40" t="s">
        <v>94</v>
      </c>
      <c r="E7" s="40" t="s">
        <v>95</v>
      </c>
      <c r="F7" s="40" t="s">
        <v>96</v>
      </c>
      <c r="G7" s="40" t="s">
        <v>97</v>
      </c>
      <c r="H7" s="40" t="s">
        <v>98</v>
      </c>
      <c r="I7" s="40" t="s">
        <v>99</v>
      </c>
      <c r="J7" s="40" t="s">
        <v>100</v>
      </c>
      <c r="K7" s="40" t="s">
        <v>101</v>
      </c>
      <c r="L7" s="40" t="s">
        <v>61</v>
      </c>
    </row>
    <row r="8" spans="1:48" ht="33.75">
      <c r="A8" s="40">
        <v>2</v>
      </c>
      <c r="B8" s="40" t="s">
        <v>102</v>
      </c>
      <c r="C8" s="40" t="s">
        <v>103</v>
      </c>
      <c r="D8" s="40" t="s">
        <v>104</v>
      </c>
      <c r="E8" s="40" t="s">
        <v>105</v>
      </c>
      <c r="F8" s="40" t="s">
        <v>106</v>
      </c>
      <c r="G8" s="40" t="s">
        <v>107</v>
      </c>
      <c r="H8" s="40" t="s">
        <v>108</v>
      </c>
      <c r="I8" s="40" t="s">
        <v>109</v>
      </c>
      <c r="J8" s="40" t="s">
        <v>110</v>
      </c>
      <c r="K8" s="40" t="s">
        <v>111</v>
      </c>
      <c r="L8" s="40" t="s">
        <v>112</v>
      </c>
      <c r="M8" s="40" t="s">
        <v>113</v>
      </c>
      <c r="N8" s="40" t="s">
        <v>114</v>
      </c>
      <c r="O8" s="40" t="s">
        <v>115</v>
      </c>
      <c r="P8" s="40" t="s">
        <v>116</v>
      </c>
      <c r="Q8" s="40" t="s">
        <v>117</v>
      </c>
      <c r="R8" s="40" t="s">
        <v>61</v>
      </c>
    </row>
    <row r="9" spans="1:48" ht="56.25">
      <c r="A9" s="40">
        <v>3</v>
      </c>
      <c r="B9" s="40" t="s">
        <v>118</v>
      </c>
      <c r="C9" s="40" t="s">
        <v>119</v>
      </c>
      <c r="D9" s="40" t="s">
        <v>120</v>
      </c>
      <c r="E9" s="40" t="s">
        <v>121</v>
      </c>
    </row>
    <row r="10" spans="1:48">
      <c r="A10" s="40"/>
      <c r="B10" s="40"/>
      <c r="C10" s="42">
        <v>1</v>
      </c>
      <c r="D10" s="42">
        <v>3</v>
      </c>
      <c r="E10" s="42">
        <v>5</v>
      </c>
    </row>
    <row r="11" spans="1:48" ht="78.75">
      <c r="A11" s="40">
        <v>3</v>
      </c>
      <c r="B11" s="40" t="s">
        <v>122</v>
      </c>
      <c r="C11" s="40" t="s">
        <v>123</v>
      </c>
      <c r="D11" s="40" t="s">
        <v>124</v>
      </c>
      <c r="E11" s="40" t="s">
        <v>125</v>
      </c>
      <c r="F11" s="40" t="s">
        <v>126</v>
      </c>
    </row>
    <row r="12" spans="1:48">
      <c r="A12" s="40"/>
      <c r="B12" s="40"/>
      <c r="C12" s="40">
        <v>1</v>
      </c>
      <c r="D12" s="40">
        <v>2</v>
      </c>
      <c r="E12" s="40">
        <v>3</v>
      </c>
      <c r="F12" s="40">
        <v>4</v>
      </c>
    </row>
    <row r="13" spans="1:48" ht="78.75">
      <c r="A13" s="40">
        <v>3</v>
      </c>
      <c r="B13" s="40" t="s">
        <v>127</v>
      </c>
      <c r="C13" s="40" t="s">
        <v>128</v>
      </c>
      <c r="D13" s="40" t="s">
        <v>129</v>
      </c>
      <c r="E13" s="40" t="s">
        <v>130</v>
      </c>
    </row>
    <row r="14" spans="1:48">
      <c r="A14" s="40"/>
      <c r="B14" s="40"/>
      <c r="C14" s="40">
        <v>1</v>
      </c>
      <c r="D14" s="40">
        <v>3</v>
      </c>
      <c r="E14" s="40">
        <v>5</v>
      </c>
    </row>
    <row r="15" spans="1:48" ht="78.75">
      <c r="A15" s="40">
        <v>3</v>
      </c>
      <c r="B15" s="40" t="s">
        <v>131</v>
      </c>
      <c r="C15" s="40" t="s">
        <v>132</v>
      </c>
      <c r="D15" s="40" t="s">
        <v>133</v>
      </c>
      <c r="E15" s="40" t="s">
        <v>134</v>
      </c>
    </row>
    <row r="16" spans="1:48">
      <c r="A16" s="40"/>
      <c r="B16" s="40"/>
      <c r="C16" s="40">
        <v>1</v>
      </c>
      <c r="D16" s="40">
        <v>3</v>
      </c>
      <c r="E16" s="40">
        <v>5</v>
      </c>
    </row>
    <row r="17" spans="1:9" ht="67.5">
      <c r="A17" s="40">
        <v>3</v>
      </c>
      <c r="B17" s="40" t="s">
        <v>135</v>
      </c>
      <c r="C17" s="40" t="s">
        <v>136</v>
      </c>
      <c r="D17" s="40" t="s">
        <v>137</v>
      </c>
      <c r="E17" s="40" t="s">
        <v>138</v>
      </c>
    </row>
    <row r="18" spans="1:9">
      <c r="A18" s="40"/>
      <c r="B18" s="40"/>
      <c r="C18" s="40">
        <v>1</v>
      </c>
      <c r="D18" s="40">
        <v>3</v>
      </c>
      <c r="E18" s="40">
        <v>5</v>
      </c>
      <c r="F18" s="40"/>
      <c r="G18" s="40"/>
      <c r="H18" s="40"/>
    </row>
    <row r="19" spans="1:9" ht="22.5">
      <c r="A19" s="40">
        <v>4</v>
      </c>
      <c r="B19" s="40" t="s">
        <v>139</v>
      </c>
      <c r="C19" s="40" t="s">
        <v>140</v>
      </c>
      <c r="D19" s="40" t="s">
        <v>141</v>
      </c>
      <c r="E19" s="40" t="s">
        <v>142</v>
      </c>
      <c r="F19" s="40" t="s">
        <v>143</v>
      </c>
      <c r="G19" s="40" t="s">
        <v>144</v>
      </c>
      <c r="H19" s="40" t="s">
        <v>145</v>
      </c>
      <c r="I19" s="40" t="s">
        <v>146</v>
      </c>
    </row>
    <row r="20" spans="1:9">
      <c r="A20" s="40"/>
      <c r="B20" s="40"/>
      <c r="C20" s="40">
        <v>1</v>
      </c>
      <c r="D20" s="40">
        <v>2</v>
      </c>
      <c r="E20" s="40">
        <v>3</v>
      </c>
      <c r="F20" s="40">
        <v>4</v>
      </c>
      <c r="G20" s="40">
        <v>5</v>
      </c>
      <c r="H20" s="40">
        <v>6</v>
      </c>
      <c r="I20" s="40">
        <v>7</v>
      </c>
    </row>
    <row r="21" spans="1:9" ht="45">
      <c r="A21" s="40">
        <v>5</v>
      </c>
      <c r="B21" s="40" t="s">
        <v>147</v>
      </c>
      <c r="C21" s="40" t="s">
        <v>148</v>
      </c>
      <c r="D21" s="40" t="s">
        <v>149</v>
      </c>
      <c r="E21" s="40" t="s">
        <v>150</v>
      </c>
      <c r="F21" s="40" t="s">
        <v>151</v>
      </c>
      <c r="G21" s="40" t="s">
        <v>152</v>
      </c>
      <c r="H21" s="40" t="s">
        <v>153</v>
      </c>
    </row>
    <row r="22" spans="1:9">
      <c r="A22" s="40"/>
      <c r="B22" s="40"/>
      <c r="C22" s="40">
        <v>5</v>
      </c>
      <c r="D22" s="40">
        <v>4</v>
      </c>
      <c r="E22" s="40">
        <v>3</v>
      </c>
      <c r="F22" s="40">
        <v>5</v>
      </c>
      <c r="G22" s="40">
        <v>4</v>
      </c>
      <c r="H22" s="40">
        <v>3</v>
      </c>
    </row>
    <row r="23" spans="1:9" ht="33.75">
      <c r="A23" s="40">
        <v>5</v>
      </c>
      <c r="B23" s="40" t="s">
        <v>154</v>
      </c>
      <c r="C23" s="40" t="s">
        <v>155</v>
      </c>
      <c r="D23" s="40" t="s">
        <v>156</v>
      </c>
      <c r="E23" s="40" t="s">
        <v>157</v>
      </c>
      <c r="F23" s="40" t="s">
        <v>158</v>
      </c>
      <c r="G23" s="40" t="s">
        <v>159</v>
      </c>
    </row>
    <row r="24" spans="1:9">
      <c r="A24" s="40"/>
      <c r="B24" s="40"/>
      <c r="C24" s="40">
        <v>5</v>
      </c>
      <c r="D24" s="40">
        <v>4</v>
      </c>
      <c r="E24" s="40">
        <v>3</v>
      </c>
      <c r="F24" s="40">
        <v>2</v>
      </c>
      <c r="G24" s="40">
        <v>1</v>
      </c>
    </row>
    <row r="25" spans="1:9" ht="33.75">
      <c r="A25" s="40">
        <v>5</v>
      </c>
      <c r="B25" s="43" t="s">
        <v>160</v>
      </c>
      <c r="C25" s="40" t="s">
        <v>161</v>
      </c>
      <c r="D25" s="40" t="s">
        <v>162</v>
      </c>
      <c r="E25" s="40" t="s">
        <v>163</v>
      </c>
      <c r="F25" s="40" t="s">
        <v>164</v>
      </c>
      <c r="G25" s="40" t="s">
        <v>165</v>
      </c>
    </row>
    <row r="26" spans="1:9">
      <c r="A26" s="40"/>
      <c r="B26" s="40"/>
      <c r="C26" s="40">
        <v>5</v>
      </c>
      <c r="D26" s="40">
        <v>4</v>
      </c>
      <c r="E26" s="40">
        <v>3</v>
      </c>
      <c r="F26" s="40">
        <v>2</v>
      </c>
      <c r="G26" s="40">
        <v>1</v>
      </c>
    </row>
    <row r="27" spans="1:9" ht="33.75">
      <c r="A27" s="40">
        <v>5</v>
      </c>
      <c r="B27" s="43" t="s">
        <v>166</v>
      </c>
      <c r="C27" s="40" t="s">
        <v>167</v>
      </c>
      <c r="D27" s="40" t="s">
        <v>168</v>
      </c>
      <c r="E27" s="40" t="s">
        <v>169</v>
      </c>
      <c r="F27" s="40" t="s">
        <v>170</v>
      </c>
      <c r="G27" s="40" t="s">
        <v>171</v>
      </c>
    </row>
    <row r="28" spans="1:9">
      <c r="A28" s="40"/>
      <c r="B28" s="40"/>
      <c r="C28" s="40">
        <v>5</v>
      </c>
      <c r="D28" s="40">
        <v>4</v>
      </c>
      <c r="E28" s="40">
        <v>3</v>
      </c>
      <c r="F28" s="40">
        <v>2</v>
      </c>
      <c r="G28" s="40">
        <v>1</v>
      </c>
    </row>
    <row r="29" spans="1:9" ht="56.25">
      <c r="A29" s="40">
        <v>5</v>
      </c>
      <c r="B29" s="43" t="s">
        <v>172</v>
      </c>
      <c r="C29" s="40" t="s">
        <v>173</v>
      </c>
      <c r="D29" s="40" t="s">
        <v>174</v>
      </c>
      <c r="E29" s="40" t="s">
        <v>175</v>
      </c>
    </row>
    <row r="30" spans="1:9">
      <c r="A30" s="40"/>
      <c r="B30" s="43"/>
      <c r="C30" s="40">
        <v>3</v>
      </c>
      <c r="D30" s="40">
        <v>1</v>
      </c>
      <c r="E30" s="40">
        <v>5</v>
      </c>
    </row>
    <row r="31" spans="1:9" ht="33.75">
      <c r="A31" s="40">
        <v>5</v>
      </c>
      <c r="B31" s="43" t="s">
        <v>176</v>
      </c>
      <c r="C31" s="40" t="s">
        <v>177</v>
      </c>
      <c r="D31" s="40" t="s">
        <v>178</v>
      </c>
      <c r="E31" s="40" t="s">
        <v>179</v>
      </c>
      <c r="F31" s="40" t="s">
        <v>180</v>
      </c>
    </row>
    <row r="32" spans="1:9">
      <c r="A32" s="40"/>
      <c r="B32" s="43"/>
      <c r="C32" s="40">
        <v>5</v>
      </c>
      <c r="D32" s="40">
        <v>4</v>
      </c>
      <c r="E32" s="40">
        <v>3</v>
      </c>
      <c r="F32" s="40">
        <v>1</v>
      </c>
    </row>
    <row r="33" spans="1:9" ht="45">
      <c r="A33" s="40">
        <v>5</v>
      </c>
      <c r="B33" s="43" t="s">
        <v>181</v>
      </c>
      <c r="C33" s="40" t="s">
        <v>182</v>
      </c>
      <c r="D33" s="40" t="s">
        <v>183</v>
      </c>
      <c r="E33" s="40" t="s">
        <v>184</v>
      </c>
      <c r="F33" s="40" t="s">
        <v>185</v>
      </c>
      <c r="G33" s="40" t="s">
        <v>186</v>
      </c>
    </row>
    <row r="34" spans="1:9">
      <c r="A34" s="40"/>
      <c r="B34" s="43"/>
      <c r="C34" s="40">
        <v>5</v>
      </c>
      <c r="D34" s="40">
        <v>4</v>
      </c>
      <c r="E34" s="40">
        <v>3</v>
      </c>
      <c r="F34" s="40">
        <v>2</v>
      </c>
      <c r="G34" s="40">
        <v>1</v>
      </c>
    </row>
    <row r="35" spans="1:9" ht="45">
      <c r="A35" s="40">
        <v>6</v>
      </c>
      <c r="B35" s="40" t="s">
        <v>187</v>
      </c>
      <c r="C35" s="40" t="s">
        <v>188</v>
      </c>
      <c r="D35" s="40" t="s">
        <v>189</v>
      </c>
      <c r="E35" s="40" t="s">
        <v>190</v>
      </c>
      <c r="F35" s="40" t="s">
        <v>191</v>
      </c>
      <c r="G35" s="40" t="s">
        <v>192</v>
      </c>
    </row>
    <row r="36" spans="1:9">
      <c r="A36" s="40"/>
      <c r="B36" s="40" t="s">
        <v>193</v>
      </c>
      <c r="C36" s="40">
        <v>1</v>
      </c>
      <c r="D36" s="40">
        <v>2</v>
      </c>
      <c r="E36" s="40">
        <v>3</v>
      </c>
      <c r="F36" s="40">
        <v>4</v>
      </c>
      <c r="G36" s="40">
        <v>5</v>
      </c>
    </row>
    <row r="37" spans="1:9" ht="45">
      <c r="A37" s="40">
        <v>6</v>
      </c>
      <c r="B37" s="40" t="s">
        <v>194</v>
      </c>
      <c r="C37" s="40" t="s">
        <v>195</v>
      </c>
      <c r="D37" s="40" t="s">
        <v>196</v>
      </c>
      <c r="E37" s="40" t="s">
        <v>197</v>
      </c>
      <c r="F37" s="40" t="s">
        <v>198</v>
      </c>
      <c r="G37" s="40" t="s">
        <v>199</v>
      </c>
      <c r="H37" s="40" t="s">
        <v>200</v>
      </c>
      <c r="I37" s="40" t="s">
        <v>201</v>
      </c>
    </row>
    <row r="38" spans="1:9">
      <c r="A38" s="40"/>
      <c r="B38" s="40" t="s">
        <v>193</v>
      </c>
      <c r="C38" s="40">
        <v>1</v>
      </c>
      <c r="D38" s="40">
        <v>4</v>
      </c>
      <c r="E38" s="40">
        <v>2</v>
      </c>
      <c r="F38" s="40">
        <v>2</v>
      </c>
      <c r="G38" s="40">
        <v>5</v>
      </c>
      <c r="H38" s="40">
        <v>3</v>
      </c>
      <c r="I38" s="40">
        <v>1</v>
      </c>
    </row>
    <row r="39" spans="1:9" ht="78.75">
      <c r="A39" s="40">
        <v>6</v>
      </c>
      <c r="B39" s="40" t="s">
        <v>202</v>
      </c>
      <c r="C39" s="40" t="s">
        <v>203</v>
      </c>
      <c r="D39" s="40" t="s">
        <v>204</v>
      </c>
      <c r="E39" s="40" t="s">
        <v>205</v>
      </c>
      <c r="F39" s="40" t="s">
        <v>206</v>
      </c>
      <c r="G39" s="40" t="s">
        <v>207</v>
      </c>
    </row>
    <row r="40" spans="1:9">
      <c r="A40" s="40"/>
      <c r="B40" s="40" t="s">
        <v>193</v>
      </c>
      <c r="C40" s="40">
        <v>5</v>
      </c>
      <c r="D40" s="40">
        <v>4</v>
      </c>
      <c r="E40" s="40">
        <v>3</v>
      </c>
      <c r="F40" s="40">
        <v>2</v>
      </c>
      <c r="G40" s="40">
        <v>1</v>
      </c>
    </row>
    <row r="41" spans="1:9" ht="45">
      <c r="A41" s="40">
        <v>6</v>
      </c>
      <c r="B41" s="40" t="s">
        <v>208</v>
      </c>
      <c r="C41" s="40" t="s">
        <v>209</v>
      </c>
      <c r="D41" s="40" t="s">
        <v>210</v>
      </c>
      <c r="E41" s="40" t="s">
        <v>211</v>
      </c>
      <c r="F41" s="40" t="s">
        <v>212</v>
      </c>
    </row>
    <row r="42" spans="1:9">
      <c r="A42" s="40"/>
      <c r="B42" s="40" t="s">
        <v>193</v>
      </c>
      <c r="C42" s="40">
        <v>2</v>
      </c>
      <c r="D42" s="40">
        <v>3</v>
      </c>
      <c r="E42" s="40">
        <v>5</v>
      </c>
      <c r="F42" s="40">
        <v>1</v>
      </c>
    </row>
    <row r="43" spans="1:9" ht="45">
      <c r="A43" s="40">
        <v>6</v>
      </c>
      <c r="B43" s="40" t="s">
        <v>213</v>
      </c>
      <c r="C43" s="40" t="s">
        <v>209</v>
      </c>
      <c r="D43" s="40" t="s">
        <v>210</v>
      </c>
      <c r="E43" s="40" t="s">
        <v>211</v>
      </c>
      <c r="F43" s="40" t="s">
        <v>212</v>
      </c>
    </row>
    <row r="44" spans="1:9">
      <c r="A44" s="40"/>
      <c r="B44" s="40" t="s">
        <v>193</v>
      </c>
      <c r="C44" s="40">
        <v>2</v>
      </c>
      <c r="D44" s="40">
        <v>3</v>
      </c>
      <c r="E44" s="40">
        <v>5</v>
      </c>
      <c r="F44" s="40">
        <v>1</v>
      </c>
    </row>
    <row r="45" spans="1:9" ht="56.25">
      <c r="A45" s="40">
        <v>6</v>
      </c>
      <c r="B45" s="40" t="s">
        <v>214</v>
      </c>
      <c r="C45" s="40" t="s">
        <v>215</v>
      </c>
      <c r="D45" s="40" t="s">
        <v>216</v>
      </c>
      <c r="E45" s="40" t="s">
        <v>217</v>
      </c>
      <c r="F45" s="40" t="s">
        <v>218</v>
      </c>
    </row>
    <row r="46" spans="1:9">
      <c r="A46" s="40"/>
      <c r="B46" s="40" t="s">
        <v>193</v>
      </c>
      <c r="C46" s="40">
        <v>5</v>
      </c>
      <c r="D46" s="40">
        <v>4</v>
      </c>
      <c r="E46" s="40">
        <v>3</v>
      </c>
      <c r="F46" s="40">
        <v>1</v>
      </c>
    </row>
    <row r="47" spans="1:9" ht="56.25">
      <c r="A47" s="40">
        <v>7</v>
      </c>
      <c r="B47" s="40" t="s">
        <v>219</v>
      </c>
      <c r="C47" s="40" t="s">
        <v>220</v>
      </c>
      <c r="D47" s="40" t="s">
        <v>221</v>
      </c>
      <c r="E47" s="40" t="s">
        <v>222</v>
      </c>
      <c r="F47" s="40" t="s">
        <v>223</v>
      </c>
    </row>
    <row r="48" spans="1:9">
      <c r="A48" s="40"/>
      <c r="B48" s="40" t="s">
        <v>193</v>
      </c>
      <c r="C48" s="40">
        <v>1</v>
      </c>
      <c r="D48" s="40">
        <v>4</v>
      </c>
      <c r="E48" s="40">
        <v>5</v>
      </c>
      <c r="F48" s="40">
        <v>3</v>
      </c>
    </row>
    <row r="49" spans="1:7" ht="67.5">
      <c r="A49" s="40">
        <v>7</v>
      </c>
      <c r="B49" s="40" t="s">
        <v>224</v>
      </c>
      <c r="C49" s="40" t="s">
        <v>225</v>
      </c>
      <c r="D49" s="40" t="s">
        <v>226</v>
      </c>
      <c r="E49" s="40" t="s">
        <v>227</v>
      </c>
      <c r="F49" s="40" t="s">
        <v>228</v>
      </c>
    </row>
    <row r="50" spans="1:7">
      <c r="A50" s="40"/>
      <c r="B50" s="40" t="s">
        <v>193</v>
      </c>
      <c r="C50" s="40">
        <v>5</v>
      </c>
      <c r="D50" s="40">
        <v>4</v>
      </c>
      <c r="E50" s="40">
        <v>2</v>
      </c>
      <c r="F50" s="40">
        <v>1</v>
      </c>
    </row>
    <row r="51" spans="1:7" ht="56.25">
      <c r="A51" s="40">
        <v>7</v>
      </c>
      <c r="B51" s="40" t="s">
        <v>229</v>
      </c>
      <c r="C51" s="40" t="s">
        <v>230</v>
      </c>
      <c r="D51" s="40" t="s">
        <v>231</v>
      </c>
      <c r="E51" s="40" t="s">
        <v>232</v>
      </c>
      <c r="F51" s="40" t="s">
        <v>233</v>
      </c>
      <c r="G51" s="40" t="s">
        <v>234</v>
      </c>
    </row>
    <row r="52" spans="1:7">
      <c r="A52" s="40"/>
      <c r="B52" s="40" t="s">
        <v>193</v>
      </c>
      <c r="C52" s="40">
        <v>1</v>
      </c>
      <c r="D52" s="40">
        <v>4</v>
      </c>
      <c r="E52" s="40">
        <v>5</v>
      </c>
      <c r="F52" s="40">
        <v>2</v>
      </c>
      <c r="G52" s="40">
        <v>3</v>
      </c>
    </row>
    <row r="53" spans="1:7" ht="78.75">
      <c r="A53" s="40">
        <v>7</v>
      </c>
      <c r="B53" s="40" t="s">
        <v>235</v>
      </c>
      <c r="C53" s="40" t="s">
        <v>236</v>
      </c>
      <c r="D53" s="40" t="s">
        <v>237</v>
      </c>
      <c r="E53" s="40" t="s">
        <v>238</v>
      </c>
      <c r="F53" s="40" t="s">
        <v>239</v>
      </c>
      <c r="G53" s="40" t="s">
        <v>240</v>
      </c>
    </row>
    <row r="54" spans="1:7">
      <c r="A54" s="40"/>
      <c r="B54" s="40" t="s">
        <v>193</v>
      </c>
      <c r="C54" s="40">
        <v>5</v>
      </c>
      <c r="D54" s="40">
        <v>4</v>
      </c>
      <c r="E54" s="40">
        <v>3</v>
      </c>
      <c r="F54" s="40">
        <v>2</v>
      </c>
      <c r="G54" s="40">
        <v>1</v>
      </c>
    </row>
    <row r="55" spans="1:7" ht="56.25">
      <c r="A55" s="40">
        <v>7</v>
      </c>
      <c r="B55" s="40" t="s">
        <v>241</v>
      </c>
      <c r="C55" s="40" t="s">
        <v>242</v>
      </c>
      <c r="D55" s="40" t="s">
        <v>243</v>
      </c>
      <c r="E55" s="40" t="s">
        <v>244</v>
      </c>
    </row>
    <row r="56" spans="1:7">
      <c r="A56" s="40"/>
      <c r="B56" s="40"/>
      <c r="C56" s="40">
        <v>3</v>
      </c>
      <c r="D56" s="40">
        <v>5</v>
      </c>
      <c r="E56" s="40">
        <v>1</v>
      </c>
    </row>
    <row r="57" spans="1:7" ht="67.5">
      <c r="A57" s="40">
        <v>8</v>
      </c>
      <c r="B57" s="40" t="s">
        <v>245</v>
      </c>
      <c r="C57" s="40" t="s">
        <v>246</v>
      </c>
      <c r="D57" s="40" t="s">
        <v>247</v>
      </c>
      <c r="E57" s="40" t="s">
        <v>248</v>
      </c>
    </row>
    <row r="58" spans="1:7">
      <c r="A58" s="40"/>
      <c r="B58" s="40" t="s">
        <v>193</v>
      </c>
      <c r="C58" s="40">
        <v>3</v>
      </c>
      <c r="D58" s="40">
        <v>5</v>
      </c>
      <c r="E58" s="40">
        <v>1</v>
      </c>
    </row>
    <row r="59" spans="1:7" ht="56.25">
      <c r="A59" s="40">
        <v>8</v>
      </c>
      <c r="B59" s="40" t="s">
        <v>249</v>
      </c>
      <c r="C59" s="40" t="s">
        <v>250</v>
      </c>
      <c r="D59" s="40" t="s">
        <v>251</v>
      </c>
      <c r="E59" s="40" t="s">
        <v>252</v>
      </c>
    </row>
    <row r="60" spans="1:7">
      <c r="A60" s="40"/>
      <c r="B60" s="40" t="s">
        <v>193</v>
      </c>
      <c r="C60" s="40">
        <v>1</v>
      </c>
      <c r="D60" s="40">
        <v>5</v>
      </c>
      <c r="E60" s="40">
        <v>3</v>
      </c>
    </row>
    <row r="61" spans="1:7" ht="56.25">
      <c r="A61" s="40">
        <v>8</v>
      </c>
      <c r="B61" s="40" t="s">
        <v>253</v>
      </c>
      <c r="C61" s="40" t="s">
        <v>254</v>
      </c>
      <c r="D61" s="40" t="s">
        <v>255</v>
      </c>
      <c r="E61" s="40" t="s">
        <v>256</v>
      </c>
    </row>
    <row r="62" spans="1:7">
      <c r="A62" s="40"/>
      <c r="B62" s="40" t="s">
        <v>193</v>
      </c>
      <c r="C62" s="40">
        <v>1</v>
      </c>
      <c r="D62" s="40">
        <v>3</v>
      </c>
      <c r="E62" s="40">
        <v>5</v>
      </c>
    </row>
    <row r="63" spans="1:7" ht="56.25">
      <c r="A63" s="40">
        <v>8</v>
      </c>
      <c r="B63" s="40" t="s">
        <v>257</v>
      </c>
      <c r="C63" s="40" t="s">
        <v>258</v>
      </c>
      <c r="D63" s="40" t="s">
        <v>259</v>
      </c>
      <c r="E63" s="40" t="s">
        <v>260</v>
      </c>
    </row>
    <row r="64" spans="1:7">
      <c r="A64" s="40"/>
      <c r="B64" s="40" t="s">
        <v>193</v>
      </c>
      <c r="C64" s="40">
        <v>1</v>
      </c>
      <c r="D64" s="40">
        <v>3</v>
      </c>
      <c r="E64" s="40">
        <v>5</v>
      </c>
    </row>
    <row r="65" spans="1:7" ht="56.25">
      <c r="A65" s="40">
        <v>8</v>
      </c>
      <c r="B65" s="40" t="s">
        <v>261</v>
      </c>
      <c r="C65" s="40" t="s">
        <v>262</v>
      </c>
      <c r="D65" s="40" t="s">
        <v>263</v>
      </c>
      <c r="E65" s="40" t="s">
        <v>264</v>
      </c>
    </row>
    <row r="66" spans="1:7">
      <c r="A66" s="40"/>
      <c r="B66" s="40"/>
      <c r="C66" s="40">
        <v>3</v>
      </c>
      <c r="D66" s="40">
        <v>5</v>
      </c>
      <c r="E66" s="40">
        <v>1</v>
      </c>
    </row>
    <row r="67" spans="1:7" ht="45">
      <c r="A67" s="40">
        <v>8</v>
      </c>
      <c r="B67" s="40" t="s">
        <v>265</v>
      </c>
      <c r="C67" s="40" t="s">
        <v>266</v>
      </c>
      <c r="D67" s="40" t="s">
        <v>267</v>
      </c>
      <c r="E67" s="40" t="s">
        <v>268</v>
      </c>
      <c r="F67" s="40" t="s">
        <v>269</v>
      </c>
    </row>
    <row r="68" spans="1:7">
      <c r="A68" s="40"/>
      <c r="B68" s="40" t="s">
        <v>193</v>
      </c>
      <c r="C68" s="40">
        <v>5</v>
      </c>
      <c r="D68" s="40">
        <v>4</v>
      </c>
      <c r="E68" s="40">
        <v>4</v>
      </c>
      <c r="F68" s="40">
        <v>1</v>
      </c>
    </row>
    <row r="69" spans="1:7" ht="33.75">
      <c r="A69" s="40">
        <v>9</v>
      </c>
      <c r="B69" s="40" t="s">
        <v>270</v>
      </c>
      <c r="C69" s="40" t="s">
        <v>271</v>
      </c>
      <c r="D69" s="40" t="s">
        <v>272</v>
      </c>
      <c r="E69" s="40" t="s">
        <v>273</v>
      </c>
      <c r="F69" s="40" t="s">
        <v>274</v>
      </c>
    </row>
    <row r="70" spans="1:7">
      <c r="A70" s="40"/>
      <c r="B70" s="40" t="s">
        <v>193</v>
      </c>
      <c r="C70" s="40">
        <v>5</v>
      </c>
      <c r="D70" s="40">
        <v>4</v>
      </c>
      <c r="E70" s="40">
        <v>3</v>
      </c>
      <c r="F70" s="40">
        <v>1</v>
      </c>
    </row>
    <row r="71" spans="1:7" ht="33.75">
      <c r="A71" s="40">
        <v>9</v>
      </c>
      <c r="B71" s="40" t="s">
        <v>275</v>
      </c>
      <c r="C71" s="40" t="s">
        <v>276</v>
      </c>
      <c r="D71" s="40" t="s">
        <v>277</v>
      </c>
      <c r="E71" s="40" t="s">
        <v>278</v>
      </c>
      <c r="F71" s="40" t="s">
        <v>279</v>
      </c>
      <c r="G71" s="40" t="s">
        <v>280</v>
      </c>
    </row>
    <row r="72" spans="1:7">
      <c r="A72" s="40"/>
      <c r="B72" s="40" t="s">
        <v>193</v>
      </c>
      <c r="C72" s="40">
        <v>5</v>
      </c>
      <c r="D72" s="40">
        <v>3</v>
      </c>
      <c r="E72" s="40">
        <v>3</v>
      </c>
      <c r="F72" s="40">
        <v>4</v>
      </c>
      <c r="G72" s="40">
        <v>1</v>
      </c>
    </row>
    <row r="73" spans="1:7" ht="45">
      <c r="A73" s="40">
        <v>9</v>
      </c>
      <c r="B73" s="40" t="s">
        <v>281</v>
      </c>
      <c r="C73" s="40" t="s">
        <v>282</v>
      </c>
      <c r="D73" s="40" t="s">
        <v>283</v>
      </c>
      <c r="E73" s="40" t="s">
        <v>284</v>
      </c>
      <c r="F73" s="40" t="s">
        <v>285</v>
      </c>
      <c r="G73" s="40" t="s">
        <v>286</v>
      </c>
    </row>
    <row r="74" spans="1:7">
      <c r="A74" s="40"/>
      <c r="B74" s="40" t="s">
        <v>193</v>
      </c>
      <c r="C74" s="40">
        <v>5</v>
      </c>
      <c r="D74" s="40">
        <v>4</v>
      </c>
      <c r="E74" s="40">
        <v>3</v>
      </c>
      <c r="F74" s="40">
        <v>3</v>
      </c>
      <c r="G74" s="40">
        <v>1</v>
      </c>
    </row>
    <row r="75" spans="1:7" ht="56.25">
      <c r="A75" s="40">
        <v>9</v>
      </c>
      <c r="B75" s="40" t="s">
        <v>287</v>
      </c>
      <c r="C75" s="40" t="s">
        <v>288</v>
      </c>
      <c r="D75" s="40" t="s">
        <v>289</v>
      </c>
      <c r="E75" s="40" t="s">
        <v>290</v>
      </c>
      <c r="F75" s="40" t="s">
        <v>291</v>
      </c>
    </row>
    <row r="76" spans="1:7">
      <c r="A76" s="40"/>
      <c r="B76" s="40" t="s">
        <v>193</v>
      </c>
      <c r="C76" s="40">
        <v>5</v>
      </c>
      <c r="D76" s="40">
        <v>4</v>
      </c>
      <c r="E76" s="40">
        <v>2</v>
      </c>
      <c r="F76" s="40">
        <v>1</v>
      </c>
    </row>
    <row r="77" spans="1:7" ht="67.5">
      <c r="A77" s="40">
        <v>9</v>
      </c>
      <c r="B77" s="40" t="s">
        <v>292</v>
      </c>
      <c r="C77" s="40" t="s">
        <v>293</v>
      </c>
      <c r="D77" s="40" t="s">
        <v>294</v>
      </c>
      <c r="E77" s="40" t="s">
        <v>295</v>
      </c>
      <c r="F77" s="40" t="s">
        <v>296</v>
      </c>
    </row>
    <row r="78" spans="1:7">
      <c r="A78" s="40"/>
      <c r="B78" s="40"/>
      <c r="C78" s="40">
        <v>2</v>
      </c>
      <c r="D78" s="40">
        <v>4</v>
      </c>
      <c r="E78" s="40">
        <v>5</v>
      </c>
      <c r="F78" s="40">
        <v>1</v>
      </c>
    </row>
    <row r="79" spans="1:7" ht="45">
      <c r="A79" s="40">
        <v>9</v>
      </c>
      <c r="B79" s="40" t="s">
        <v>297</v>
      </c>
      <c r="C79" s="40" t="s">
        <v>298</v>
      </c>
      <c r="D79" s="40" t="s">
        <v>299</v>
      </c>
      <c r="E79" s="40" t="s">
        <v>300</v>
      </c>
      <c r="F79" s="40" t="s">
        <v>301</v>
      </c>
    </row>
    <row r="80" spans="1:7">
      <c r="A80" s="40"/>
      <c r="B80" s="40" t="s">
        <v>193</v>
      </c>
      <c r="C80" s="40">
        <v>5</v>
      </c>
      <c r="D80" s="40">
        <v>3</v>
      </c>
      <c r="E80" s="40">
        <v>3</v>
      </c>
      <c r="F80" s="40">
        <v>1</v>
      </c>
    </row>
    <row r="81" spans="1:8" ht="33.75">
      <c r="A81" s="40">
        <v>10</v>
      </c>
      <c r="B81" s="40" t="s">
        <v>302</v>
      </c>
      <c r="C81" s="40" t="s">
        <v>303</v>
      </c>
      <c r="D81" s="40" t="s">
        <v>304</v>
      </c>
      <c r="E81" s="40" t="s">
        <v>305</v>
      </c>
      <c r="F81" s="40" t="s">
        <v>306</v>
      </c>
      <c r="G81" s="40" t="s">
        <v>307</v>
      </c>
    </row>
    <row r="82" spans="1:8">
      <c r="A82" s="40"/>
      <c r="B82" s="40" t="s">
        <v>193</v>
      </c>
      <c r="C82" s="40">
        <v>5</v>
      </c>
      <c r="D82" s="40">
        <v>3</v>
      </c>
      <c r="E82" s="40">
        <v>3</v>
      </c>
      <c r="F82" s="40">
        <v>4</v>
      </c>
      <c r="G82" s="40">
        <v>1</v>
      </c>
    </row>
    <row r="83" spans="1:8" ht="33.75">
      <c r="A83" s="40">
        <v>10</v>
      </c>
      <c r="B83" s="40" t="s">
        <v>308</v>
      </c>
      <c r="C83" s="40" t="s">
        <v>309</v>
      </c>
      <c r="D83" s="40" t="s">
        <v>310</v>
      </c>
      <c r="E83" s="40" t="s">
        <v>311</v>
      </c>
      <c r="F83" s="40" t="s">
        <v>312</v>
      </c>
      <c r="G83" s="40" t="s">
        <v>313</v>
      </c>
    </row>
    <row r="84" spans="1:8">
      <c r="A84" s="40"/>
      <c r="B84" s="40" t="s">
        <v>193</v>
      </c>
      <c r="C84" s="40">
        <v>5</v>
      </c>
      <c r="D84" s="40">
        <v>5</v>
      </c>
      <c r="E84" s="40">
        <v>5</v>
      </c>
      <c r="F84" s="40">
        <v>5</v>
      </c>
      <c r="G84" s="40">
        <v>1</v>
      </c>
    </row>
    <row r="85" spans="1:8" ht="33.75">
      <c r="A85" s="40">
        <v>10</v>
      </c>
      <c r="B85" s="40" t="s">
        <v>314</v>
      </c>
      <c r="C85" s="40" t="s">
        <v>315</v>
      </c>
      <c r="D85" s="40" t="s">
        <v>316</v>
      </c>
      <c r="E85" s="40" t="s">
        <v>317</v>
      </c>
      <c r="F85" s="40" t="s">
        <v>318</v>
      </c>
      <c r="G85" s="40" t="s">
        <v>319</v>
      </c>
      <c r="H85" s="40" t="s">
        <v>320</v>
      </c>
    </row>
    <row r="86" spans="1:8">
      <c r="A86" s="40"/>
      <c r="B86" s="40" t="s">
        <v>193</v>
      </c>
      <c r="C86" s="40">
        <v>5</v>
      </c>
      <c r="D86" s="40">
        <v>3</v>
      </c>
      <c r="E86" s="40">
        <v>3</v>
      </c>
      <c r="F86" s="40">
        <v>4</v>
      </c>
      <c r="G86" s="40">
        <v>1</v>
      </c>
      <c r="H86" s="40">
        <v>2</v>
      </c>
    </row>
    <row r="87" spans="1:8" ht="45">
      <c r="A87" s="40">
        <v>10</v>
      </c>
      <c r="B87" s="40" t="s">
        <v>321</v>
      </c>
      <c r="C87" s="40" t="s">
        <v>322</v>
      </c>
      <c r="D87" s="40" t="s">
        <v>323</v>
      </c>
      <c r="E87" s="40" t="s">
        <v>324</v>
      </c>
      <c r="F87" s="40" t="s">
        <v>325</v>
      </c>
    </row>
    <row r="88" spans="1:8">
      <c r="A88" s="40"/>
      <c r="B88" s="40" t="s">
        <v>193</v>
      </c>
      <c r="C88" s="40">
        <v>5</v>
      </c>
      <c r="D88" s="40">
        <v>4</v>
      </c>
      <c r="E88" s="40">
        <v>3</v>
      </c>
      <c r="F88" s="40">
        <v>2</v>
      </c>
    </row>
    <row r="89" spans="1:8" ht="33.75">
      <c r="A89" s="40">
        <v>10</v>
      </c>
      <c r="B89" s="40" t="s">
        <v>326</v>
      </c>
      <c r="C89" s="40" t="s">
        <v>327</v>
      </c>
      <c r="D89" s="40" t="s">
        <v>328</v>
      </c>
      <c r="E89" s="40" t="s">
        <v>329</v>
      </c>
    </row>
    <row r="90" spans="1:8">
      <c r="A90" s="40"/>
      <c r="B90" s="40" t="s">
        <v>193</v>
      </c>
      <c r="C90" s="40">
        <v>5</v>
      </c>
      <c r="D90" s="40">
        <v>3</v>
      </c>
      <c r="E90" s="40">
        <v>1</v>
      </c>
    </row>
    <row r="91" spans="1:8" ht="56.25">
      <c r="A91" s="40">
        <v>11</v>
      </c>
      <c r="B91" s="40" t="s">
        <v>330</v>
      </c>
      <c r="C91" s="40" t="s">
        <v>331</v>
      </c>
      <c r="D91" s="40" t="s">
        <v>332</v>
      </c>
      <c r="E91" s="40" t="s">
        <v>333</v>
      </c>
    </row>
    <row r="92" spans="1:8">
      <c r="A92" s="40"/>
      <c r="B92" s="40" t="s">
        <v>193</v>
      </c>
      <c r="C92" s="40">
        <v>5</v>
      </c>
      <c r="D92" s="40">
        <v>3</v>
      </c>
      <c r="E92" s="40">
        <v>1</v>
      </c>
    </row>
    <row r="93" spans="1:8" ht="45">
      <c r="A93" s="40">
        <v>11</v>
      </c>
      <c r="B93" s="40" t="s">
        <v>334</v>
      </c>
      <c r="C93" s="40" t="s">
        <v>335</v>
      </c>
      <c r="D93" s="40" t="s">
        <v>336</v>
      </c>
      <c r="E93" s="40" t="s">
        <v>337</v>
      </c>
    </row>
    <row r="94" spans="1:8">
      <c r="A94" s="40"/>
      <c r="B94" s="40" t="s">
        <v>193</v>
      </c>
      <c r="C94" s="40">
        <v>5</v>
      </c>
      <c r="D94" s="40">
        <v>3</v>
      </c>
      <c r="E94" s="40">
        <v>1</v>
      </c>
    </row>
    <row r="95" spans="1:8" ht="56.25">
      <c r="A95" s="40">
        <v>11</v>
      </c>
      <c r="B95" s="40" t="s">
        <v>338</v>
      </c>
      <c r="C95" s="40" t="s">
        <v>339</v>
      </c>
      <c r="D95" s="40" t="s">
        <v>340</v>
      </c>
      <c r="E95" s="40" t="s">
        <v>341</v>
      </c>
      <c r="F95" s="40" t="s">
        <v>342</v>
      </c>
      <c r="G95" s="40" t="s">
        <v>343</v>
      </c>
    </row>
    <row r="96" spans="1:8">
      <c r="A96" s="40"/>
      <c r="B96" s="40" t="s">
        <v>193</v>
      </c>
      <c r="C96" s="40">
        <v>5</v>
      </c>
      <c r="D96" s="40">
        <v>4</v>
      </c>
      <c r="E96" s="40">
        <v>3</v>
      </c>
      <c r="F96" s="40">
        <v>2</v>
      </c>
      <c r="G96" s="40">
        <v>1</v>
      </c>
    </row>
    <row r="97" spans="1:9" ht="33.75">
      <c r="A97" s="40">
        <v>11</v>
      </c>
      <c r="B97" s="40" t="s">
        <v>344</v>
      </c>
      <c r="C97" s="40" t="s">
        <v>345</v>
      </c>
      <c r="D97" s="40" t="s">
        <v>346</v>
      </c>
      <c r="E97" s="40" t="s">
        <v>347</v>
      </c>
      <c r="F97" s="40" t="s">
        <v>348</v>
      </c>
    </row>
    <row r="98" spans="1:9">
      <c r="A98" s="40"/>
      <c r="B98" s="40" t="s">
        <v>193</v>
      </c>
      <c r="C98" s="40">
        <v>5</v>
      </c>
      <c r="D98" s="40">
        <v>4</v>
      </c>
      <c r="E98" s="40">
        <v>3</v>
      </c>
      <c r="F98" s="40">
        <v>1</v>
      </c>
    </row>
    <row r="99" spans="1:9" ht="78.75">
      <c r="A99" s="40">
        <v>11</v>
      </c>
      <c r="B99" s="40" t="s">
        <v>349</v>
      </c>
      <c r="C99" s="40" t="s">
        <v>350</v>
      </c>
      <c r="D99" s="40" t="s">
        <v>351</v>
      </c>
      <c r="E99" s="40" t="s">
        <v>352</v>
      </c>
      <c r="F99" s="40" t="s">
        <v>353</v>
      </c>
    </row>
    <row r="100" spans="1:9">
      <c r="A100" s="40"/>
      <c r="B100" s="40" t="s">
        <v>193</v>
      </c>
      <c r="C100" s="40">
        <v>5</v>
      </c>
      <c r="D100" s="40">
        <v>3</v>
      </c>
      <c r="E100" s="40">
        <v>2</v>
      </c>
      <c r="F100" s="40">
        <v>1</v>
      </c>
    </row>
    <row r="101" spans="1:9" ht="56.25">
      <c r="A101" s="40">
        <v>11</v>
      </c>
      <c r="B101" s="40" t="s">
        <v>354</v>
      </c>
      <c r="C101" s="40" t="s">
        <v>355</v>
      </c>
      <c r="D101" s="40" t="s">
        <v>356</v>
      </c>
      <c r="E101" s="40" t="s">
        <v>357</v>
      </c>
      <c r="F101" s="40" t="s">
        <v>358</v>
      </c>
    </row>
    <row r="102" spans="1:9">
      <c r="A102" s="40"/>
      <c r="B102" s="40" t="s">
        <v>193</v>
      </c>
      <c r="C102" s="40">
        <v>5</v>
      </c>
      <c r="D102" s="40">
        <v>4</v>
      </c>
      <c r="E102" s="40">
        <v>3</v>
      </c>
      <c r="F102" s="40">
        <v>1</v>
      </c>
    </row>
    <row r="103" spans="1:9" ht="56.25">
      <c r="A103" s="40">
        <v>12</v>
      </c>
      <c r="B103" s="40" t="s">
        <v>359</v>
      </c>
      <c r="C103" s="40" t="s">
        <v>360</v>
      </c>
      <c r="D103" s="40" t="s">
        <v>361</v>
      </c>
      <c r="E103" s="40" t="s">
        <v>362</v>
      </c>
      <c r="F103" s="40" t="s">
        <v>363</v>
      </c>
      <c r="G103" s="40" t="s">
        <v>364</v>
      </c>
      <c r="H103" s="40" t="s">
        <v>365</v>
      </c>
    </row>
    <row r="104" spans="1:9">
      <c r="A104" s="40"/>
      <c r="B104" s="40" t="s">
        <v>193</v>
      </c>
      <c r="C104" s="40">
        <v>5</v>
      </c>
      <c r="D104" s="40">
        <v>4</v>
      </c>
      <c r="E104" s="40">
        <v>4</v>
      </c>
      <c r="F104" s="40">
        <v>3</v>
      </c>
      <c r="G104" s="40">
        <v>2</v>
      </c>
      <c r="H104" s="40">
        <v>1</v>
      </c>
    </row>
    <row r="105" spans="1:9" ht="56.25">
      <c r="A105" s="40">
        <v>12</v>
      </c>
      <c r="B105" s="40" t="s">
        <v>366</v>
      </c>
      <c r="C105" s="40" t="s">
        <v>367</v>
      </c>
      <c r="D105" s="40" t="s">
        <v>368</v>
      </c>
      <c r="E105" s="40" t="s">
        <v>369</v>
      </c>
      <c r="F105" s="40" t="s">
        <v>370</v>
      </c>
      <c r="G105" s="40" t="s">
        <v>371</v>
      </c>
    </row>
    <row r="106" spans="1:9">
      <c r="A106" s="40"/>
      <c r="B106" s="40" t="s">
        <v>193</v>
      </c>
      <c r="C106" s="40">
        <v>5</v>
      </c>
      <c r="D106" s="40">
        <v>4</v>
      </c>
      <c r="E106" s="40">
        <v>4</v>
      </c>
      <c r="F106" s="40">
        <v>3</v>
      </c>
      <c r="G106" s="40">
        <v>1</v>
      </c>
    </row>
    <row r="107" spans="1:9" ht="56.25">
      <c r="A107" s="40">
        <v>12</v>
      </c>
      <c r="B107" s="40" t="s">
        <v>372</v>
      </c>
      <c r="C107" s="40" t="s">
        <v>373</v>
      </c>
      <c r="D107" s="40" t="s">
        <v>374</v>
      </c>
      <c r="E107" s="40" t="s">
        <v>375</v>
      </c>
      <c r="F107" s="40" t="s">
        <v>376</v>
      </c>
      <c r="G107" s="40" t="s">
        <v>377</v>
      </c>
    </row>
    <row r="108" spans="1:9">
      <c r="A108" s="40"/>
      <c r="B108" s="40" t="s">
        <v>193</v>
      </c>
      <c r="C108" s="40">
        <v>5</v>
      </c>
      <c r="D108" s="40">
        <v>4</v>
      </c>
      <c r="E108" s="40">
        <v>4</v>
      </c>
      <c r="F108" s="40">
        <v>3</v>
      </c>
      <c r="G108" s="40">
        <v>1</v>
      </c>
    </row>
    <row r="109" spans="1:9" ht="45">
      <c r="A109" s="40">
        <v>12</v>
      </c>
      <c r="B109" s="40" t="s">
        <v>378</v>
      </c>
      <c r="C109" s="40" t="s">
        <v>379</v>
      </c>
      <c r="D109" s="40" t="s">
        <v>380</v>
      </c>
      <c r="E109" s="40" t="s">
        <v>381</v>
      </c>
      <c r="F109" s="40" t="s">
        <v>382</v>
      </c>
      <c r="G109" s="40" t="s">
        <v>383</v>
      </c>
      <c r="H109" s="40" t="s">
        <v>384</v>
      </c>
      <c r="I109" s="40" t="s">
        <v>385</v>
      </c>
    </row>
    <row r="110" spans="1:9">
      <c r="A110" s="40"/>
      <c r="B110" s="40" t="s">
        <v>193</v>
      </c>
      <c r="C110" s="40">
        <v>5</v>
      </c>
      <c r="D110" s="40">
        <v>4</v>
      </c>
      <c r="E110" s="40">
        <v>3</v>
      </c>
      <c r="F110" s="40">
        <v>2</v>
      </c>
      <c r="G110" s="40">
        <v>3</v>
      </c>
      <c r="H110" s="40">
        <v>2</v>
      </c>
      <c r="I110" s="40">
        <v>1</v>
      </c>
    </row>
    <row r="111" spans="1:9" ht="56.25">
      <c r="A111" s="40">
        <v>12</v>
      </c>
      <c r="B111" s="40" t="s">
        <v>386</v>
      </c>
      <c r="C111" s="40" t="s">
        <v>387</v>
      </c>
      <c r="D111" s="40" t="s">
        <v>388</v>
      </c>
      <c r="E111" s="40" t="s">
        <v>389</v>
      </c>
      <c r="F111" s="40" t="s">
        <v>390</v>
      </c>
      <c r="G111" s="40" t="s">
        <v>391</v>
      </c>
      <c r="H111" s="40" t="s">
        <v>392</v>
      </c>
    </row>
    <row r="112" spans="1:9">
      <c r="A112" s="40"/>
      <c r="B112" s="40" t="s">
        <v>193</v>
      </c>
      <c r="C112" s="40">
        <v>5</v>
      </c>
      <c r="D112" s="40">
        <v>4</v>
      </c>
      <c r="E112" s="40">
        <v>3</v>
      </c>
      <c r="F112" s="40">
        <v>3</v>
      </c>
      <c r="G112" s="40">
        <v>2</v>
      </c>
      <c r="H112" s="40">
        <v>1</v>
      </c>
    </row>
    <row r="113" spans="1:9" ht="45">
      <c r="A113" s="40">
        <v>12</v>
      </c>
      <c r="B113" s="40" t="s">
        <v>393</v>
      </c>
      <c r="C113" s="40" t="s">
        <v>394</v>
      </c>
      <c r="D113" s="40" t="s">
        <v>395</v>
      </c>
      <c r="E113" s="40" t="s">
        <v>396</v>
      </c>
      <c r="F113" s="40" t="s">
        <v>397</v>
      </c>
    </row>
    <row r="114" spans="1:9">
      <c r="A114" s="40"/>
      <c r="B114" s="40" t="s">
        <v>193</v>
      </c>
      <c r="C114" s="40">
        <v>5</v>
      </c>
      <c r="D114" s="40">
        <v>4</v>
      </c>
      <c r="E114" s="40">
        <v>3</v>
      </c>
      <c r="F114" s="40">
        <v>1</v>
      </c>
    </row>
    <row r="115" spans="1:9" ht="56.25">
      <c r="A115" s="40">
        <v>13</v>
      </c>
      <c r="B115" s="40" t="s">
        <v>398</v>
      </c>
      <c r="C115" s="40" t="s">
        <v>399</v>
      </c>
      <c r="D115" s="40" t="s">
        <v>400</v>
      </c>
      <c r="E115" s="40" t="s">
        <v>401</v>
      </c>
    </row>
    <row r="116" spans="1:9">
      <c r="A116" s="40"/>
      <c r="B116" s="40" t="s">
        <v>193</v>
      </c>
      <c r="C116" s="40">
        <v>5</v>
      </c>
      <c r="D116" s="40">
        <v>3</v>
      </c>
      <c r="E116" s="40">
        <v>1</v>
      </c>
    </row>
    <row r="117" spans="1:9" ht="56.25">
      <c r="A117" s="40">
        <v>13</v>
      </c>
      <c r="B117" s="40" t="s">
        <v>402</v>
      </c>
      <c r="C117" s="40" t="s">
        <v>403</v>
      </c>
      <c r="D117" s="40" t="s">
        <v>404</v>
      </c>
      <c r="E117" s="40" t="s">
        <v>405</v>
      </c>
      <c r="F117" s="40" t="s">
        <v>406</v>
      </c>
    </row>
    <row r="118" spans="1:9">
      <c r="A118" s="40"/>
      <c r="B118" s="40" t="s">
        <v>193</v>
      </c>
      <c r="C118" s="40">
        <v>5</v>
      </c>
      <c r="D118" s="40">
        <v>4</v>
      </c>
      <c r="E118" s="40">
        <v>2</v>
      </c>
      <c r="F118" s="40">
        <v>1</v>
      </c>
    </row>
    <row r="119" spans="1:9" ht="56.25">
      <c r="A119" s="40">
        <v>13</v>
      </c>
      <c r="B119" s="40" t="s">
        <v>407</v>
      </c>
      <c r="C119" s="40" t="s">
        <v>408</v>
      </c>
      <c r="D119" s="40" t="s">
        <v>409</v>
      </c>
      <c r="E119" s="40" t="s">
        <v>410</v>
      </c>
      <c r="F119" s="40" t="s">
        <v>411</v>
      </c>
    </row>
    <row r="120" spans="1:9">
      <c r="A120" s="40"/>
      <c r="B120" s="40" t="s">
        <v>193</v>
      </c>
      <c r="C120" s="40">
        <v>5</v>
      </c>
      <c r="D120" s="40">
        <v>4</v>
      </c>
      <c r="E120" s="40">
        <v>2</v>
      </c>
      <c r="F120" s="40">
        <v>1</v>
      </c>
    </row>
    <row r="121" spans="1:9" ht="45">
      <c r="A121" s="40">
        <v>13</v>
      </c>
      <c r="B121" s="40" t="s">
        <v>412</v>
      </c>
      <c r="C121" s="40" t="s">
        <v>413</v>
      </c>
      <c r="D121" s="40" t="s">
        <v>414</v>
      </c>
      <c r="E121" s="40" t="s">
        <v>415</v>
      </c>
      <c r="F121" s="40" t="s">
        <v>416</v>
      </c>
    </row>
    <row r="122" spans="1:9">
      <c r="A122" s="40"/>
      <c r="B122" s="40" t="s">
        <v>193</v>
      </c>
      <c r="C122" s="40">
        <v>5</v>
      </c>
      <c r="D122" s="40">
        <v>4</v>
      </c>
      <c r="E122" s="40">
        <v>4</v>
      </c>
      <c r="F122" s="40">
        <v>2</v>
      </c>
    </row>
    <row r="123" spans="1:9" ht="33.75">
      <c r="A123" s="40">
        <v>14</v>
      </c>
      <c r="B123" s="40" t="s">
        <v>417</v>
      </c>
      <c r="C123" s="40" t="s">
        <v>418</v>
      </c>
      <c r="D123" s="40" t="s">
        <v>419</v>
      </c>
      <c r="E123" s="40" t="s">
        <v>420</v>
      </c>
      <c r="F123" s="40" t="s">
        <v>421</v>
      </c>
    </row>
    <row r="124" spans="1:9">
      <c r="A124" s="40"/>
      <c r="B124" s="40" t="s">
        <v>193</v>
      </c>
      <c r="C124" s="40">
        <v>5</v>
      </c>
      <c r="D124" s="40">
        <v>3</v>
      </c>
      <c r="E124" s="40">
        <v>3</v>
      </c>
      <c r="F124" s="40">
        <v>1</v>
      </c>
    </row>
    <row r="125" spans="1:9" ht="45">
      <c r="A125" s="40">
        <v>14</v>
      </c>
      <c r="B125" s="40" t="s">
        <v>422</v>
      </c>
      <c r="C125" s="40" t="s">
        <v>423</v>
      </c>
      <c r="D125" s="40" t="s">
        <v>424</v>
      </c>
      <c r="E125" s="40" t="s">
        <v>425</v>
      </c>
      <c r="F125" s="40" t="s">
        <v>426</v>
      </c>
      <c r="G125" s="40" t="s">
        <v>427</v>
      </c>
      <c r="H125" s="40" t="s">
        <v>428</v>
      </c>
      <c r="I125" s="40" t="s">
        <v>429</v>
      </c>
    </row>
    <row r="126" spans="1:9">
      <c r="A126" s="40"/>
      <c r="B126" s="40" t="s">
        <v>193</v>
      </c>
      <c r="C126" s="40">
        <v>5</v>
      </c>
      <c r="D126" s="40">
        <v>4</v>
      </c>
      <c r="E126" s="40">
        <v>4</v>
      </c>
      <c r="F126" s="40">
        <v>3</v>
      </c>
      <c r="G126" s="40">
        <v>2</v>
      </c>
      <c r="H126" s="40">
        <v>2</v>
      </c>
      <c r="I126" s="40">
        <v>1</v>
      </c>
    </row>
    <row r="127" spans="1:9" ht="45">
      <c r="A127" s="40">
        <v>14</v>
      </c>
      <c r="B127" s="40" t="s">
        <v>430</v>
      </c>
      <c r="C127" s="40" t="s">
        <v>431</v>
      </c>
      <c r="D127" s="40" t="s">
        <v>432</v>
      </c>
      <c r="E127" s="40" t="s">
        <v>433</v>
      </c>
      <c r="F127" s="40" t="s">
        <v>434</v>
      </c>
      <c r="G127" s="40" t="s">
        <v>435</v>
      </c>
    </row>
    <row r="128" spans="1:9">
      <c r="A128" s="40"/>
      <c r="B128" s="40" t="s">
        <v>193</v>
      </c>
      <c r="C128" s="40">
        <v>5</v>
      </c>
      <c r="D128" s="40">
        <v>4</v>
      </c>
      <c r="E128" s="40">
        <v>3</v>
      </c>
      <c r="F128" s="40">
        <v>2</v>
      </c>
      <c r="G128" s="40">
        <v>1</v>
      </c>
    </row>
    <row r="129" spans="1:8" ht="78.75">
      <c r="A129" s="40">
        <v>14</v>
      </c>
      <c r="B129" s="40" t="s">
        <v>436</v>
      </c>
      <c r="C129" s="40" t="s">
        <v>437</v>
      </c>
      <c r="D129" s="40" t="s">
        <v>438</v>
      </c>
      <c r="E129" s="40" t="s">
        <v>439</v>
      </c>
      <c r="F129" s="40" t="s">
        <v>440</v>
      </c>
      <c r="G129" s="40" t="s">
        <v>441</v>
      </c>
    </row>
    <row r="130" spans="1:8">
      <c r="A130" s="40"/>
      <c r="B130" s="40" t="s">
        <v>193</v>
      </c>
      <c r="C130" s="40">
        <v>5</v>
      </c>
      <c r="D130" s="40">
        <v>4</v>
      </c>
      <c r="E130" s="40">
        <v>3</v>
      </c>
      <c r="F130" s="40">
        <v>2</v>
      </c>
      <c r="G130" s="40">
        <v>1</v>
      </c>
    </row>
    <row r="131" spans="1:8" ht="78.75">
      <c r="A131" s="40">
        <v>14</v>
      </c>
      <c r="B131" s="40" t="s">
        <v>442</v>
      </c>
      <c r="C131" s="40" t="s">
        <v>443</v>
      </c>
      <c r="D131" s="40" t="s">
        <v>444</v>
      </c>
      <c r="E131" s="40" t="s">
        <v>445</v>
      </c>
      <c r="F131" s="40" t="s">
        <v>446</v>
      </c>
    </row>
    <row r="132" spans="1:8">
      <c r="A132" s="40"/>
      <c r="B132" s="40" t="s">
        <v>193</v>
      </c>
      <c r="C132" s="40">
        <v>5</v>
      </c>
      <c r="D132" s="40">
        <v>4</v>
      </c>
      <c r="E132" s="40">
        <v>2</v>
      </c>
      <c r="F132" s="40">
        <v>1</v>
      </c>
    </row>
    <row r="133" spans="1:8" ht="33.75">
      <c r="A133" s="40">
        <v>14</v>
      </c>
      <c r="B133" s="40" t="s">
        <v>447</v>
      </c>
      <c r="C133" s="40" t="s">
        <v>448</v>
      </c>
      <c r="D133" s="40" t="s">
        <v>449</v>
      </c>
      <c r="E133" s="40" t="s">
        <v>450</v>
      </c>
      <c r="F133" s="40" t="s">
        <v>451</v>
      </c>
    </row>
    <row r="134" spans="1:8">
      <c r="A134" s="40"/>
      <c r="B134" s="40" t="s">
        <v>193</v>
      </c>
      <c r="C134" s="40">
        <v>5</v>
      </c>
      <c r="D134" s="40">
        <v>4</v>
      </c>
      <c r="E134" s="40">
        <v>3</v>
      </c>
      <c r="F134" s="40">
        <v>1</v>
      </c>
    </row>
    <row r="135" spans="1:8" ht="45">
      <c r="A135" s="40">
        <v>14</v>
      </c>
      <c r="B135" s="40" t="s">
        <v>452</v>
      </c>
      <c r="C135" s="40" t="s">
        <v>453</v>
      </c>
      <c r="D135" s="40" t="s">
        <v>454</v>
      </c>
      <c r="E135" s="40" t="s">
        <v>455</v>
      </c>
      <c r="F135" s="40" t="s">
        <v>456</v>
      </c>
    </row>
    <row r="136" spans="1:8">
      <c r="A136" s="40"/>
      <c r="B136" s="40" t="s">
        <v>193</v>
      </c>
      <c r="C136" s="40">
        <v>5</v>
      </c>
      <c r="D136" s="40">
        <v>4</v>
      </c>
      <c r="E136" s="40">
        <v>4</v>
      </c>
      <c r="F136" s="40">
        <v>2</v>
      </c>
    </row>
    <row r="137" spans="1:8" ht="22.5">
      <c r="A137" s="40" t="s">
        <v>457</v>
      </c>
      <c r="B137" s="40" t="s">
        <v>458</v>
      </c>
      <c r="C137" s="40" t="s">
        <v>459</v>
      </c>
      <c r="D137" s="40" t="s">
        <v>460</v>
      </c>
      <c r="E137" s="40" t="s">
        <v>461</v>
      </c>
      <c r="F137" s="40" t="s">
        <v>462</v>
      </c>
      <c r="G137" s="40" t="s">
        <v>463</v>
      </c>
      <c r="H137" s="40" t="s">
        <v>464</v>
      </c>
    </row>
    <row r="138" spans="1:8">
      <c r="A138" s="40"/>
      <c r="B138" s="40" t="s">
        <v>193</v>
      </c>
      <c r="C138" s="40">
        <v>2</v>
      </c>
      <c r="D138" s="40">
        <v>2</v>
      </c>
      <c r="E138" s="40">
        <v>2</v>
      </c>
      <c r="F138" s="40">
        <v>2</v>
      </c>
      <c r="G138" s="40">
        <v>2</v>
      </c>
      <c r="H138" s="40">
        <v>1</v>
      </c>
    </row>
    <row r="139" spans="1:8" ht="33.75">
      <c r="A139" s="40">
        <v>18</v>
      </c>
      <c r="B139" s="40" t="s">
        <v>465</v>
      </c>
      <c r="C139" s="40" t="s">
        <v>466</v>
      </c>
      <c r="D139" s="40" t="s">
        <v>467</v>
      </c>
      <c r="E139" s="40" t="s">
        <v>468</v>
      </c>
      <c r="F139" s="40" t="s">
        <v>469</v>
      </c>
      <c r="G139" s="40" t="s">
        <v>470</v>
      </c>
    </row>
    <row r="140" spans="1:8">
      <c r="A140" s="40"/>
      <c r="B140" s="40" t="s">
        <v>193</v>
      </c>
      <c r="C140" s="40">
        <v>5</v>
      </c>
      <c r="D140" s="40">
        <v>4</v>
      </c>
      <c r="E140" s="40">
        <v>3</v>
      </c>
      <c r="F140" s="40">
        <v>2</v>
      </c>
      <c r="G140" s="40">
        <v>1</v>
      </c>
    </row>
    <row r="141" spans="1:8" ht="22.5">
      <c r="A141" s="40">
        <v>18</v>
      </c>
      <c r="B141" s="40" t="s">
        <v>471</v>
      </c>
      <c r="C141" s="40" t="s">
        <v>472</v>
      </c>
      <c r="D141" s="40" t="s">
        <v>467</v>
      </c>
      <c r="E141" s="40" t="s">
        <v>468</v>
      </c>
      <c r="F141" s="40" t="s">
        <v>469</v>
      </c>
      <c r="G141" s="40" t="s">
        <v>470</v>
      </c>
    </row>
    <row r="142" spans="1:8">
      <c r="A142" s="40"/>
      <c r="B142" s="40" t="s">
        <v>193</v>
      </c>
      <c r="C142" s="40">
        <v>5</v>
      </c>
      <c r="D142" s="40">
        <v>4</v>
      </c>
      <c r="E142" s="40">
        <v>3</v>
      </c>
      <c r="F142" s="40">
        <v>2</v>
      </c>
      <c r="G142" s="40">
        <v>1</v>
      </c>
    </row>
    <row r="143" spans="1:8" ht="33.75">
      <c r="A143" s="40">
        <v>18</v>
      </c>
      <c r="B143" s="40" t="s">
        <v>473</v>
      </c>
      <c r="C143" s="40" t="s">
        <v>474</v>
      </c>
      <c r="D143" s="40" t="s">
        <v>475</v>
      </c>
      <c r="E143" s="40" t="s">
        <v>468</v>
      </c>
      <c r="F143" s="40" t="s">
        <v>469</v>
      </c>
      <c r="G143" s="40" t="s">
        <v>470</v>
      </c>
    </row>
    <row r="144" spans="1:8">
      <c r="A144" s="40"/>
      <c r="B144" s="40" t="s">
        <v>193</v>
      </c>
      <c r="C144" s="40">
        <v>5</v>
      </c>
      <c r="D144" s="40">
        <v>4</v>
      </c>
      <c r="E144" s="40">
        <v>3</v>
      </c>
      <c r="F144" s="40">
        <v>2</v>
      </c>
      <c r="G144" s="40">
        <v>1</v>
      </c>
    </row>
    <row r="145" spans="1:12" ht="33.75">
      <c r="A145" s="40">
        <v>18</v>
      </c>
      <c r="B145" s="40" t="s">
        <v>476</v>
      </c>
      <c r="C145" s="40" t="s">
        <v>477</v>
      </c>
      <c r="D145" s="40" t="s">
        <v>478</v>
      </c>
      <c r="E145" s="40" t="s">
        <v>468</v>
      </c>
      <c r="F145" s="40" t="s">
        <v>469</v>
      </c>
      <c r="G145" s="40" t="s">
        <v>470</v>
      </c>
    </row>
    <row r="146" spans="1:12">
      <c r="A146" s="40"/>
      <c r="B146" s="40" t="s">
        <v>193</v>
      </c>
      <c r="C146" s="40">
        <v>5</v>
      </c>
      <c r="D146" s="40">
        <v>4</v>
      </c>
      <c r="E146" s="40">
        <v>3</v>
      </c>
      <c r="F146" s="40">
        <v>2</v>
      </c>
      <c r="G146" s="40">
        <v>1</v>
      </c>
    </row>
    <row r="147" spans="1:12" ht="33.75">
      <c r="A147" s="40">
        <v>18</v>
      </c>
      <c r="B147" s="40" t="s">
        <v>479</v>
      </c>
      <c r="C147" s="40" t="s">
        <v>480</v>
      </c>
      <c r="D147" s="40" t="s">
        <v>467</v>
      </c>
      <c r="E147" s="40" t="s">
        <v>468</v>
      </c>
      <c r="F147" s="40" t="s">
        <v>469</v>
      </c>
      <c r="G147" s="40" t="s">
        <v>470</v>
      </c>
    </row>
    <row r="148" spans="1:12">
      <c r="A148" s="40"/>
      <c r="B148" s="40" t="s">
        <v>193</v>
      </c>
      <c r="C148" s="40">
        <v>5</v>
      </c>
      <c r="D148" s="40">
        <v>4</v>
      </c>
      <c r="E148" s="40">
        <v>3</v>
      </c>
      <c r="F148" s="40">
        <v>2</v>
      </c>
      <c r="G148" s="40">
        <v>1</v>
      </c>
    </row>
    <row r="149" spans="1:12" ht="33.75">
      <c r="A149" s="40">
        <v>18</v>
      </c>
      <c r="B149" s="40" t="s">
        <v>481</v>
      </c>
      <c r="C149" s="40" t="s">
        <v>482</v>
      </c>
      <c r="D149" s="40" t="s">
        <v>467</v>
      </c>
      <c r="E149" s="40" t="s">
        <v>468</v>
      </c>
      <c r="F149" s="40" t="s">
        <v>469</v>
      </c>
      <c r="G149" s="40" t="s">
        <v>470</v>
      </c>
    </row>
    <row r="150" spans="1:12">
      <c r="A150" s="40"/>
      <c r="B150" s="40" t="s">
        <v>193</v>
      </c>
      <c r="C150" s="40">
        <v>5</v>
      </c>
      <c r="D150" s="40">
        <v>4</v>
      </c>
      <c r="E150" s="40">
        <v>3</v>
      </c>
      <c r="F150" s="40">
        <v>2</v>
      </c>
      <c r="G150" s="40">
        <v>1</v>
      </c>
    </row>
    <row r="151" spans="1:12" ht="33.75">
      <c r="A151" s="40">
        <v>18</v>
      </c>
      <c r="B151" s="40" t="s">
        <v>483</v>
      </c>
      <c r="C151" s="40" t="s">
        <v>484</v>
      </c>
      <c r="D151" s="40" t="s">
        <v>485</v>
      </c>
      <c r="E151" s="40" t="s">
        <v>468</v>
      </c>
      <c r="F151" s="40" t="s">
        <v>469</v>
      </c>
      <c r="G151" s="40" t="s">
        <v>470</v>
      </c>
    </row>
    <row r="152" spans="1:12">
      <c r="A152" s="40"/>
      <c r="B152" s="40" t="s">
        <v>193</v>
      </c>
      <c r="C152" s="40">
        <v>5</v>
      </c>
      <c r="D152" s="40">
        <v>4</v>
      </c>
      <c r="E152" s="40">
        <v>3</v>
      </c>
      <c r="F152" s="40">
        <v>2</v>
      </c>
      <c r="G152" s="40">
        <v>1</v>
      </c>
    </row>
    <row r="153" spans="1:12" ht="22.5">
      <c r="A153" s="40">
        <v>19</v>
      </c>
      <c r="B153" s="40" t="s">
        <v>486</v>
      </c>
      <c r="C153" s="40" t="s">
        <v>487</v>
      </c>
      <c r="D153" s="40" t="s">
        <v>488</v>
      </c>
      <c r="E153" s="40" t="s">
        <v>489</v>
      </c>
      <c r="F153" s="40" t="s">
        <v>490</v>
      </c>
      <c r="G153" s="40" t="s">
        <v>491</v>
      </c>
      <c r="H153" s="40" t="s">
        <v>492</v>
      </c>
      <c r="I153" s="40" t="s">
        <v>493</v>
      </c>
      <c r="J153" s="40" t="s">
        <v>494</v>
      </c>
      <c r="K153" s="40" t="s">
        <v>495</v>
      </c>
      <c r="L153" s="40" t="s">
        <v>496</v>
      </c>
    </row>
    <row r="154" spans="1:12">
      <c r="A154" s="40"/>
      <c r="B154" s="40" t="s">
        <v>193</v>
      </c>
      <c r="C154" s="40">
        <v>5</v>
      </c>
      <c r="D154" s="40">
        <v>5</v>
      </c>
      <c r="E154" s="40">
        <v>4</v>
      </c>
      <c r="F154" s="40">
        <v>4</v>
      </c>
      <c r="G154" s="40">
        <v>3</v>
      </c>
      <c r="H154" s="40">
        <v>3</v>
      </c>
      <c r="I154" s="40">
        <v>2</v>
      </c>
      <c r="J154" s="40">
        <v>2</v>
      </c>
      <c r="K154" s="40">
        <v>1</v>
      </c>
      <c r="L154" s="40">
        <v>1</v>
      </c>
    </row>
    <row r="155" spans="1:12" ht="22.5">
      <c r="A155" s="40">
        <v>19</v>
      </c>
      <c r="B155" s="40" t="s">
        <v>497</v>
      </c>
      <c r="C155" s="40" t="s">
        <v>498</v>
      </c>
      <c r="D155" s="40" t="s">
        <v>499</v>
      </c>
      <c r="E155" s="40" t="s">
        <v>500</v>
      </c>
      <c r="F155" s="40" t="s">
        <v>501</v>
      </c>
      <c r="G155" s="40" t="s">
        <v>502</v>
      </c>
      <c r="H155" s="40" t="s">
        <v>503</v>
      </c>
      <c r="I155" s="40" t="s">
        <v>504</v>
      </c>
    </row>
    <row r="156" spans="1:12">
      <c r="A156" s="40"/>
      <c r="B156" s="40" t="s">
        <v>193</v>
      </c>
      <c r="C156" s="40">
        <v>5</v>
      </c>
      <c r="D156" s="40">
        <v>5</v>
      </c>
      <c r="E156" s="40">
        <v>4</v>
      </c>
      <c r="F156" s="40">
        <v>3</v>
      </c>
      <c r="G156" s="40">
        <v>2</v>
      </c>
      <c r="H156" s="40">
        <v>2</v>
      </c>
      <c r="I156" s="40">
        <v>1</v>
      </c>
    </row>
    <row r="157" spans="1:12" ht="33.75">
      <c r="A157" s="40">
        <v>19</v>
      </c>
      <c r="B157" s="40" t="s">
        <v>505</v>
      </c>
      <c r="C157" s="40" t="s">
        <v>506</v>
      </c>
      <c r="D157" s="40" t="s">
        <v>507</v>
      </c>
      <c r="E157" s="40" t="s">
        <v>508</v>
      </c>
      <c r="F157" s="40" t="s">
        <v>509</v>
      </c>
      <c r="G157" s="40" t="s">
        <v>510</v>
      </c>
    </row>
    <row r="158" spans="1:12">
      <c r="A158" s="40"/>
      <c r="B158" s="40" t="s">
        <v>193</v>
      </c>
      <c r="C158" s="40">
        <v>5</v>
      </c>
      <c r="D158" s="40">
        <v>4</v>
      </c>
      <c r="E158" s="40">
        <v>3</v>
      </c>
      <c r="F158" s="40">
        <v>2</v>
      </c>
      <c r="G158" s="40">
        <v>1</v>
      </c>
    </row>
    <row r="159" spans="1:12" ht="22.5">
      <c r="A159" s="40">
        <v>19</v>
      </c>
      <c r="B159" s="40" t="s">
        <v>511</v>
      </c>
      <c r="C159" s="40" t="s">
        <v>512</v>
      </c>
      <c r="D159" s="40" t="s">
        <v>513</v>
      </c>
      <c r="E159" s="40" t="s">
        <v>514</v>
      </c>
      <c r="F159" s="40" t="s">
        <v>515</v>
      </c>
      <c r="G159" s="40" t="s">
        <v>464</v>
      </c>
    </row>
    <row r="160" spans="1:12">
      <c r="A160" s="40"/>
      <c r="B160" s="40" t="s">
        <v>193</v>
      </c>
      <c r="C160" s="40">
        <v>5</v>
      </c>
      <c r="D160" s="40">
        <v>4</v>
      </c>
      <c r="E160" s="40">
        <v>3</v>
      </c>
      <c r="F160" s="40">
        <v>2</v>
      </c>
      <c r="G160" s="40">
        <v>1</v>
      </c>
    </row>
    <row r="161" spans="1:7" ht="22.5">
      <c r="A161" s="40">
        <v>19</v>
      </c>
      <c r="B161" s="40" t="s">
        <v>516</v>
      </c>
      <c r="C161" s="40" t="s">
        <v>512</v>
      </c>
      <c r="D161" s="40" t="s">
        <v>513</v>
      </c>
      <c r="E161" s="40" t="s">
        <v>514</v>
      </c>
      <c r="F161" s="40" t="s">
        <v>515</v>
      </c>
      <c r="G161" s="40" t="s">
        <v>464</v>
      </c>
    </row>
    <row r="162" spans="1:7">
      <c r="A162" s="40"/>
      <c r="B162" s="40" t="s">
        <v>193</v>
      </c>
      <c r="C162" s="40">
        <v>5</v>
      </c>
      <c r="D162" s="40">
        <v>4</v>
      </c>
      <c r="E162" s="40">
        <v>3</v>
      </c>
      <c r="F162" s="40">
        <v>2</v>
      </c>
      <c r="G162" s="40">
        <v>1</v>
      </c>
    </row>
    <row r="163" spans="1:7" ht="33.75">
      <c r="A163" s="40">
        <v>19</v>
      </c>
      <c r="B163" s="40" t="s">
        <v>517</v>
      </c>
      <c r="C163" s="40" t="s">
        <v>518</v>
      </c>
      <c r="D163" s="40" t="s">
        <v>519</v>
      </c>
      <c r="E163" s="40" t="s">
        <v>520</v>
      </c>
      <c r="F163" s="40" t="s">
        <v>521</v>
      </c>
      <c r="G163" s="40" t="s">
        <v>522</v>
      </c>
    </row>
    <row r="164" spans="1:7">
      <c r="A164" s="40"/>
      <c r="B164" s="40" t="s">
        <v>193</v>
      </c>
      <c r="C164" s="40">
        <v>5</v>
      </c>
      <c r="D164" s="40">
        <v>4</v>
      </c>
      <c r="E164" s="40">
        <v>3</v>
      </c>
      <c r="F164" s="40">
        <v>2</v>
      </c>
      <c r="G164" s="40">
        <v>1</v>
      </c>
    </row>
    <row r="165" spans="1:7" ht="33.75">
      <c r="A165" s="40">
        <v>19</v>
      </c>
      <c r="B165" s="40" t="s">
        <v>523</v>
      </c>
      <c r="C165" s="40" t="s">
        <v>464</v>
      </c>
      <c r="D165" s="40" t="s">
        <v>524</v>
      </c>
      <c r="E165" s="40" t="s">
        <v>525</v>
      </c>
      <c r="F165" s="40" t="s">
        <v>520</v>
      </c>
      <c r="G165" s="40" t="s">
        <v>526</v>
      </c>
    </row>
    <row r="166" spans="1:7">
      <c r="A166" s="40"/>
      <c r="B166" s="40" t="s">
        <v>193</v>
      </c>
      <c r="C166" s="40">
        <v>5</v>
      </c>
      <c r="D166" s="40">
        <v>4</v>
      </c>
      <c r="E166" s="40">
        <v>3</v>
      </c>
      <c r="F166" s="40">
        <v>2</v>
      </c>
      <c r="G166" s="40">
        <v>1</v>
      </c>
    </row>
    <row r="167" spans="1:7" ht="22.5">
      <c r="A167" s="40">
        <v>20</v>
      </c>
      <c r="B167" s="40" t="s">
        <v>527</v>
      </c>
      <c r="C167" s="40" t="s">
        <v>528</v>
      </c>
      <c r="D167" s="40" t="s">
        <v>529</v>
      </c>
      <c r="E167" s="40" t="s">
        <v>530</v>
      </c>
      <c r="F167" s="40" t="s">
        <v>531</v>
      </c>
    </row>
    <row r="168" spans="1:7">
      <c r="A168" s="40"/>
      <c r="B168" s="40" t="s">
        <v>193</v>
      </c>
      <c r="C168" s="40">
        <v>5</v>
      </c>
      <c r="D168" s="40">
        <v>3</v>
      </c>
      <c r="E168" s="40">
        <v>2</v>
      </c>
      <c r="F168" s="40">
        <v>1</v>
      </c>
    </row>
    <row r="169" spans="1:7" ht="33.75">
      <c r="A169" s="40">
        <v>20</v>
      </c>
      <c r="B169" s="40" t="s">
        <v>532</v>
      </c>
      <c r="C169" s="40" t="s">
        <v>533</v>
      </c>
      <c r="D169" s="40" t="s">
        <v>534</v>
      </c>
      <c r="E169" s="40" t="s">
        <v>535</v>
      </c>
      <c r="F169" s="40" t="s">
        <v>536</v>
      </c>
      <c r="G169" s="40" t="s">
        <v>537</v>
      </c>
    </row>
    <row r="170" spans="1:7">
      <c r="A170" s="40"/>
      <c r="B170" s="40" t="s">
        <v>193</v>
      </c>
      <c r="C170" s="40">
        <v>1</v>
      </c>
      <c r="D170" s="40">
        <v>2</v>
      </c>
      <c r="E170" s="40">
        <v>2</v>
      </c>
      <c r="F170" s="40">
        <v>2</v>
      </c>
      <c r="G170" s="40">
        <v>4</v>
      </c>
    </row>
    <row r="171" spans="1:7" ht="22.5">
      <c r="A171" s="40">
        <v>20</v>
      </c>
      <c r="B171" s="40" t="s">
        <v>538</v>
      </c>
      <c r="C171" s="40" t="s">
        <v>539</v>
      </c>
      <c r="D171" s="40" t="s">
        <v>540</v>
      </c>
      <c r="E171" s="40" t="s">
        <v>508</v>
      </c>
      <c r="F171" s="40" t="s">
        <v>509</v>
      </c>
      <c r="G171" s="40" t="s">
        <v>510</v>
      </c>
    </row>
    <row r="172" spans="1:7">
      <c r="A172" s="40"/>
      <c r="B172" s="40" t="s">
        <v>193</v>
      </c>
      <c r="C172" s="40">
        <v>5</v>
      </c>
      <c r="D172" s="40">
        <v>4</v>
      </c>
      <c r="E172" s="40">
        <v>3</v>
      </c>
      <c r="F172" s="40">
        <v>2</v>
      </c>
      <c r="G172" s="40">
        <v>1</v>
      </c>
    </row>
    <row r="173" spans="1:7" ht="22.5">
      <c r="A173" s="40">
        <v>20</v>
      </c>
      <c r="B173" s="40" t="s">
        <v>541</v>
      </c>
      <c r="C173" s="40" t="s">
        <v>542</v>
      </c>
      <c r="D173" s="40" t="s">
        <v>543</v>
      </c>
      <c r="E173" s="40" t="s">
        <v>544</v>
      </c>
      <c r="F173" s="40" t="s">
        <v>545</v>
      </c>
      <c r="G173" s="40" t="s">
        <v>546</v>
      </c>
    </row>
    <row r="174" spans="1:7">
      <c r="A174" s="40"/>
      <c r="B174" s="40" t="s">
        <v>193</v>
      </c>
      <c r="C174" s="40">
        <v>5</v>
      </c>
      <c r="D174" s="40">
        <v>4</v>
      </c>
      <c r="E174" s="40">
        <v>3</v>
      </c>
      <c r="F174" s="40">
        <v>2</v>
      </c>
      <c r="G174" s="40">
        <v>1</v>
      </c>
    </row>
    <row r="175" spans="1:7" ht="33.75">
      <c r="A175" s="40">
        <v>20</v>
      </c>
      <c r="B175" s="40" t="s">
        <v>547</v>
      </c>
      <c r="C175" s="40" t="s">
        <v>548</v>
      </c>
      <c r="D175" s="40" t="s">
        <v>549</v>
      </c>
      <c r="E175" s="40" t="s">
        <v>550</v>
      </c>
      <c r="F175" s="40" t="s">
        <v>551</v>
      </c>
    </row>
    <row r="176" spans="1:7">
      <c r="A176" s="40"/>
      <c r="B176" s="40" t="s">
        <v>193</v>
      </c>
      <c r="C176" s="40">
        <v>5</v>
      </c>
      <c r="D176" s="40">
        <v>3</v>
      </c>
      <c r="E176" s="40">
        <v>2</v>
      </c>
      <c r="F176" s="40">
        <v>1</v>
      </c>
    </row>
    <row r="177" spans="1:20" ht="22.5">
      <c r="A177" s="40">
        <v>20</v>
      </c>
      <c r="B177" s="40" t="s">
        <v>552</v>
      </c>
      <c r="C177" s="40" t="s">
        <v>524</v>
      </c>
      <c r="D177" s="40" t="s">
        <v>525</v>
      </c>
      <c r="E177" s="40" t="s">
        <v>520</v>
      </c>
      <c r="F177" s="40" t="s">
        <v>521</v>
      </c>
      <c r="G177" s="40" t="s">
        <v>522</v>
      </c>
    </row>
    <row r="178" spans="1:20">
      <c r="A178" s="40"/>
      <c r="B178" s="40" t="s">
        <v>193</v>
      </c>
      <c r="C178" s="40">
        <v>5</v>
      </c>
      <c r="D178" s="40">
        <v>4</v>
      </c>
      <c r="E178" s="40">
        <v>3</v>
      </c>
      <c r="F178" s="40">
        <v>2</v>
      </c>
      <c r="G178" s="40">
        <v>1</v>
      </c>
    </row>
    <row r="179" spans="1:20" ht="22.5">
      <c r="A179" s="40">
        <v>20</v>
      </c>
      <c r="B179" s="40" t="s">
        <v>553</v>
      </c>
      <c r="C179" s="40" t="s">
        <v>524</v>
      </c>
      <c r="D179" s="40" t="s">
        <v>525</v>
      </c>
      <c r="E179" s="40" t="s">
        <v>520</v>
      </c>
      <c r="F179" s="40" t="s">
        <v>521</v>
      </c>
      <c r="G179" s="40" t="s">
        <v>522</v>
      </c>
    </row>
    <row r="180" spans="1:20">
      <c r="A180" s="40"/>
      <c r="B180" s="40" t="s">
        <v>193</v>
      </c>
      <c r="C180" s="40">
        <v>5</v>
      </c>
      <c r="D180" s="40">
        <v>4</v>
      </c>
      <c r="E180" s="40">
        <v>3</v>
      </c>
      <c r="F180" s="40">
        <v>2</v>
      </c>
      <c r="G180" s="40">
        <v>1</v>
      </c>
    </row>
    <row r="181" spans="1:20" ht="33.75">
      <c r="A181" s="40">
        <v>21</v>
      </c>
      <c r="B181" s="40" t="s">
        <v>554</v>
      </c>
      <c r="C181" s="40" t="s">
        <v>555</v>
      </c>
      <c r="D181" s="40" t="s">
        <v>556</v>
      </c>
      <c r="E181" s="40" t="s">
        <v>557</v>
      </c>
      <c r="F181" s="40" t="s">
        <v>558</v>
      </c>
      <c r="G181" s="40" t="s">
        <v>559</v>
      </c>
      <c r="H181" s="40" t="s">
        <v>560</v>
      </c>
      <c r="I181" s="40" t="s">
        <v>561</v>
      </c>
      <c r="M181" s="41">
        <v>1</v>
      </c>
      <c r="N181" s="41">
        <v>2</v>
      </c>
      <c r="O181" s="41">
        <v>3</v>
      </c>
      <c r="P181" s="41">
        <v>4</v>
      </c>
      <c r="Q181" s="41">
        <v>5</v>
      </c>
      <c r="R181" s="41">
        <v>6</v>
      </c>
      <c r="S181" s="41">
        <v>7</v>
      </c>
    </row>
    <row r="182" spans="1:20" ht="22.5">
      <c r="A182" s="40">
        <v>22</v>
      </c>
      <c r="B182" s="40" t="s">
        <v>562</v>
      </c>
      <c r="C182" s="40" t="s">
        <v>563</v>
      </c>
      <c r="D182" s="40" t="s">
        <v>564</v>
      </c>
      <c r="E182" s="40" t="s">
        <v>565</v>
      </c>
      <c r="F182" s="40" t="s">
        <v>566</v>
      </c>
      <c r="G182" s="40" t="s">
        <v>567</v>
      </c>
      <c r="M182" s="41">
        <v>1</v>
      </c>
      <c r="N182" s="41">
        <v>2</v>
      </c>
      <c r="O182" s="41">
        <v>3</v>
      </c>
      <c r="P182" s="41">
        <v>4</v>
      </c>
      <c r="Q182" s="41">
        <v>5</v>
      </c>
    </row>
    <row r="183" spans="1:20" ht="22.5">
      <c r="A183" s="40">
        <v>22</v>
      </c>
      <c r="B183" s="40" t="s">
        <v>568</v>
      </c>
      <c r="C183" s="40" t="s">
        <v>569</v>
      </c>
      <c r="D183" s="40" t="s">
        <v>570</v>
      </c>
      <c r="E183" s="40" t="s">
        <v>571</v>
      </c>
      <c r="F183" s="40" t="s">
        <v>572</v>
      </c>
      <c r="G183" s="40" t="s">
        <v>573</v>
      </c>
      <c r="H183" s="40" t="s">
        <v>574</v>
      </c>
      <c r="M183" s="41">
        <v>1</v>
      </c>
      <c r="N183" s="41">
        <v>2</v>
      </c>
      <c r="O183" s="41">
        <v>3</v>
      </c>
      <c r="P183" s="41">
        <v>4</v>
      </c>
      <c r="Q183" s="41">
        <v>5</v>
      </c>
      <c r="R183" s="41">
        <v>5</v>
      </c>
    </row>
    <row r="184" spans="1:20" ht="33.75">
      <c r="A184" s="40">
        <v>22</v>
      </c>
      <c r="B184" s="40" t="s">
        <v>575</v>
      </c>
      <c r="C184" s="40" t="s">
        <v>570</v>
      </c>
      <c r="D184" s="40" t="s">
        <v>571</v>
      </c>
      <c r="E184" s="40" t="s">
        <v>572</v>
      </c>
      <c r="F184" s="40" t="s">
        <v>576</v>
      </c>
      <c r="G184" s="40" t="s">
        <v>577</v>
      </c>
      <c r="H184" s="40" t="s">
        <v>578</v>
      </c>
      <c r="M184" s="41">
        <v>1</v>
      </c>
      <c r="N184" s="41">
        <v>2</v>
      </c>
      <c r="O184" s="41">
        <v>3</v>
      </c>
      <c r="P184" s="41">
        <v>4</v>
      </c>
      <c r="Q184" s="41">
        <v>5</v>
      </c>
      <c r="R184" s="41">
        <v>5</v>
      </c>
    </row>
    <row r="185" spans="1:20" ht="56.25">
      <c r="A185" s="40">
        <v>23</v>
      </c>
      <c r="B185" s="40" t="s">
        <v>579</v>
      </c>
      <c r="C185" s="40" t="s">
        <v>580</v>
      </c>
      <c r="D185" s="40" t="s">
        <v>581</v>
      </c>
      <c r="E185" s="40" t="s">
        <v>582</v>
      </c>
      <c r="F185" s="40" t="s">
        <v>583</v>
      </c>
      <c r="G185" s="40" t="s">
        <v>584</v>
      </c>
      <c r="M185" s="41">
        <v>1</v>
      </c>
      <c r="N185" s="41">
        <v>2</v>
      </c>
      <c r="O185" s="41">
        <v>3</v>
      </c>
      <c r="P185" s="41">
        <v>4</v>
      </c>
      <c r="Q185" s="41">
        <v>5</v>
      </c>
    </row>
    <row r="186" spans="1:20" ht="67.5">
      <c r="A186" s="40">
        <v>23</v>
      </c>
      <c r="B186" s="40" t="s">
        <v>585</v>
      </c>
      <c r="C186" s="40" t="s">
        <v>586</v>
      </c>
      <c r="D186" s="40" t="s">
        <v>587</v>
      </c>
      <c r="E186" s="40" t="s">
        <v>588</v>
      </c>
      <c r="F186" s="40" t="s">
        <v>589</v>
      </c>
      <c r="G186" s="40" t="s">
        <v>590</v>
      </c>
      <c r="H186" s="40" t="s">
        <v>591</v>
      </c>
      <c r="I186" s="40" t="s">
        <v>592</v>
      </c>
      <c r="J186" s="40" t="s">
        <v>593</v>
      </c>
      <c r="M186" s="41">
        <v>2</v>
      </c>
      <c r="N186" s="41">
        <v>2</v>
      </c>
      <c r="O186" s="41">
        <v>3</v>
      </c>
      <c r="P186" s="41">
        <v>2</v>
      </c>
      <c r="Q186" s="41">
        <v>2</v>
      </c>
      <c r="R186" s="41">
        <v>2</v>
      </c>
      <c r="S186" s="41">
        <v>1</v>
      </c>
      <c r="T186" s="41">
        <v>5</v>
      </c>
    </row>
    <row r="187" spans="1:20" ht="56.25">
      <c r="A187" s="40">
        <v>24</v>
      </c>
      <c r="B187" s="40" t="s">
        <v>594</v>
      </c>
      <c r="C187" s="40" t="s">
        <v>595</v>
      </c>
      <c r="D187" s="40" t="s">
        <v>596</v>
      </c>
      <c r="E187" s="40" t="s">
        <v>597</v>
      </c>
      <c r="F187" s="40" t="s">
        <v>598</v>
      </c>
      <c r="M187" s="41">
        <v>5</v>
      </c>
      <c r="N187" s="41">
        <v>4</v>
      </c>
      <c r="O187" s="41">
        <v>3</v>
      </c>
      <c r="P187" s="41">
        <v>2</v>
      </c>
    </row>
    <row r="188" spans="1:20" ht="67.5">
      <c r="A188" s="40">
        <v>24</v>
      </c>
      <c r="B188" s="40" t="s">
        <v>599</v>
      </c>
      <c r="C188" s="40" t="s">
        <v>600</v>
      </c>
      <c r="D188" s="40" t="s">
        <v>601</v>
      </c>
      <c r="E188" s="40" t="s">
        <v>602</v>
      </c>
      <c r="F188" s="40" t="s">
        <v>603</v>
      </c>
      <c r="M188" s="41">
        <v>5</v>
      </c>
      <c r="N188" s="41">
        <v>4</v>
      </c>
      <c r="O188" s="41">
        <v>3</v>
      </c>
      <c r="P188" s="41">
        <v>2</v>
      </c>
    </row>
    <row r="189" spans="1:20" ht="67.5">
      <c r="A189" s="40">
        <v>24</v>
      </c>
      <c r="B189" s="40" t="s">
        <v>604</v>
      </c>
      <c r="C189" s="40" t="s">
        <v>605</v>
      </c>
      <c r="D189" s="40" t="s">
        <v>606</v>
      </c>
      <c r="E189" s="40" t="s">
        <v>607</v>
      </c>
      <c r="F189" s="40" t="s">
        <v>608</v>
      </c>
      <c r="G189" s="40" t="s">
        <v>609</v>
      </c>
      <c r="M189" s="41">
        <v>5</v>
      </c>
      <c r="N189" s="41">
        <v>4</v>
      </c>
      <c r="O189" s="41">
        <v>3</v>
      </c>
      <c r="P189" s="41">
        <v>2</v>
      </c>
      <c r="Q189" s="41">
        <v>1</v>
      </c>
    </row>
    <row r="190" spans="1:20" ht="56.25">
      <c r="A190" s="40">
        <v>24</v>
      </c>
      <c r="B190" s="40" t="s">
        <v>610</v>
      </c>
      <c r="C190" s="40" t="s">
        <v>611</v>
      </c>
      <c r="D190" s="40" t="s">
        <v>612</v>
      </c>
      <c r="E190" s="40" t="s">
        <v>613</v>
      </c>
      <c r="F190" s="40" t="s">
        <v>614</v>
      </c>
      <c r="G190" s="40" t="s">
        <v>615</v>
      </c>
      <c r="M190" s="41">
        <v>5</v>
      </c>
      <c r="N190" s="41">
        <v>4</v>
      </c>
      <c r="O190" s="41">
        <v>3</v>
      </c>
      <c r="P190" s="41">
        <v>2</v>
      </c>
      <c r="Q190" s="41">
        <v>1</v>
      </c>
    </row>
    <row r="191" spans="1:20" ht="67.5">
      <c r="A191" s="40">
        <v>25</v>
      </c>
      <c r="B191" s="40" t="s">
        <v>616</v>
      </c>
      <c r="C191" s="40" t="s">
        <v>617</v>
      </c>
      <c r="D191" s="40" t="s">
        <v>618</v>
      </c>
      <c r="E191" s="40" t="s">
        <v>619</v>
      </c>
      <c r="F191" s="40" t="s">
        <v>620</v>
      </c>
      <c r="G191" s="40" t="s">
        <v>621</v>
      </c>
      <c r="M191" s="41">
        <v>1</v>
      </c>
      <c r="N191" s="41">
        <v>2</v>
      </c>
      <c r="O191" s="41">
        <v>3</v>
      </c>
      <c r="P191" s="41">
        <v>4</v>
      </c>
      <c r="Q191" s="41">
        <v>5</v>
      </c>
    </row>
    <row r="192" spans="1:20" ht="67.5">
      <c r="A192" s="40">
        <v>25</v>
      </c>
      <c r="B192" s="40" t="s">
        <v>622</v>
      </c>
      <c r="C192" s="40" t="s">
        <v>623</v>
      </c>
      <c r="D192" s="40" t="s">
        <v>624</v>
      </c>
      <c r="E192" s="40" t="s">
        <v>625</v>
      </c>
      <c r="F192" s="40" t="s">
        <v>626</v>
      </c>
      <c r="G192" s="40" t="s">
        <v>627</v>
      </c>
      <c r="M192" s="41">
        <v>5</v>
      </c>
      <c r="N192" s="41">
        <v>4</v>
      </c>
      <c r="O192" s="41">
        <v>3</v>
      </c>
      <c r="P192" s="41">
        <v>2</v>
      </c>
      <c r="Q192" s="41">
        <v>1</v>
      </c>
    </row>
    <row r="193" spans="1:17" ht="67.5">
      <c r="A193" s="40">
        <v>25</v>
      </c>
      <c r="B193" s="40" t="s">
        <v>628</v>
      </c>
      <c r="C193" s="40" t="s">
        <v>629</v>
      </c>
      <c r="D193" s="40" t="s">
        <v>630</v>
      </c>
      <c r="E193" s="40" t="s">
        <v>631</v>
      </c>
      <c r="F193" s="40" t="s">
        <v>632</v>
      </c>
      <c r="M193" s="41">
        <v>5</v>
      </c>
      <c r="N193" s="41">
        <v>4</v>
      </c>
      <c r="O193" s="41">
        <v>3</v>
      </c>
      <c r="P193" s="41">
        <v>2</v>
      </c>
    </row>
    <row r="194" spans="1:17" ht="56.25">
      <c r="A194" s="40">
        <v>26</v>
      </c>
      <c r="B194" s="40" t="s">
        <v>633</v>
      </c>
      <c r="C194" s="40" t="s">
        <v>634</v>
      </c>
      <c r="D194" s="40" t="s">
        <v>635</v>
      </c>
      <c r="E194" s="40" t="s">
        <v>636</v>
      </c>
      <c r="F194" s="40" t="s">
        <v>637</v>
      </c>
      <c r="G194" s="40" t="s">
        <v>638</v>
      </c>
      <c r="M194" s="41">
        <v>1</v>
      </c>
      <c r="N194" s="41">
        <v>3</v>
      </c>
      <c r="O194" s="41">
        <v>2</v>
      </c>
      <c r="P194" s="41">
        <v>4</v>
      </c>
      <c r="Q194" s="41">
        <v>5</v>
      </c>
    </row>
    <row r="195" spans="1:17" ht="67.5">
      <c r="A195" s="40">
        <v>26</v>
      </c>
      <c r="B195" s="40" t="s">
        <v>639</v>
      </c>
      <c r="C195" s="40" t="s">
        <v>640</v>
      </c>
      <c r="D195" s="40" t="s">
        <v>641</v>
      </c>
      <c r="E195" s="40" t="s">
        <v>642</v>
      </c>
      <c r="F195" s="40" t="s">
        <v>643</v>
      </c>
      <c r="G195" s="40" t="s">
        <v>644</v>
      </c>
      <c r="M195" s="41">
        <v>5</v>
      </c>
      <c r="N195" s="41">
        <v>4</v>
      </c>
      <c r="O195" s="41">
        <v>3</v>
      </c>
      <c r="P195" s="41">
        <v>2</v>
      </c>
      <c r="Q195" s="41">
        <v>1</v>
      </c>
    </row>
  </sheetData>
  <sheetProtection algorithmName="SHA-512" hashValue="OmTryZg8kNnUBCwmrZ/Z1CiOz6JVsIPo+y4mJsaoqu9zsaWZlKhkRD/n82W6tjC2IxPOvGwTbV0ZnxYf8jb22Q==" saltValue="t5hNgwEZyT40shjAsWR5YQ==" spinCount="100000" sheet="1" objects="1" scenarios="1" selectLockedCells="1" selectUn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O462"/>
  <sheetViews>
    <sheetView tabSelected="1" zoomScale="125" zoomScaleNormal="125" workbookViewId="0">
      <pane xSplit="5" ySplit="5" topLeftCell="F6" activePane="bottomRight" state="frozen"/>
      <selection pane="bottomRight" activeCell="F6" sqref="F6"/>
      <selection pane="bottomLeft" activeCell="A6" sqref="A6"/>
      <selection pane="topRight" activeCell="F1" sqref="F1"/>
    </sheetView>
  </sheetViews>
  <sheetFormatPr defaultColWidth="9" defaultRowHeight="15.75"/>
  <cols>
    <col min="1" max="1" width="9" style="2" customWidth="1"/>
    <col min="2" max="2" width="18.125" style="2" customWidth="1"/>
    <col min="3" max="3" width="40.875" style="2" customWidth="1"/>
    <col min="4" max="4" width="1.125" style="34" customWidth="1"/>
    <col min="5" max="25" width="12.625" style="2" customWidth="1"/>
    <col min="26" max="26" width="12.625" style="26" customWidth="1"/>
    <col min="27" max="37" width="12.625" style="2" customWidth="1"/>
    <col min="38" max="39" width="12.625" style="2" hidden="1" customWidth="1"/>
    <col min="40" max="66" width="12.625" style="2" customWidth="1"/>
    <col min="67" max="16384" width="9" style="2"/>
  </cols>
  <sheetData>
    <row r="1" spans="1:41" s="5" customFormat="1" ht="18.75">
      <c r="A1" s="6" t="s">
        <v>645</v>
      </c>
      <c r="B1" s="6"/>
      <c r="C1" s="6"/>
      <c r="D1" s="28"/>
      <c r="Z1" s="19"/>
    </row>
    <row r="2" spans="1:41" s="1" customFormat="1">
      <c r="A2" s="8" t="s">
        <v>646</v>
      </c>
      <c r="B2" s="9"/>
      <c r="C2" s="9"/>
      <c r="D2" s="29"/>
      <c r="J2" s="7"/>
      <c r="L2" s="7"/>
      <c r="Z2" s="20"/>
    </row>
    <row r="3" spans="1:41" s="3" customFormat="1">
      <c r="A3" s="3" t="s">
        <v>647</v>
      </c>
      <c r="D3" s="30"/>
      <c r="R3" s="18"/>
      <c r="Z3" s="21"/>
    </row>
    <row r="4" spans="1:41" s="14" customFormat="1" ht="47.25">
      <c r="A4" s="14" t="s">
        <v>648</v>
      </c>
      <c r="B4" s="14" t="s">
        <v>649</v>
      </c>
      <c r="C4" s="14" t="s">
        <v>650</v>
      </c>
      <c r="D4" s="31"/>
      <c r="E4" s="27" t="s">
        <v>651</v>
      </c>
      <c r="F4" s="27" t="s">
        <v>652</v>
      </c>
      <c r="G4" s="27" t="s">
        <v>653</v>
      </c>
      <c r="H4" s="27" t="s">
        <v>654</v>
      </c>
      <c r="I4" s="27" t="s">
        <v>655</v>
      </c>
      <c r="J4" s="27" t="s">
        <v>656</v>
      </c>
      <c r="K4" s="27" t="s">
        <v>657</v>
      </c>
      <c r="L4" s="27" t="s">
        <v>658</v>
      </c>
      <c r="M4" s="27" t="s">
        <v>659</v>
      </c>
      <c r="N4" s="27" t="s">
        <v>660</v>
      </c>
      <c r="O4" s="27" t="s">
        <v>661</v>
      </c>
      <c r="P4" s="27" t="s">
        <v>662</v>
      </c>
      <c r="Q4" s="27" t="s">
        <v>663</v>
      </c>
      <c r="R4" s="10" t="s">
        <v>664</v>
      </c>
      <c r="S4" s="10" t="s">
        <v>665</v>
      </c>
      <c r="T4" s="10" t="s">
        <v>666</v>
      </c>
      <c r="U4" s="10" t="s">
        <v>667</v>
      </c>
      <c r="V4" s="10" t="s">
        <v>668</v>
      </c>
      <c r="W4" s="10" t="s">
        <v>669</v>
      </c>
      <c r="X4" s="10" t="s">
        <v>670</v>
      </c>
      <c r="Y4" s="10" t="s">
        <v>671</v>
      </c>
      <c r="Z4" s="27" t="s">
        <v>672</v>
      </c>
      <c r="AA4" s="10" t="s">
        <v>673</v>
      </c>
      <c r="AB4" s="10" t="s">
        <v>674</v>
      </c>
      <c r="AC4" s="27" t="s">
        <v>675</v>
      </c>
      <c r="AD4" s="10" t="s">
        <v>676</v>
      </c>
      <c r="AE4" s="10" t="s">
        <v>677</v>
      </c>
      <c r="AF4" s="10" t="s">
        <v>678</v>
      </c>
      <c r="AG4" s="10" t="s">
        <v>679</v>
      </c>
      <c r="AH4" s="10" t="s">
        <v>680</v>
      </c>
      <c r="AI4" s="10" t="s">
        <v>681</v>
      </c>
      <c r="AJ4" s="10" t="s">
        <v>682</v>
      </c>
      <c r="AK4" s="10" t="s">
        <v>683</v>
      </c>
      <c r="AL4" s="36" t="s">
        <v>684</v>
      </c>
      <c r="AM4" s="36" t="s">
        <v>684</v>
      </c>
      <c r="AN4" s="10" t="s">
        <v>685</v>
      </c>
      <c r="AO4" s="10" t="s">
        <v>686</v>
      </c>
    </row>
    <row r="5" spans="1:41" s="4" customFormat="1">
      <c r="A5" s="4" t="s">
        <v>687</v>
      </c>
      <c r="B5" s="4" t="s">
        <v>688</v>
      </c>
      <c r="Z5" s="22"/>
    </row>
    <row r="6" spans="1:41">
      <c r="A6" s="11" t="s">
        <v>689</v>
      </c>
      <c r="B6" s="11" t="s">
        <v>690</v>
      </c>
      <c r="C6" s="11" t="s">
        <v>691</v>
      </c>
      <c r="D6" s="32"/>
      <c r="E6" s="11" t="s">
        <v>3</v>
      </c>
      <c r="F6" s="12">
        <v>0</v>
      </c>
      <c r="G6" s="12">
        <v>0</v>
      </c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>
        <v>0</v>
      </c>
      <c r="X6" s="12"/>
      <c r="Y6" s="12"/>
      <c r="Z6" s="23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</row>
    <row r="7" spans="1:41" ht="31.5">
      <c r="A7" s="11">
        <v>1</v>
      </c>
      <c r="B7" s="11" t="s">
        <v>692</v>
      </c>
      <c r="C7" s="11" t="s">
        <v>693</v>
      </c>
      <c r="D7" s="32"/>
      <c r="E7" s="11" t="s">
        <v>3</v>
      </c>
      <c r="F7" s="11">
        <v>5</v>
      </c>
      <c r="G7" s="11">
        <v>5</v>
      </c>
      <c r="H7" s="11" t="str">
        <f>A6</f>
        <v>INIT</v>
      </c>
      <c r="I7" s="11"/>
      <c r="J7" s="11"/>
      <c r="K7" s="11"/>
      <c r="L7" s="11"/>
      <c r="M7" s="11" t="s">
        <v>694</v>
      </c>
      <c r="N7" s="11" t="s">
        <v>695</v>
      </c>
      <c r="O7" s="11" t="s">
        <v>696</v>
      </c>
      <c r="P7" s="11" t="s">
        <v>697</v>
      </c>
      <c r="Q7" s="11" t="s">
        <v>698</v>
      </c>
      <c r="R7" s="11">
        <f t="shared" ref="R7:R70" si="0">IF(OR(H7="INIT",H7&gt;0),IF(AND($E7="Yes",VLOOKUP(H7,$A$6:$E$461,5,FALSE)="Yes"),VLOOKUP(H7,$A$6:$W$461,23,FALSE)+VLOOKUP(H7,$A$6:$F$461,6,FALSE),""),"")</f>
        <v>0</v>
      </c>
      <c r="S7" s="11" t="str">
        <f t="shared" ref="S7:S70" si="1">IF(OR(I7="INIT",I7&gt;0),IF(AND($E7="Yes",VLOOKUP(I7,$A$6:$E$461,5,FALSE)="Yes"),VLOOKUP(I7,$A$6:$W$461,23,FALSE)+VLOOKUP(I7,$A$6:$F$461,6,FALSE),""),"")</f>
        <v/>
      </c>
      <c r="T7" s="11" t="str">
        <f t="shared" ref="T7:T70" si="2">IF(OR(J7="INIT",J7&gt;0),IF(AND($E7="Yes",VLOOKUP(J7,$A$6:$E$461,5,FALSE)="Yes"),VLOOKUP(J7,$A$6:$W$461,23,FALSE)+VLOOKUP(J7,$A$6:$F$461,6,FALSE),""),"")</f>
        <v/>
      </c>
      <c r="U7" s="11" t="str">
        <f t="shared" ref="U7:U70" si="3">IF(OR(K7="INIT",K7&gt;0),IF(AND($E7="Yes",VLOOKUP(K7,$A$6:$E$461,5,FALSE)="Yes"),VLOOKUP(K7,$A$6:$W$461,23,FALSE)+VLOOKUP(K7,$A$6:$F$461,6,FALSE),""),"")</f>
        <v/>
      </c>
      <c r="V7" s="11" t="str">
        <f t="shared" ref="V7:V70" si="4">IF(OR(L7="INIT",L7&gt;0),IF(AND($E7="Yes",VLOOKUP(L7,$A$6:$E$461,5,FALSE)="Yes"),VLOOKUP(L7,$A$6:$W$461,23,FALSE)+VLOOKUP(L7,$A$6:$F$461,6,FALSE),""),"")</f>
        <v/>
      </c>
      <c r="W7" s="11">
        <f>IF($E7="Yes",MAX(R7:V7),"")</f>
        <v>0</v>
      </c>
      <c r="X7" s="11" t="s">
        <v>699</v>
      </c>
      <c r="Y7" s="11" t="str">
        <f>HLOOKUP($X7,Tables_Cat!$B$6:$P$7,2,FALSE)</f>
        <v>Information</v>
      </c>
      <c r="Z7" s="24" t="s">
        <v>700</v>
      </c>
      <c r="AA7" s="11" t="s">
        <v>701</v>
      </c>
      <c r="AB7" s="13">
        <f>IF($E7="Yes",($F7-$G7)/$F7,"")</f>
        <v>0</v>
      </c>
      <c r="AC7" s="11" t="s">
        <v>702</v>
      </c>
      <c r="AD7" s="11">
        <f>IF($E7="Yes",$AB7+$AI7,"")</f>
        <v>0</v>
      </c>
      <c r="AE7" s="11" t="s">
        <v>703</v>
      </c>
      <c r="AF7" s="11">
        <f>IF($E7="Yes",$F7*$W7,"")</f>
        <v>0</v>
      </c>
      <c r="AG7" s="11">
        <f>IF($E7="Yes",$F7*$W7^2,"")</f>
        <v>0</v>
      </c>
      <c r="AH7" s="11">
        <f t="shared" ref="AH7" si="5">IF($E7="Yes",IF($AA7="Engineer",5,IF($AA7="Implement",4,IF($AA7="Manage",3,IF($AA7="Validate",2,1)))),"")</f>
        <v>3</v>
      </c>
      <c r="AI7" s="11">
        <f>IF(AND($E7="Yes",$Z7&lt;&gt;"Not applicable"),IF($Z7="Manual/ None",0,IF($Z7="Other",2,4)),"")</f>
        <v>0</v>
      </c>
      <c r="AJ7" s="11">
        <f>IF($E7="Yes",$G7*$W7,"")</f>
        <v>0</v>
      </c>
      <c r="AK7" s="11">
        <f>IF($E7="Yes",$G7*$W7^2,"")</f>
        <v>0</v>
      </c>
      <c r="AN7" s="11" t="s">
        <v>704</v>
      </c>
      <c r="AO7" s="11" t="s">
        <v>705</v>
      </c>
    </row>
    <row r="8" spans="1:41" ht="63">
      <c r="A8" s="11">
        <v>2</v>
      </c>
      <c r="B8" s="11" t="s">
        <v>692</v>
      </c>
      <c r="C8" s="11" t="s">
        <v>706</v>
      </c>
      <c r="D8" s="32"/>
      <c r="E8" s="11" t="s">
        <v>3</v>
      </c>
      <c r="F8" s="11">
        <v>3</v>
      </c>
      <c r="G8" s="11">
        <v>2</v>
      </c>
      <c r="H8" s="11">
        <f>A7</f>
        <v>1</v>
      </c>
      <c r="I8" s="11"/>
      <c r="J8" s="11"/>
      <c r="K8" s="11"/>
      <c r="L8" s="11"/>
      <c r="M8" s="11" t="s">
        <v>694</v>
      </c>
      <c r="N8" s="11" t="s">
        <v>707</v>
      </c>
      <c r="O8" s="11" t="s">
        <v>697</v>
      </c>
      <c r="P8" s="11" t="s">
        <v>708</v>
      </c>
      <c r="Q8" s="11" t="s">
        <v>698</v>
      </c>
      <c r="R8" s="11">
        <f t="shared" si="0"/>
        <v>5</v>
      </c>
      <c r="S8" s="11" t="str">
        <f t="shared" si="1"/>
        <v/>
      </c>
      <c r="T8" s="11" t="str">
        <f t="shared" si="2"/>
        <v/>
      </c>
      <c r="U8" s="11" t="str">
        <f t="shared" si="3"/>
        <v/>
      </c>
      <c r="V8" s="11" t="str">
        <f t="shared" si="4"/>
        <v/>
      </c>
      <c r="W8" s="11">
        <f t="shared" ref="W8" si="6">IF($E8="Yes",MAX(R8:V8),"")</f>
        <v>5</v>
      </c>
      <c r="X8" s="11" t="s">
        <v>699</v>
      </c>
      <c r="Y8" s="11" t="str">
        <f>HLOOKUP($X8,Tables_Cat!$B$6:$P$7,2,FALSE)</f>
        <v>Information</v>
      </c>
      <c r="Z8" s="24" t="s">
        <v>709</v>
      </c>
      <c r="AA8" s="11" t="s">
        <v>701</v>
      </c>
      <c r="AB8" s="13">
        <f>IF($E8="Yes",($F8-$G8)/$F8,"")</f>
        <v>0.33333333333333331</v>
      </c>
      <c r="AC8" s="11" t="s">
        <v>702</v>
      </c>
      <c r="AD8" s="11">
        <f t="shared" ref="AD8:AD102" si="7">IF($E8="Yes",$AB8+$AI8,"")</f>
        <v>4.333333333333333</v>
      </c>
      <c r="AE8" s="11" t="s">
        <v>703</v>
      </c>
      <c r="AF8" s="11">
        <f t="shared" ref="AF8:AF102" si="8">IF($E8="Yes",$F8*$W8,"")</f>
        <v>15</v>
      </c>
      <c r="AG8" s="11">
        <f t="shared" ref="AG8:AG102" si="9">IF($E8="Yes",$F8*$W8^2,"")</f>
        <v>75</v>
      </c>
      <c r="AH8" s="11">
        <f>IF($E8="Yes",IF($AA8="Engineer",5,IF($AA8="Implement",4,IF($AA8="Manage",3,IF($AA8="Validate",2,1)))),"")</f>
        <v>3</v>
      </c>
      <c r="AI8" s="11">
        <f t="shared" ref="AI8:AI102" si="10">IF(AND($E8="Yes",$Z8&lt;&gt;"Not applicable"),IF($Z8="Manual/ None",0,IF($Z8="Other",2,4)),"")</f>
        <v>4</v>
      </c>
      <c r="AJ8" s="11">
        <f t="shared" ref="AJ8:AJ102" si="11">IF($E8="Yes",$G8*$W8,"")</f>
        <v>10</v>
      </c>
      <c r="AK8" s="11">
        <f t="shared" ref="AK8:AK102" si="12">IF($E8="Yes",$G8*$W8^2,"")</f>
        <v>50</v>
      </c>
      <c r="AN8" s="11" t="s">
        <v>710</v>
      </c>
      <c r="AO8" s="11" t="s">
        <v>705</v>
      </c>
    </row>
    <row r="9" spans="1:41" ht="63">
      <c r="A9" s="11">
        <v>3</v>
      </c>
      <c r="B9" s="11" t="s">
        <v>692</v>
      </c>
      <c r="C9" s="11" t="s">
        <v>711</v>
      </c>
      <c r="D9" s="32"/>
      <c r="E9" s="11" t="s">
        <v>4</v>
      </c>
      <c r="F9" s="11">
        <v>3</v>
      </c>
      <c r="G9" s="11">
        <v>2</v>
      </c>
      <c r="H9" s="11">
        <v>1</v>
      </c>
      <c r="I9" s="11"/>
      <c r="J9" s="11"/>
      <c r="K9" s="11"/>
      <c r="L9" s="11"/>
      <c r="M9" s="11" t="s">
        <v>694</v>
      </c>
      <c r="N9" s="11" t="s">
        <v>707</v>
      </c>
      <c r="O9" s="11" t="s">
        <v>697</v>
      </c>
      <c r="P9" s="11" t="s">
        <v>708</v>
      </c>
      <c r="Q9" s="11" t="s">
        <v>698</v>
      </c>
      <c r="R9" s="11" t="str">
        <f t="shared" si="0"/>
        <v/>
      </c>
      <c r="S9" s="11" t="str">
        <f t="shared" si="1"/>
        <v/>
      </c>
      <c r="T9" s="11" t="str">
        <f t="shared" si="2"/>
        <v/>
      </c>
      <c r="U9" s="11" t="str">
        <f t="shared" si="3"/>
        <v/>
      </c>
      <c r="V9" s="11" t="str">
        <f t="shared" si="4"/>
        <v/>
      </c>
      <c r="W9" s="11" t="str">
        <f t="shared" ref="W9" si="13">IF($E9="Yes",MAX(R9:V9),"")</f>
        <v/>
      </c>
      <c r="X9" s="11" t="s">
        <v>699</v>
      </c>
      <c r="Y9" s="11" t="str">
        <f>HLOOKUP($X9,Tables_Cat!$B$6:$P$7,2,FALSE)</f>
        <v>Information</v>
      </c>
      <c r="Z9" s="24" t="s">
        <v>709</v>
      </c>
      <c r="AA9" s="11" t="s">
        <v>701</v>
      </c>
      <c r="AB9" s="13" t="str">
        <f t="shared" ref="AB9:AB103" si="14">IF($E9="Yes",($F9-$G9)/$F9,"")</f>
        <v/>
      </c>
      <c r="AC9" s="11" t="s">
        <v>702</v>
      </c>
      <c r="AD9" s="11" t="str">
        <f t="shared" si="7"/>
        <v/>
      </c>
      <c r="AE9" s="11" t="s">
        <v>703</v>
      </c>
      <c r="AF9" s="11" t="str">
        <f t="shared" si="8"/>
        <v/>
      </c>
      <c r="AG9" s="11" t="str">
        <f t="shared" si="9"/>
        <v/>
      </c>
      <c r="AH9" s="11" t="str">
        <f t="shared" ref="AH9:AH103" si="15">IF($E9="Yes",IF($AA9="Engineer",5,IF($AA9="Implement",4,IF($AA9="Manage",3,IF($AA9="Validate",2,1)))),"")</f>
        <v/>
      </c>
      <c r="AI9" s="11" t="str">
        <f t="shared" si="10"/>
        <v/>
      </c>
      <c r="AJ9" s="11" t="str">
        <f t="shared" si="11"/>
        <v/>
      </c>
      <c r="AK9" s="11" t="str">
        <f t="shared" si="12"/>
        <v/>
      </c>
      <c r="AN9" s="11" t="s">
        <v>712</v>
      </c>
      <c r="AO9" s="11" t="s">
        <v>705</v>
      </c>
    </row>
    <row r="10" spans="1:41" ht="47.25">
      <c r="A10" s="11">
        <v>4</v>
      </c>
      <c r="B10" s="11" t="s">
        <v>692</v>
      </c>
      <c r="C10" s="11" t="s">
        <v>713</v>
      </c>
      <c r="D10" s="32"/>
      <c r="E10" s="11" t="s">
        <v>3</v>
      </c>
      <c r="F10" s="11">
        <v>2</v>
      </c>
      <c r="G10" s="11">
        <v>2</v>
      </c>
      <c r="H10" s="11">
        <f>A7</f>
        <v>1</v>
      </c>
      <c r="I10" s="11"/>
      <c r="J10" s="11"/>
      <c r="K10" s="11"/>
      <c r="L10" s="11"/>
      <c r="M10" s="11" t="s">
        <v>694</v>
      </c>
      <c r="N10" s="11" t="s">
        <v>707</v>
      </c>
      <c r="O10" s="11" t="s">
        <v>697</v>
      </c>
      <c r="P10" s="11" t="s">
        <v>708</v>
      </c>
      <c r="Q10" s="11" t="s">
        <v>698</v>
      </c>
      <c r="R10" s="11">
        <f t="shared" si="0"/>
        <v>5</v>
      </c>
      <c r="S10" s="11" t="str">
        <f t="shared" si="1"/>
        <v/>
      </c>
      <c r="T10" s="11" t="str">
        <f t="shared" si="2"/>
        <v/>
      </c>
      <c r="U10" s="11" t="str">
        <f t="shared" si="3"/>
        <v/>
      </c>
      <c r="V10" s="11" t="str">
        <f t="shared" si="4"/>
        <v/>
      </c>
      <c r="W10" s="11">
        <f t="shared" ref="W10:W22" si="16">IF($E10="Yes",MAX(R10:V10),"")</f>
        <v>5</v>
      </c>
      <c r="X10" s="11" t="s">
        <v>699</v>
      </c>
      <c r="Y10" s="11" t="str">
        <f>HLOOKUP($X10,Tables_Cat!$B$6:$P$7,2,FALSE)</f>
        <v>Information</v>
      </c>
      <c r="Z10" s="24" t="s">
        <v>709</v>
      </c>
      <c r="AA10" s="11" t="s">
        <v>701</v>
      </c>
      <c r="AB10" s="13">
        <f t="shared" si="14"/>
        <v>0</v>
      </c>
      <c r="AC10" s="11" t="s">
        <v>702</v>
      </c>
      <c r="AD10" s="11">
        <f t="shared" si="7"/>
        <v>4</v>
      </c>
      <c r="AE10" s="11" t="s">
        <v>703</v>
      </c>
      <c r="AF10" s="11">
        <f t="shared" si="8"/>
        <v>10</v>
      </c>
      <c r="AG10" s="11">
        <f t="shared" si="9"/>
        <v>50</v>
      </c>
      <c r="AH10" s="11">
        <f t="shared" si="15"/>
        <v>3</v>
      </c>
      <c r="AI10" s="11">
        <f t="shared" si="10"/>
        <v>4</v>
      </c>
      <c r="AJ10" s="11">
        <f t="shared" si="11"/>
        <v>10</v>
      </c>
      <c r="AK10" s="11">
        <f t="shared" si="12"/>
        <v>50</v>
      </c>
      <c r="AN10" s="11" t="s">
        <v>714</v>
      </c>
      <c r="AO10" s="11" t="s">
        <v>705</v>
      </c>
    </row>
    <row r="11" spans="1:41" ht="47.25">
      <c r="A11" s="11">
        <v>5</v>
      </c>
      <c r="B11" s="11" t="s">
        <v>692</v>
      </c>
      <c r="C11" s="11" t="s">
        <v>715</v>
      </c>
      <c r="D11" s="32"/>
      <c r="E11" s="11" t="s">
        <v>4</v>
      </c>
      <c r="F11" s="11">
        <v>3</v>
      </c>
      <c r="G11" s="11">
        <v>2</v>
      </c>
      <c r="H11" s="11">
        <v>1</v>
      </c>
      <c r="I11" s="11"/>
      <c r="J11" s="11"/>
      <c r="K11" s="11"/>
      <c r="L11" s="11"/>
      <c r="M11" s="11" t="s">
        <v>694</v>
      </c>
      <c r="N11" s="11" t="s">
        <v>707</v>
      </c>
      <c r="O11" s="11" t="s">
        <v>697</v>
      </c>
      <c r="P11" s="11" t="s">
        <v>708</v>
      </c>
      <c r="Q11" s="11" t="s">
        <v>698</v>
      </c>
      <c r="R11" s="11" t="str">
        <f t="shared" si="0"/>
        <v/>
      </c>
      <c r="S11" s="11" t="str">
        <f t="shared" si="1"/>
        <v/>
      </c>
      <c r="T11" s="11" t="str">
        <f t="shared" si="2"/>
        <v/>
      </c>
      <c r="U11" s="11" t="str">
        <f t="shared" si="3"/>
        <v/>
      </c>
      <c r="V11" s="11" t="str">
        <f t="shared" si="4"/>
        <v/>
      </c>
      <c r="W11" s="11" t="str">
        <f t="shared" ref="W11" si="17">IF($E11="Yes",MAX(R11:V11),"")</f>
        <v/>
      </c>
      <c r="X11" s="11" t="s">
        <v>699</v>
      </c>
      <c r="Y11" s="11" t="str">
        <f>HLOOKUP($X11,Tables_Cat!$B$6:$P$7,2,FALSE)</f>
        <v>Information</v>
      </c>
      <c r="Z11" s="24" t="s">
        <v>709</v>
      </c>
      <c r="AA11" s="11" t="s">
        <v>701</v>
      </c>
      <c r="AB11" s="13" t="str">
        <f t="shared" si="14"/>
        <v/>
      </c>
      <c r="AC11" s="11" t="s">
        <v>702</v>
      </c>
      <c r="AD11" s="11" t="str">
        <f t="shared" si="7"/>
        <v/>
      </c>
      <c r="AE11" s="11" t="s">
        <v>703</v>
      </c>
      <c r="AF11" s="11" t="str">
        <f t="shared" si="8"/>
        <v/>
      </c>
      <c r="AG11" s="11" t="str">
        <f t="shared" si="9"/>
        <v/>
      </c>
      <c r="AH11" s="11" t="str">
        <f t="shared" si="15"/>
        <v/>
      </c>
      <c r="AI11" s="11" t="str">
        <f t="shared" si="10"/>
        <v/>
      </c>
      <c r="AJ11" s="11" t="str">
        <f t="shared" si="11"/>
        <v/>
      </c>
      <c r="AK11" s="11" t="str">
        <f t="shared" si="12"/>
        <v/>
      </c>
      <c r="AN11" s="11" t="s">
        <v>714</v>
      </c>
      <c r="AO11" s="11" t="s">
        <v>705</v>
      </c>
    </row>
    <row r="12" spans="1:41" ht="31.5">
      <c r="A12" s="11">
        <v>6</v>
      </c>
      <c r="B12" s="11" t="s">
        <v>692</v>
      </c>
      <c r="C12" s="11" t="s">
        <v>716</v>
      </c>
      <c r="D12" s="32"/>
      <c r="E12" s="11" t="s">
        <v>4</v>
      </c>
      <c r="F12" s="11">
        <v>3</v>
      </c>
      <c r="G12" s="11">
        <v>2</v>
      </c>
      <c r="H12" s="11">
        <v>1</v>
      </c>
      <c r="I12" s="11"/>
      <c r="J12" s="11"/>
      <c r="K12" s="11"/>
      <c r="L12" s="11"/>
      <c r="M12" s="11" t="s">
        <v>694</v>
      </c>
      <c r="N12" s="11" t="s">
        <v>707</v>
      </c>
      <c r="O12" s="11" t="s">
        <v>697</v>
      </c>
      <c r="P12" s="11" t="s">
        <v>708</v>
      </c>
      <c r="Q12" s="11" t="s">
        <v>698</v>
      </c>
      <c r="R12" s="11" t="str">
        <f t="shared" si="0"/>
        <v/>
      </c>
      <c r="S12" s="11" t="str">
        <f t="shared" si="1"/>
        <v/>
      </c>
      <c r="T12" s="11" t="str">
        <f t="shared" si="2"/>
        <v/>
      </c>
      <c r="U12" s="11" t="str">
        <f t="shared" si="3"/>
        <v/>
      </c>
      <c r="V12" s="11" t="str">
        <f t="shared" si="4"/>
        <v/>
      </c>
      <c r="W12" s="11" t="str">
        <f t="shared" ref="W12" si="18">IF($E12="Yes",MAX(R12:V12),"")</f>
        <v/>
      </c>
      <c r="X12" s="11" t="s">
        <v>699</v>
      </c>
      <c r="Y12" s="11" t="str">
        <f>HLOOKUP($X12,Tables_Cat!$B$6:$P$7,2,FALSE)</f>
        <v>Information</v>
      </c>
      <c r="Z12" s="24" t="s">
        <v>709</v>
      </c>
      <c r="AA12" s="11" t="s">
        <v>701</v>
      </c>
      <c r="AB12" s="13" t="str">
        <f t="shared" si="14"/>
        <v/>
      </c>
      <c r="AC12" s="11" t="s">
        <v>702</v>
      </c>
      <c r="AD12" s="11" t="str">
        <f t="shared" si="7"/>
        <v/>
      </c>
      <c r="AE12" s="11" t="s">
        <v>703</v>
      </c>
      <c r="AF12" s="11" t="str">
        <f t="shared" si="8"/>
        <v/>
      </c>
      <c r="AG12" s="11" t="str">
        <f t="shared" si="9"/>
        <v/>
      </c>
      <c r="AH12" s="11" t="str">
        <f t="shared" si="15"/>
        <v/>
      </c>
      <c r="AI12" s="11" t="str">
        <f t="shared" si="10"/>
        <v/>
      </c>
      <c r="AJ12" s="11" t="str">
        <f t="shared" si="11"/>
        <v/>
      </c>
      <c r="AK12" s="11" t="str">
        <f t="shared" si="12"/>
        <v/>
      </c>
      <c r="AN12" s="11" t="s">
        <v>704</v>
      </c>
      <c r="AO12" s="11" t="s">
        <v>705</v>
      </c>
    </row>
    <row r="13" spans="1:41" ht="47.25">
      <c r="A13" s="11">
        <v>7</v>
      </c>
      <c r="B13" s="11" t="s">
        <v>692</v>
      </c>
      <c r="C13" s="11" t="s">
        <v>717</v>
      </c>
      <c r="D13" s="32"/>
      <c r="E13" s="11" t="s">
        <v>4</v>
      </c>
      <c r="F13" s="11">
        <v>3</v>
      </c>
      <c r="G13" s="11">
        <v>2</v>
      </c>
      <c r="H13" s="11">
        <v>1</v>
      </c>
      <c r="I13" s="11"/>
      <c r="J13" s="11"/>
      <c r="K13" s="11"/>
      <c r="L13" s="11"/>
      <c r="M13" s="11" t="s">
        <v>694</v>
      </c>
      <c r="N13" s="11" t="s">
        <v>707</v>
      </c>
      <c r="O13" s="11" t="s">
        <v>697</v>
      </c>
      <c r="P13" s="11" t="s">
        <v>708</v>
      </c>
      <c r="Q13" s="11" t="s">
        <v>698</v>
      </c>
      <c r="R13" s="11" t="str">
        <f t="shared" si="0"/>
        <v/>
      </c>
      <c r="S13" s="11" t="str">
        <f t="shared" si="1"/>
        <v/>
      </c>
      <c r="T13" s="11" t="str">
        <f t="shared" si="2"/>
        <v/>
      </c>
      <c r="U13" s="11" t="str">
        <f t="shared" si="3"/>
        <v/>
      </c>
      <c r="V13" s="11" t="str">
        <f t="shared" si="4"/>
        <v/>
      </c>
      <c r="W13" s="11" t="str">
        <f t="shared" ref="W13:W14" si="19">IF($E13="Yes",MAX(R13:V13),"")</f>
        <v/>
      </c>
      <c r="X13" s="11" t="s">
        <v>699</v>
      </c>
      <c r="Y13" s="11" t="str">
        <f>HLOOKUP($X13,Tables_Cat!$B$6:$P$7,2,FALSE)</f>
        <v>Information</v>
      </c>
      <c r="Z13" s="24" t="s">
        <v>709</v>
      </c>
      <c r="AA13" s="11" t="s">
        <v>701</v>
      </c>
      <c r="AB13" s="13" t="str">
        <f t="shared" si="14"/>
        <v/>
      </c>
      <c r="AC13" s="11" t="s">
        <v>702</v>
      </c>
      <c r="AD13" s="11" t="str">
        <f t="shared" si="7"/>
        <v/>
      </c>
      <c r="AE13" s="11" t="s">
        <v>703</v>
      </c>
      <c r="AF13" s="11" t="str">
        <f t="shared" si="8"/>
        <v/>
      </c>
      <c r="AG13" s="11" t="str">
        <f t="shared" si="9"/>
        <v/>
      </c>
      <c r="AH13" s="11" t="str">
        <f t="shared" si="15"/>
        <v/>
      </c>
      <c r="AI13" s="11" t="str">
        <f t="shared" si="10"/>
        <v/>
      </c>
      <c r="AJ13" s="11" t="str">
        <f t="shared" si="11"/>
        <v/>
      </c>
      <c r="AK13" s="11" t="str">
        <f t="shared" si="12"/>
        <v/>
      </c>
      <c r="AN13" s="11" t="s">
        <v>704</v>
      </c>
      <c r="AO13" s="11" t="s">
        <v>705</v>
      </c>
    </row>
    <row r="14" spans="1:41" ht="31.5">
      <c r="A14" s="11">
        <v>8</v>
      </c>
      <c r="B14" s="11" t="s">
        <v>718</v>
      </c>
      <c r="C14" s="11" t="s">
        <v>719</v>
      </c>
      <c r="D14" s="32"/>
      <c r="E14" s="11" t="s">
        <v>4</v>
      </c>
      <c r="F14" s="11">
        <v>3</v>
      </c>
      <c r="G14" s="11">
        <v>2</v>
      </c>
      <c r="H14" s="11">
        <v>1</v>
      </c>
      <c r="I14" s="11"/>
      <c r="J14" s="11"/>
      <c r="K14" s="11"/>
      <c r="L14" s="11"/>
      <c r="M14" s="11" t="s">
        <v>694</v>
      </c>
      <c r="N14" s="11" t="s">
        <v>720</v>
      </c>
      <c r="O14" s="11" t="s">
        <v>696</v>
      </c>
      <c r="P14" s="11" t="s">
        <v>696</v>
      </c>
      <c r="Q14" s="11" t="s">
        <v>464</v>
      </c>
      <c r="R14" s="11" t="str">
        <f t="shared" si="0"/>
        <v/>
      </c>
      <c r="S14" s="11" t="str">
        <f t="shared" si="1"/>
        <v/>
      </c>
      <c r="T14" s="11" t="str">
        <f t="shared" si="2"/>
        <v/>
      </c>
      <c r="U14" s="11" t="str">
        <f t="shared" si="3"/>
        <v/>
      </c>
      <c r="V14" s="11" t="str">
        <f t="shared" si="4"/>
        <v/>
      </c>
      <c r="W14" s="11" t="str">
        <f t="shared" si="19"/>
        <v/>
      </c>
      <c r="X14" s="11" t="s">
        <v>699</v>
      </c>
      <c r="Y14" s="11" t="str">
        <f>HLOOKUP($X14,Tables_Cat!$B$6:$P$7,2,FALSE)</f>
        <v>Information</v>
      </c>
      <c r="Z14" s="24" t="s">
        <v>709</v>
      </c>
      <c r="AA14" s="11" t="s">
        <v>701</v>
      </c>
      <c r="AB14" s="13" t="str">
        <f t="shared" si="14"/>
        <v/>
      </c>
      <c r="AC14" s="11" t="s">
        <v>702</v>
      </c>
      <c r="AD14" s="11" t="str">
        <f t="shared" si="7"/>
        <v/>
      </c>
      <c r="AE14" s="11" t="s">
        <v>721</v>
      </c>
      <c r="AF14" s="11" t="str">
        <f t="shared" si="8"/>
        <v/>
      </c>
      <c r="AG14" s="11" t="str">
        <f t="shared" si="9"/>
        <v/>
      </c>
      <c r="AH14" s="11" t="str">
        <f t="shared" si="15"/>
        <v/>
      </c>
      <c r="AI14" s="11" t="str">
        <f t="shared" si="10"/>
        <v/>
      </c>
      <c r="AJ14" s="11" t="str">
        <f t="shared" si="11"/>
        <v/>
      </c>
      <c r="AK14" s="11" t="str">
        <f t="shared" si="12"/>
        <v/>
      </c>
      <c r="AN14" s="11" t="s">
        <v>722</v>
      </c>
      <c r="AO14" s="11" t="s">
        <v>723</v>
      </c>
    </row>
    <row r="15" spans="1:41" ht="31.5">
      <c r="A15" s="11">
        <v>9</v>
      </c>
      <c r="B15" s="11" t="s">
        <v>718</v>
      </c>
      <c r="C15" s="11" t="s">
        <v>724</v>
      </c>
      <c r="D15" s="32"/>
      <c r="E15" s="11" t="s">
        <v>4</v>
      </c>
      <c r="F15" s="11">
        <v>3</v>
      </c>
      <c r="G15" s="11">
        <v>2</v>
      </c>
      <c r="H15" s="11">
        <v>1</v>
      </c>
      <c r="I15" s="11"/>
      <c r="J15" s="11"/>
      <c r="K15" s="11"/>
      <c r="L15" s="11"/>
      <c r="M15" s="11" t="s">
        <v>694</v>
      </c>
      <c r="N15" s="11" t="s">
        <v>720</v>
      </c>
      <c r="O15" s="11" t="s">
        <v>696</v>
      </c>
      <c r="P15" s="11" t="s">
        <v>696</v>
      </c>
      <c r="Q15" s="11" t="s">
        <v>464</v>
      </c>
      <c r="R15" s="11" t="str">
        <f t="shared" si="0"/>
        <v/>
      </c>
      <c r="S15" s="11" t="str">
        <f t="shared" si="1"/>
        <v/>
      </c>
      <c r="T15" s="11" t="str">
        <f t="shared" si="2"/>
        <v/>
      </c>
      <c r="U15" s="11" t="str">
        <f t="shared" si="3"/>
        <v/>
      </c>
      <c r="V15" s="11" t="str">
        <f t="shared" si="4"/>
        <v/>
      </c>
      <c r="W15" s="11" t="str">
        <f t="shared" ref="W15" si="20">IF($E15="Yes",MAX(R15:V15),"")</f>
        <v/>
      </c>
      <c r="X15" s="11" t="s">
        <v>699</v>
      </c>
      <c r="Y15" s="11" t="str">
        <f>HLOOKUP($X15,Tables_Cat!$B$6:$P$7,2,FALSE)</f>
        <v>Information</v>
      </c>
      <c r="Z15" s="24" t="s">
        <v>709</v>
      </c>
      <c r="AA15" s="11" t="s">
        <v>701</v>
      </c>
      <c r="AB15" s="13" t="str">
        <f t="shared" si="14"/>
        <v/>
      </c>
      <c r="AC15" s="11" t="s">
        <v>702</v>
      </c>
      <c r="AD15" s="11" t="str">
        <f t="shared" si="7"/>
        <v/>
      </c>
      <c r="AE15" s="11" t="s">
        <v>721</v>
      </c>
      <c r="AF15" s="11" t="str">
        <f t="shared" si="8"/>
        <v/>
      </c>
      <c r="AG15" s="11" t="str">
        <f t="shared" si="9"/>
        <v/>
      </c>
      <c r="AH15" s="11" t="str">
        <f t="shared" si="15"/>
        <v/>
      </c>
      <c r="AI15" s="11" t="str">
        <f t="shared" si="10"/>
        <v/>
      </c>
      <c r="AJ15" s="11" t="str">
        <f t="shared" si="11"/>
        <v/>
      </c>
      <c r="AK15" s="11" t="str">
        <f t="shared" si="12"/>
        <v/>
      </c>
      <c r="AN15" s="11" t="s">
        <v>722</v>
      </c>
      <c r="AO15" s="11" t="s">
        <v>723</v>
      </c>
    </row>
    <row r="16" spans="1:41" ht="47.25">
      <c r="A16" s="11">
        <v>10</v>
      </c>
      <c r="B16" s="11" t="s">
        <v>718</v>
      </c>
      <c r="C16" s="11" t="s">
        <v>725</v>
      </c>
      <c r="D16" s="32"/>
      <c r="E16" s="11" t="s">
        <v>4</v>
      </c>
      <c r="F16" s="11">
        <v>3</v>
      </c>
      <c r="G16" s="11">
        <v>2</v>
      </c>
      <c r="H16" s="11">
        <v>1</v>
      </c>
      <c r="I16" s="11"/>
      <c r="J16" s="11"/>
      <c r="K16" s="11"/>
      <c r="L16" s="11"/>
      <c r="M16" s="11" t="s">
        <v>694</v>
      </c>
      <c r="N16" s="11" t="s">
        <v>720</v>
      </c>
      <c r="O16" s="11" t="s">
        <v>696</v>
      </c>
      <c r="P16" s="11" t="s">
        <v>726</v>
      </c>
      <c r="Q16" s="11" t="s">
        <v>464</v>
      </c>
      <c r="R16" s="11" t="str">
        <f t="shared" si="0"/>
        <v/>
      </c>
      <c r="S16" s="11" t="str">
        <f t="shared" si="1"/>
        <v/>
      </c>
      <c r="T16" s="11" t="str">
        <f t="shared" si="2"/>
        <v/>
      </c>
      <c r="U16" s="11" t="str">
        <f t="shared" si="3"/>
        <v/>
      </c>
      <c r="V16" s="11" t="str">
        <f t="shared" si="4"/>
        <v/>
      </c>
      <c r="W16" s="11" t="str">
        <f t="shared" ref="W16" si="21">IF($E16="Yes",MAX(R16:V16),"")</f>
        <v/>
      </c>
      <c r="X16" s="11" t="s">
        <v>727</v>
      </c>
      <c r="Y16" s="11" t="str">
        <f>HLOOKUP($X16,Tables_Cat!$B$6:$P$7,2,FALSE)</f>
        <v>Material</v>
      </c>
      <c r="Z16" s="24" t="s">
        <v>709</v>
      </c>
      <c r="AA16" s="11" t="s">
        <v>728</v>
      </c>
      <c r="AB16" s="13" t="str">
        <f t="shared" si="14"/>
        <v/>
      </c>
      <c r="AC16" s="11" t="s">
        <v>702</v>
      </c>
      <c r="AD16" s="11" t="str">
        <f t="shared" si="7"/>
        <v/>
      </c>
      <c r="AE16" s="11" t="s">
        <v>721</v>
      </c>
      <c r="AF16" s="11" t="str">
        <f t="shared" si="8"/>
        <v/>
      </c>
      <c r="AG16" s="11" t="str">
        <f t="shared" si="9"/>
        <v/>
      </c>
      <c r="AH16" s="11" t="str">
        <f t="shared" si="15"/>
        <v/>
      </c>
      <c r="AI16" s="11" t="str">
        <f t="shared" si="10"/>
        <v/>
      </c>
      <c r="AJ16" s="11" t="str">
        <f t="shared" si="11"/>
        <v/>
      </c>
      <c r="AK16" s="11" t="str">
        <f t="shared" si="12"/>
        <v/>
      </c>
      <c r="AN16" s="11" t="s">
        <v>722</v>
      </c>
      <c r="AO16" s="11" t="s">
        <v>723</v>
      </c>
    </row>
    <row r="17" spans="1:41" ht="31.5">
      <c r="A17" s="11">
        <v>11</v>
      </c>
      <c r="B17" s="11" t="s">
        <v>718</v>
      </c>
      <c r="C17" s="11" t="s">
        <v>729</v>
      </c>
      <c r="D17" s="32"/>
      <c r="E17" s="11" t="s">
        <v>4</v>
      </c>
      <c r="F17" s="11">
        <v>3</v>
      </c>
      <c r="G17" s="11">
        <v>2</v>
      </c>
      <c r="H17" s="11">
        <v>1</v>
      </c>
      <c r="I17" s="11"/>
      <c r="J17" s="11"/>
      <c r="K17" s="11"/>
      <c r="L17" s="11"/>
      <c r="M17" s="11" t="s">
        <v>694</v>
      </c>
      <c r="N17" s="11" t="s">
        <v>720</v>
      </c>
      <c r="O17" s="11" t="s">
        <v>726</v>
      </c>
      <c r="P17" s="11" t="s">
        <v>726</v>
      </c>
      <c r="Q17" s="11" t="s">
        <v>464</v>
      </c>
      <c r="R17" s="11" t="str">
        <f t="shared" si="0"/>
        <v/>
      </c>
      <c r="S17" s="11" t="str">
        <f t="shared" si="1"/>
        <v/>
      </c>
      <c r="T17" s="11" t="str">
        <f t="shared" si="2"/>
        <v/>
      </c>
      <c r="U17" s="11" t="str">
        <f t="shared" si="3"/>
        <v/>
      </c>
      <c r="V17" s="11" t="str">
        <f t="shared" si="4"/>
        <v/>
      </c>
      <c r="W17" s="11" t="str">
        <f t="shared" ref="W17" si="22">IF($E17="Yes",MAX(R17:V17),"")</f>
        <v/>
      </c>
      <c r="X17" s="11" t="s">
        <v>727</v>
      </c>
      <c r="Y17" s="11" t="str">
        <f>HLOOKUP($X17,Tables_Cat!$B$6:$P$7,2,FALSE)</f>
        <v>Material</v>
      </c>
      <c r="Z17" s="24" t="s">
        <v>709</v>
      </c>
      <c r="AA17" s="11" t="s">
        <v>728</v>
      </c>
      <c r="AB17" s="13" t="str">
        <f t="shared" si="14"/>
        <v/>
      </c>
      <c r="AC17" s="11" t="s">
        <v>702</v>
      </c>
      <c r="AD17" s="11" t="str">
        <f t="shared" si="7"/>
        <v/>
      </c>
      <c r="AE17" s="11" t="s">
        <v>721</v>
      </c>
      <c r="AF17" s="11" t="str">
        <f t="shared" si="8"/>
        <v/>
      </c>
      <c r="AG17" s="11" t="str">
        <f t="shared" si="9"/>
        <v/>
      </c>
      <c r="AH17" s="11" t="str">
        <f t="shared" si="15"/>
        <v/>
      </c>
      <c r="AI17" s="11" t="str">
        <f t="shared" si="10"/>
        <v/>
      </c>
      <c r="AJ17" s="11" t="str">
        <f t="shared" si="11"/>
        <v/>
      </c>
      <c r="AK17" s="11" t="str">
        <f t="shared" si="12"/>
        <v/>
      </c>
      <c r="AN17" s="11" t="s">
        <v>722</v>
      </c>
      <c r="AO17" s="11" t="s">
        <v>723</v>
      </c>
    </row>
    <row r="18" spans="1:41" ht="47.25">
      <c r="A18" s="11">
        <v>12</v>
      </c>
      <c r="B18" s="11" t="s">
        <v>718</v>
      </c>
      <c r="C18" s="11" t="s">
        <v>730</v>
      </c>
      <c r="D18" s="32"/>
      <c r="E18" s="11" t="s">
        <v>4</v>
      </c>
      <c r="F18" s="11">
        <v>3</v>
      </c>
      <c r="G18" s="11">
        <v>2</v>
      </c>
      <c r="H18" s="11">
        <v>1</v>
      </c>
      <c r="I18" s="11"/>
      <c r="J18" s="11"/>
      <c r="K18" s="11"/>
      <c r="L18" s="11"/>
      <c r="M18" s="11" t="s">
        <v>694</v>
      </c>
      <c r="N18" s="11" t="s">
        <v>720</v>
      </c>
      <c r="O18" s="11" t="s">
        <v>726</v>
      </c>
      <c r="P18" s="11" t="s">
        <v>726</v>
      </c>
      <c r="Q18" s="11" t="s">
        <v>464</v>
      </c>
      <c r="R18" s="11" t="str">
        <f t="shared" si="0"/>
        <v/>
      </c>
      <c r="S18" s="11" t="str">
        <f t="shared" si="1"/>
        <v/>
      </c>
      <c r="T18" s="11" t="str">
        <f t="shared" si="2"/>
        <v/>
      </c>
      <c r="U18" s="11" t="str">
        <f t="shared" si="3"/>
        <v/>
      </c>
      <c r="V18" s="11" t="str">
        <f t="shared" si="4"/>
        <v/>
      </c>
      <c r="W18" s="11" t="str">
        <f t="shared" ref="W18:W20" si="23">IF($E18="Yes",MAX(R18:V18),"")</f>
        <v/>
      </c>
      <c r="X18" s="11" t="s">
        <v>727</v>
      </c>
      <c r="Y18" s="11" t="str">
        <f>HLOOKUP($X18,Tables_Cat!$B$6:$P$7,2,FALSE)</f>
        <v>Material</v>
      </c>
      <c r="Z18" s="24" t="s">
        <v>709</v>
      </c>
      <c r="AA18" s="11" t="s">
        <v>728</v>
      </c>
      <c r="AB18" s="13" t="str">
        <f t="shared" si="14"/>
        <v/>
      </c>
      <c r="AC18" s="11" t="s">
        <v>702</v>
      </c>
      <c r="AD18" s="11" t="str">
        <f t="shared" si="7"/>
        <v/>
      </c>
      <c r="AE18" s="11" t="s">
        <v>721</v>
      </c>
      <c r="AF18" s="11" t="str">
        <f t="shared" si="8"/>
        <v/>
      </c>
      <c r="AG18" s="11" t="str">
        <f t="shared" si="9"/>
        <v/>
      </c>
      <c r="AH18" s="11" t="str">
        <f t="shared" si="15"/>
        <v/>
      </c>
      <c r="AI18" s="11" t="str">
        <f t="shared" si="10"/>
        <v/>
      </c>
      <c r="AJ18" s="11" t="str">
        <f t="shared" si="11"/>
        <v/>
      </c>
      <c r="AK18" s="11" t="str">
        <f t="shared" si="12"/>
        <v/>
      </c>
      <c r="AN18" s="11" t="s">
        <v>722</v>
      </c>
      <c r="AO18" s="11" t="s">
        <v>723</v>
      </c>
    </row>
    <row r="19" spans="1:41" ht="47.25">
      <c r="A19" s="11">
        <v>13</v>
      </c>
      <c r="B19" s="11" t="s">
        <v>718</v>
      </c>
      <c r="C19" s="11" t="s">
        <v>731</v>
      </c>
      <c r="D19" s="32"/>
      <c r="E19" s="11" t="s">
        <v>4</v>
      </c>
      <c r="F19" s="11">
        <v>3</v>
      </c>
      <c r="G19" s="11">
        <v>2</v>
      </c>
      <c r="H19" s="11">
        <v>1</v>
      </c>
      <c r="I19" s="11"/>
      <c r="J19" s="11"/>
      <c r="K19" s="11"/>
      <c r="L19" s="11"/>
      <c r="M19" s="11" t="s">
        <v>694</v>
      </c>
      <c r="N19" s="11" t="s">
        <v>720</v>
      </c>
      <c r="O19" s="11" t="s">
        <v>696</v>
      </c>
      <c r="P19" s="11" t="s">
        <v>726</v>
      </c>
      <c r="Q19" s="11" t="s">
        <v>464</v>
      </c>
      <c r="R19" s="11" t="str">
        <f t="shared" si="0"/>
        <v/>
      </c>
      <c r="S19" s="11" t="str">
        <f t="shared" si="1"/>
        <v/>
      </c>
      <c r="T19" s="11" t="str">
        <f t="shared" si="2"/>
        <v/>
      </c>
      <c r="U19" s="11" t="str">
        <f t="shared" si="3"/>
        <v/>
      </c>
      <c r="V19" s="11" t="str">
        <f t="shared" si="4"/>
        <v/>
      </c>
      <c r="W19" s="11" t="str">
        <f t="shared" si="23"/>
        <v/>
      </c>
      <c r="X19" s="11" t="s">
        <v>727</v>
      </c>
      <c r="Y19" s="11" t="str">
        <f>HLOOKUP($X19,Tables_Cat!$B$6:$P$7,2,FALSE)</f>
        <v>Material</v>
      </c>
      <c r="Z19" s="24" t="s">
        <v>709</v>
      </c>
      <c r="AA19" s="11" t="s">
        <v>728</v>
      </c>
      <c r="AB19" s="13" t="str">
        <f t="shared" si="14"/>
        <v/>
      </c>
      <c r="AC19" s="11" t="s">
        <v>702</v>
      </c>
      <c r="AD19" s="11" t="str">
        <f t="shared" si="7"/>
        <v/>
      </c>
      <c r="AE19" s="11" t="s">
        <v>721</v>
      </c>
      <c r="AF19" s="11" t="str">
        <f t="shared" si="8"/>
        <v/>
      </c>
      <c r="AG19" s="11" t="str">
        <f t="shared" si="9"/>
        <v/>
      </c>
      <c r="AH19" s="11" t="str">
        <f t="shared" si="15"/>
        <v/>
      </c>
      <c r="AI19" s="11" t="str">
        <f t="shared" si="10"/>
        <v/>
      </c>
      <c r="AJ19" s="11" t="str">
        <f t="shared" si="11"/>
        <v/>
      </c>
      <c r="AK19" s="11" t="str">
        <f t="shared" si="12"/>
        <v/>
      </c>
      <c r="AN19" s="11" t="s">
        <v>722</v>
      </c>
      <c r="AO19" s="11" t="s">
        <v>723</v>
      </c>
    </row>
    <row r="20" spans="1:41" ht="31.5">
      <c r="A20" s="11">
        <v>14</v>
      </c>
      <c r="B20" s="11" t="s">
        <v>718</v>
      </c>
      <c r="C20" s="11" t="s">
        <v>732</v>
      </c>
      <c r="D20" s="32"/>
      <c r="E20" s="11" t="s">
        <v>4</v>
      </c>
      <c r="F20" s="11">
        <v>3</v>
      </c>
      <c r="G20" s="11">
        <v>2</v>
      </c>
      <c r="H20" s="11">
        <v>1</v>
      </c>
      <c r="I20" s="11"/>
      <c r="J20" s="11"/>
      <c r="K20" s="11"/>
      <c r="L20" s="11"/>
      <c r="M20" s="11" t="s">
        <v>694</v>
      </c>
      <c r="N20" s="11" t="s">
        <v>720</v>
      </c>
      <c r="O20" s="11" t="s">
        <v>726</v>
      </c>
      <c r="P20" s="11" t="s">
        <v>726</v>
      </c>
      <c r="Q20" s="11" t="s">
        <v>464</v>
      </c>
      <c r="R20" s="11" t="str">
        <f t="shared" si="0"/>
        <v/>
      </c>
      <c r="S20" s="11" t="str">
        <f t="shared" si="1"/>
        <v/>
      </c>
      <c r="T20" s="11" t="str">
        <f t="shared" si="2"/>
        <v/>
      </c>
      <c r="U20" s="11" t="str">
        <f t="shared" si="3"/>
        <v/>
      </c>
      <c r="V20" s="11" t="str">
        <f t="shared" si="4"/>
        <v/>
      </c>
      <c r="W20" s="11" t="str">
        <f t="shared" si="23"/>
        <v/>
      </c>
      <c r="X20" s="11" t="s">
        <v>727</v>
      </c>
      <c r="Y20" s="11" t="str">
        <f>HLOOKUP($X20,Tables_Cat!$B$6:$P$7,2,FALSE)</f>
        <v>Material</v>
      </c>
      <c r="Z20" s="24" t="s">
        <v>709</v>
      </c>
      <c r="AA20" s="11" t="s">
        <v>728</v>
      </c>
      <c r="AB20" s="13" t="str">
        <f t="shared" si="14"/>
        <v/>
      </c>
      <c r="AC20" s="11" t="s">
        <v>702</v>
      </c>
      <c r="AD20" s="11" t="str">
        <f t="shared" si="7"/>
        <v/>
      </c>
      <c r="AE20" s="11" t="s">
        <v>721</v>
      </c>
      <c r="AF20" s="11" t="str">
        <f t="shared" si="8"/>
        <v/>
      </c>
      <c r="AG20" s="11" t="str">
        <f t="shared" si="9"/>
        <v/>
      </c>
      <c r="AH20" s="11" t="str">
        <f t="shared" si="15"/>
        <v/>
      </c>
      <c r="AI20" s="11" t="str">
        <f t="shared" si="10"/>
        <v/>
      </c>
      <c r="AJ20" s="11" t="str">
        <f t="shared" si="11"/>
        <v/>
      </c>
      <c r="AK20" s="11" t="str">
        <f t="shared" si="12"/>
        <v/>
      </c>
      <c r="AN20" s="11" t="s">
        <v>722</v>
      </c>
      <c r="AO20" s="11" t="s">
        <v>723</v>
      </c>
    </row>
    <row r="21" spans="1:41" ht="63">
      <c r="A21" s="11">
        <v>15</v>
      </c>
      <c r="B21" s="11" t="s">
        <v>718</v>
      </c>
      <c r="C21" s="11" t="s">
        <v>733</v>
      </c>
      <c r="D21" s="32"/>
      <c r="E21" s="11" t="s">
        <v>4</v>
      </c>
      <c r="F21" s="11">
        <v>3</v>
      </c>
      <c r="G21" s="11">
        <v>2</v>
      </c>
      <c r="H21" s="11">
        <v>1</v>
      </c>
      <c r="I21" s="11"/>
      <c r="J21" s="11"/>
      <c r="K21" s="11"/>
      <c r="L21" s="11"/>
      <c r="M21" s="11" t="s">
        <v>694</v>
      </c>
      <c r="N21" s="11" t="s">
        <v>720</v>
      </c>
      <c r="O21" s="11" t="s">
        <v>726</v>
      </c>
      <c r="P21" s="11" t="s">
        <v>726</v>
      </c>
      <c r="Q21" s="11" t="s">
        <v>464</v>
      </c>
      <c r="R21" s="11" t="str">
        <f t="shared" si="0"/>
        <v/>
      </c>
      <c r="S21" s="11" t="str">
        <f t="shared" si="1"/>
        <v/>
      </c>
      <c r="T21" s="11" t="str">
        <f t="shared" si="2"/>
        <v/>
      </c>
      <c r="U21" s="11" t="str">
        <f t="shared" si="3"/>
        <v/>
      </c>
      <c r="V21" s="11" t="str">
        <f t="shared" si="4"/>
        <v/>
      </c>
      <c r="W21" s="11" t="str">
        <f t="shared" ref="W21" si="24">IF($E21="Yes",MAX(R21:V21),"")</f>
        <v/>
      </c>
      <c r="X21" s="11" t="s">
        <v>727</v>
      </c>
      <c r="Y21" s="11" t="str">
        <f>HLOOKUP($X21,Tables_Cat!$B$6:$P$7,2,FALSE)</f>
        <v>Material</v>
      </c>
      <c r="Z21" s="24" t="s">
        <v>709</v>
      </c>
      <c r="AA21" s="11" t="s">
        <v>728</v>
      </c>
      <c r="AB21" s="13" t="str">
        <f t="shared" si="14"/>
        <v/>
      </c>
      <c r="AC21" s="11" t="s">
        <v>702</v>
      </c>
      <c r="AD21" s="11" t="str">
        <f t="shared" si="7"/>
        <v/>
      </c>
      <c r="AE21" s="11" t="s">
        <v>721</v>
      </c>
      <c r="AF21" s="11" t="str">
        <f t="shared" si="8"/>
        <v/>
      </c>
      <c r="AG21" s="11" t="str">
        <f t="shared" si="9"/>
        <v/>
      </c>
      <c r="AH21" s="11" t="str">
        <f t="shared" si="15"/>
        <v/>
      </c>
      <c r="AI21" s="11" t="str">
        <f t="shared" si="10"/>
        <v/>
      </c>
      <c r="AJ21" s="11" t="str">
        <f t="shared" si="11"/>
        <v/>
      </c>
      <c r="AK21" s="11" t="str">
        <f t="shared" si="12"/>
        <v/>
      </c>
      <c r="AN21" s="11" t="s">
        <v>722</v>
      </c>
      <c r="AO21" s="11" t="s">
        <v>723</v>
      </c>
    </row>
    <row r="22" spans="1:41" ht="31.5">
      <c r="A22" s="11">
        <v>16</v>
      </c>
      <c r="B22" s="11" t="s">
        <v>692</v>
      </c>
      <c r="C22" s="11" t="s">
        <v>734</v>
      </c>
      <c r="D22" s="32"/>
      <c r="E22" s="11" t="s">
        <v>3</v>
      </c>
      <c r="F22" s="11">
        <v>1</v>
      </c>
      <c r="G22" s="11">
        <v>1</v>
      </c>
      <c r="H22" s="11">
        <f>A8</f>
        <v>2</v>
      </c>
      <c r="I22" s="11"/>
      <c r="J22" s="11"/>
      <c r="K22" s="11"/>
      <c r="L22" s="11"/>
      <c r="M22" s="11" t="s">
        <v>694</v>
      </c>
      <c r="N22" s="11" t="s">
        <v>735</v>
      </c>
      <c r="O22" s="11" t="s">
        <v>736</v>
      </c>
      <c r="P22" s="11" t="s">
        <v>708</v>
      </c>
      <c r="Q22" s="11" t="s">
        <v>698</v>
      </c>
      <c r="R22" s="11">
        <f t="shared" si="0"/>
        <v>8</v>
      </c>
      <c r="S22" s="11" t="str">
        <f t="shared" si="1"/>
        <v/>
      </c>
      <c r="T22" s="11" t="str">
        <f t="shared" si="2"/>
        <v/>
      </c>
      <c r="U22" s="11" t="str">
        <f t="shared" si="3"/>
        <v/>
      </c>
      <c r="V22" s="11" t="str">
        <f t="shared" si="4"/>
        <v/>
      </c>
      <c r="W22" s="11">
        <f t="shared" si="16"/>
        <v>8</v>
      </c>
      <c r="X22" s="11" t="s">
        <v>699</v>
      </c>
      <c r="Y22" s="11" t="str">
        <f>HLOOKUP($X22,Tables_Cat!$B$6:$P$7,2,FALSE)</f>
        <v>Information</v>
      </c>
      <c r="Z22" s="24" t="s">
        <v>709</v>
      </c>
      <c r="AA22" s="11" t="s">
        <v>701</v>
      </c>
      <c r="AB22" s="13">
        <f t="shared" si="14"/>
        <v>0</v>
      </c>
      <c r="AC22" s="11" t="s">
        <v>702</v>
      </c>
      <c r="AD22" s="11">
        <f t="shared" si="7"/>
        <v>4</v>
      </c>
      <c r="AE22" s="11" t="s">
        <v>703</v>
      </c>
      <c r="AF22" s="11">
        <f t="shared" si="8"/>
        <v>8</v>
      </c>
      <c r="AG22" s="11">
        <f t="shared" si="9"/>
        <v>64</v>
      </c>
      <c r="AH22" s="11">
        <f t="shared" si="15"/>
        <v>3</v>
      </c>
      <c r="AI22" s="11">
        <f t="shared" si="10"/>
        <v>4</v>
      </c>
      <c r="AJ22" s="11">
        <f t="shared" si="11"/>
        <v>8</v>
      </c>
      <c r="AK22" s="11">
        <f t="shared" si="12"/>
        <v>64</v>
      </c>
      <c r="AN22" s="11" t="s">
        <v>710</v>
      </c>
      <c r="AO22" s="11" t="s">
        <v>737</v>
      </c>
    </row>
    <row r="23" spans="1:41" ht="31.5">
      <c r="A23" s="11">
        <v>17</v>
      </c>
      <c r="B23" s="11" t="s">
        <v>692</v>
      </c>
      <c r="C23" s="11" t="s">
        <v>738</v>
      </c>
      <c r="D23" s="32"/>
      <c r="E23" s="11" t="s">
        <v>4</v>
      </c>
      <c r="F23" s="11">
        <v>3</v>
      </c>
      <c r="G23" s="11">
        <v>2</v>
      </c>
      <c r="H23" s="11">
        <v>1</v>
      </c>
      <c r="I23" s="11"/>
      <c r="J23" s="11"/>
      <c r="K23" s="11"/>
      <c r="L23" s="11"/>
      <c r="M23" s="11" t="s">
        <v>694</v>
      </c>
      <c r="N23" s="11" t="s">
        <v>735</v>
      </c>
      <c r="O23" s="11" t="s">
        <v>736</v>
      </c>
      <c r="P23" s="11" t="s">
        <v>708</v>
      </c>
      <c r="Q23" s="11" t="s">
        <v>698</v>
      </c>
      <c r="R23" s="11" t="str">
        <f t="shared" si="0"/>
        <v/>
      </c>
      <c r="S23" s="11" t="str">
        <f t="shared" si="1"/>
        <v/>
      </c>
      <c r="T23" s="11" t="str">
        <f t="shared" si="2"/>
        <v/>
      </c>
      <c r="U23" s="11" t="str">
        <f t="shared" si="3"/>
        <v/>
      </c>
      <c r="V23" s="11" t="str">
        <f t="shared" si="4"/>
        <v/>
      </c>
      <c r="W23" s="11" t="str">
        <f t="shared" ref="W23" si="25">IF($E23="Yes",MAX(R23:V23),"")</f>
        <v/>
      </c>
      <c r="X23" s="11" t="s">
        <v>699</v>
      </c>
      <c r="Y23" s="11" t="str">
        <f>HLOOKUP($X23,Tables_Cat!$B$6:$P$7,2,FALSE)</f>
        <v>Information</v>
      </c>
      <c r="Z23" s="24" t="s">
        <v>709</v>
      </c>
      <c r="AA23" s="11" t="s">
        <v>701</v>
      </c>
      <c r="AB23" s="13" t="str">
        <f t="shared" si="14"/>
        <v/>
      </c>
      <c r="AC23" s="11" t="s">
        <v>702</v>
      </c>
      <c r="AD23" s="11" t="str">
        <f t="shared" si="7"/>
        <v/>
      </c>
      <c r="AE23" s="11" t="s">
        <v>703</v>
      </c>
      <c r="AF23" s="11" t="str">
        <f t="shared" si="8"/>
        <v/>
      </c>
      <c r="AG23" s="11" t="str">
        <f t="shared" si="9"/>
        <v/>
      </c>
      <c r="AH23" s="11" t="str">
        <f t="shared" si="15"/>
        <v/>
      </c>
      <c r="AI23" s="11" t="str">
        <f t="shared" si="10"/>
        <v/>
      </c>
      <c r="AJ23" s="11" t="str">
        <f t="shared" si="11"/>
        <v/>
      </c>
      <c r="AK23" s="11" t="str">
        <f t="shared" si="12"/>
        <v/>
      </c>
      <c r="AN23" s="11" t="s">
        <v>714</v>
      </c>
      <c r="AO23" s="11" t="s">
        <v>737</v>
      </c>
    </row>
    <row r="24" spans="1:41" ht="31.5">
      <c r="A24" s="11">
        <v>18</v>
      </c>
      <c r="B24" s="11" t="s">
        <v>692</v>
      </c>
      <c r="C24" s="11" t="s">
        <v>739</v>
      </c>
      <c r="D24" s="32"/>
      <c r="E24" s="11" t="s">
        <v>4</v>
      </c>
      <c r="F24" s="11">
        <v>3</v>
      </c>
      <c r="G24" s="11">
        <v>2</v>
      </c>
      <c r="H24" s="11">
        <v>1</v>
      </c>
      <c r="I24" s="11"/>
      <c r="J24" s="11"/>
      <c r="K24" s="11"/>
      <c r="L24" s="11"/>
      <c r="M24" s="11" t="s">
        <v>694</v>
      </c>
      <c r="N24" s="11" t="s">
        <v>735</v>
      </c>
      <c r="O24" s="11" t="s">
        <v>736</v>
      </c>
      <c r="P24" s="11" t="s">
        <v>708</v>
      </c>
      <c r="Q24" s="11" t="s">
        <v>698</v>
      </c>
      <c r="R24" s="11" t="str">
        <f t="shared" si="0"/>
        <v/>
      </c>
      <c r="S24" s="11" t="str">
        <f t="shared" si="1"/>
        <v/>
      </c>
      <c r="T24" s="11" t="str">
        <f t="shared" si="2"/>
        <v/>
      </c>
      <c r="U24" s="11" t="str">
        <f t="shared" si="3"/>
        <v/>
      </c>
      <c r="V24" s="11" t="str">
        <f t="shared" si="4"/>
        <v/>
      </c>
      <c r="W24" s="11" t="str">
        <f t="shared" ref="W24" si="26">IF($E24="Yes",MAX(R24:V24),"")</f>
        <v/>
      </c>
      <c r="X24" s="11" t="s">
        <v>699</v>
      </c>
      <c r="Y24" s="11" t="str">
        <f>HLOOKUP($X24,Tables_Cat!$B$6:$P$7,2,FALSE)</f>
        <v>Information</v>
      </c>
      <c r="Z24" s="24" t="s">
        <v>709</v>
      </c>
      <c r="AA24" s="11" t="s">
        <v>701</v>
      </c>
      <c r="AB24" s="13" t="str">
        <f t="shared" si="14"/>
        <v/>
      </c>
      <c r="AC24" s="11" t="s">
        <v>702</v>
      </c>
      <c r="AD24" s="11" t="str">
        <f t="shared" si="7"/>
        <v/>
      </c>
      <c r="AE24" s="11" t="s">
        <v>703</v>
      </c>
      <c r="AF24" s="11" t="str">
        <f t="shared" si="8"/>
        <v/>
      </c>
      <c r="AG24" s="11" t="str">
        <f t="shared" si="9"/>
        <v/>
      </c>
      <c r="AH24" s="11" t="str">
        <f t="shared" si="15"/>
        <v/>
      </c>
      <c r="AI24" s="11" t="str">
        <f t="shared" si="10"/>
        <v/>
      </c>
      <c r="AJ24" s="11" t="str">
        <f t="shared" si="11"/>
        <v/>
      </c>
      <c r="AK24" s="11" t="str">
        <f t="shared" si="12"/>
        <v/>
      </c>
      <c r="AN24" s="11" t="s">
        <v>710</v>
      </c>
      <c r="AO24" s="11" t="s">
        <v>737</v>
      </c>
    </row>
    <row r="25" spans="1:41" ht="31.5">
      <c r="A25" s="11">
        <v>19</v>
      </c>
      <c r="B25" s="11" t="s">
        <v>692</v>
      </c>
      <c r="C25" s="11" t="s">
        <v>740</v>
      </c>
      <c r="D25" s="32"/>
      <c r="E25" s="11" t="s">
        <v>4</v>
      </c>
      <c r="F25" s="11">
        <v>3</v>
      </c>
      <c r="G25" s="11">
        <v>2</v>
      </c>
      <c r="H25" s="11">
        <v>1</v>
      </c>
      <c r="I25" s="11"/>
      <c r="J25" s="11"/>
      <c r="K25" s="11"/>
      <c r="L25" s="11"/>
      <c r="M25" s="11" t="s">
        <v>694</v>
      </c>
      <c r="N25" s="11" t="s">
        <v>707</v>
      </c>
      <c r="O25" s="11" t="s">
        <v>697</v>
      </c>
      <c r="P25" s="11" t="s">
        <v>708</v>
      </c>
      <c r="Q25" s="11" t="s">
        <v>698</v>
      </c>
      <c r="R25" s="11" t="str">
        <f t="shared" si="0"/>
        <v/>
      </c>
      <c r="S25" s="11" t="str">
        <f t="shared" si="1"/>
        <v/>
      </c>
      <c r="T25" s="11" t="str">
        <f t="shared" si="2"/>
        <v/>
      </c>
      <c r="U25" s="11" t="str">
        <f t="shared" si="3"/>
        <v/>
      </c>
      <c r="V25" s="11" t="str">
        <f t="shared" si="4"/>
        <v/>
      </c>
      <c r="W25" s="11" t="str">
        <f t="shared" ref="W25" si="27">IF($E25="Yes",MAX(R25:V25),"")</f>
        <v/>
      </c>
      <c r="X25" s="11" t="s">
        <v>741</v>
      </c>
      <c r="Y25" s="11" t="str">
        <f>HLOOKUP($X25,Tables_Cat!$B$6:$P$7,2,FALSE)</f>
        <v>Material</v>
      </c>
      <c r="Z25" s="24" t="s">
        <v>700</v>
      </c>
      <c r="AA25" s="11" t="s">
        <v>728</v>
      </c>
      <c r="AB25" s="13" t="str">
        <f t="shared" si="14"/>
        <v/>
      </c>
      <c r="AC25" s="11" t="s">
        <v>702</v>
      </c>
      <c r="AD25" s="11" t="str">
        <f t="shared" si="7"/>
        <v/>
      </c>
      <c r="AE25" s="11" t="s">
        <v>703</v>
      </c>
      <c r="AF25" s="11" t="str">
        <f t="shared" si="8"/>
        <v/>
      </c>
      <c r="AG25" s="11" t="str">
        <f t="shared" si="9"/>
        <v/>
      </c>
      <c r="AH25" s="11" t="str">
        <f t="shared" si="15"/>
        <v/>
      </c>
      <c r="AI25" s="11" t="str">
        <f t="shared" si="10"/>
        <v/>
      </c>
      <c r="AJ25" s="11" t="str">
        <f t="shared" si="11"/>
        <v/>
      </c>
      <c r="AK25" s="11" t="str">
        <f t="shared" si="12"/>
        <v/>
      </c>
      <c r="AN25" s="11" t="s">
        <v>742</v>
      </c>
      <c r="AO25" s="11" t="s">
        <v>743</v>
      </c>
    </row>
    <row r="26" spans="1:41" ht="47.25">
      <c r="A26" s="11">
        <v>20</v>
      </c>
      <c r="B26" s="11" t="s">
        <v>692</v>
      </c>
      <c r="C26" s="11" t="s">
        <v>744</v>
      </c>
      <c r="D26" s="32"/>
      <c r="E26" s="11" t="s">
        <v>4</v>
      </c>
      <c r="F26" s="11">
        <v>3</v>
      </c>
      <c r="G26" s="11">
        <v>2</v>
      </c>
      <c r="H26" s="11">
        <v>1</v>
      </c>
      <c r="I26" s="11"/>
      <c r="J26" s="11"/>
      <c r="K26" s="11"/>
      <c r="L26" s="11"/>
      <c r="M26" s="11" t="s">
        <v>694</v>
      </c>
      <c r="N26" s="11" t="s">
        <v>707</v>
      </c>
      <c r="O26" s="11" t="s">
        <v>697</v>
      </c>
      <c r="P26" s="11" t="s">
        <v>708</v>
      </c>
      <c r="Q26" s="11" t="s">
        <v>698</v>
      </c>
      <c r="R26" s="11" t="str">
        <f t="shared" si="0"/>
        <v/>
      </c>
      <c r="S26" s="11" t="str">
        <f t="shared" si="1"/>
        <v/>
      </c>
      <c r="T26" s="11" t="str">
        <f t="shared" si="2"/>
        <v/>
      </c>
      <c r="U26" s="11" t="str">
        <f t="shared" si="3"/>
        <v/>
      </c>
      <c r="V26" s="11" t="str">
        <f t="shared" si="4"/>
        <v/>
      </c>
      <c r="W26" s="11" t="str">
        <f t="shared" ref="W26" si="28">IF($E26="Yes",MAX(R26:V26),"")</f>
        <v/>
      </c>
      <c r="X26" s="11" t="s">
        <v>745</v>
      </c>
      <c r="Y26" s="11" t="str">
        <f>HLOOKUP($X26,Tables_Cat!$B$6:$P$7,2,FALSE)</f>
        <v>Information</v>
      </c>
      <c r="Z26" s="24" t="s">
        <v>709</v>
      </c>
      <c r="AA26" s="11" t="s">
        <v>701</v>
      </c>
      <c r="AB26" s="13" t="str">
        <f t="shared" si="14"/>
        <v/>
      </c>
      <c r="AC26" s="11" t="s">
        <v>702</v>
      </c>
      <c r="AD26" s="11" t="str">
        <f t="shared" si="7"/>
        <v/>
      </c>
      <c r="AE26" s="11" t="s">
        <v>703</v>
      </c>
      <c r="AF26" s="11" t="str">
        <f t="shared" si="8"/>
        <v/>
      </c>
      <c r="AG26" s="11" t="str">
        <f t="shared" si="9"/>
        <v/>
      </c>
      <c r="AH26" s="11" t="str">
        <f t="shared" si="15"/>
        <v/>
      </c>
      <c r="AI26" s="11" t="str">
        <f t="shared" si="10"/>
        <v/>
      </c>
      <c r="AJ26" s="11" t="str">
        <f t="shared" si="11"/>
        <v/>
      </c>
      <c r="AK26" s="11" t="str">
        <f t="shared" si="12"/>
        <v/>
      </c>
      <c r="AN26" s="11" t="s">
        <v>742</v>
      </c>
      <c r="AO26" s="11" t="s">
        <v>743</v>
      </c>
    </row>
    <row r="27" spans="1:41" ht="31.5">
      <c r="A27" s="11">
        <v>21</v>
      </c>
      <c r="B27" s="11" t="s">
        <v>692</v>
      </c>
      <c r="C27" s="11" t="s">
        <v>746</v>
      </c>
      <c r="D27" s="32"/>
      <c r="E27" s="11" t="s">
        <v>3</v>
      </c>
      <c r="F27" s="11">
        <v>3</v>
      </c>
      <c r="G27" s="11">
        <v>3</v>
      </c>
      <c r="H27" s="11">
        <f>A8</f>
        <v>2</v>
      </c>
      <c r="I27" s="11">
        <f>A10</f>
        <v>4</v>
      </c>
      <c r="J27" s="11"/>
      <c r="K27" s="11"/>
      <c r="L27" s="11"/>
      <c r="M27" s="11" t="s">
        <v>694</v>
      </c>
      <c r="N27" s="11" t="s">
        <v>707</v>
      </c>
      <c r="O27" s="11" t="s">
        <v>697</v>
      </c>
      <c r="P27" s="11" t="s">
        <v>708</v>
      </c>
      <c r="Q27" s="11" t="s">
        <v>698</v>
      </c>
      <c r="R27" s="11">
        <f t="shared" si="0"/>
        <v>8</v>
      </c>
      <c r="S27" s="11">
        <f t="shared" si="1"/>
        <v>7</v>
      </c>
      <c r="T27" s="11" t="str">
        <f t="shared" si="2"/>
        <v/>
      </c>
      <c r="U27" s="11" t="str">
        <f t="shared" si="3"/>
        <v/>
      </c>
      <c r="V27" s="11" t="str">
        <f t="shared" si="4"/>
        <v/>
      </c>
      <c r="W27" s="11">
        <f t="shared" ref="W27:W144" si="29">IF($E27="Yes",MAX(R27:V27),"")</f>
        <v>8</v>
      </c>
      <c r="X27" s="11" t="s">
        <v>745</v>
      </c>
      <c r="Y27" s="11" t="str">
        <f>HLOOKUP($X27,Tables_Cat!$B$6:$P$7,2,FALSE)</f>
        <v>Information</v>
      </c>
      <c r="Z27" s="24" t="s">
        <v>700</v>
      </c>
      <c r="AA27" s="11" t="s">
        <v>701</v>
      </c>
      <c r="AB27" s="13">
        <f t="shared" si="14"/>
        <v>0</v>
      </c>
      <c r="AC27" s="11" t="s">
        <v>702</v>
      </c>
      <c r="AD27" s="11">
        <f t="shared" si="7"/>
        <v>0</v>
      </c>
      <c r="AE27" s="11" t="s">
        <v>703</v>
      </c>
      <c r="AF27" s="11">
        <f t="shared" si="8"/>
        <v>24</v>
      </c>
      <c r="AG27" s="11">
        <f t="shared" si="9"/>
        <v>192</v>
      </c>
      <c r="AH27" s="11">
        <f t="shared" si="15"/>
        <v>3</v>
      </c>
      <c r="AI27" s="11">
        <f t="shared" si="10"/>
        <v>0</v>
      </c>
      <c r="AJ27" s="11">
        <f t="shared" si="11"/>
        <v>24</v>
      </c>
      <c r="AK27" s="11">
        <f t="shared" si="12"/>
        <v>192</v>
      </c>
      <c r="AN27" s="11" t="s">
        <v>704</v>
      </c>
      <c r="AO27" s="11" t="s">
        <v>705</v>
      </c>
    </row>
    <row r="28" spans="1:41" ht="31.5">
      <c r="A28" s="11">
        <v>22</v>
      </c>
      <c r="B28" s="11" t="s">
        <v>692</v>
      </c>
      <c r="C28" s="11" t="s">
        <v>747</v>
      </c>
      <c r="D28" s="32"/>
      <c r="E28" s="11" t="s">
        <v>3</v>
      </c>
      <c r="F28" s="11">
        <v>2</v>
      </c>
      <c r="G28" s="11">
        <v>2</v>
      </c>
      <c r="H28" s="11">
        <f>A27</f>
        <v>21</v>
      </c>
      <c r="I28" s="11"/>
      <c r="J28" s="11"/>
      <c r="K28" s="11"/>
      <c r="L28" s="11"/>
      <c r="M28" s="11" t="s">
        <v>694</v>
      </c>
      <c r="N28" s="11" t="s">
        <v>748</v>
      </c>
      <c r="O28" s="11" t="s">
        <v>708</v>
      </c>
      <c r="P28" s="11" t="s">
        <v>708</v>
      </c>
      <c r="Q28" s="11" t="s">
        <v>698</v>
      </c>
      <c r="R28" s="11">
        <f t="shared" si="0"/>
        <v>11</v>
      </c>
      <c r="S28" s="11" t="str">
        <f t="shared" si="1"/>
        <v/>
      </c>
      <c r="T28" s="11" t="str">
        <f t="shared" si="2"/>
        <v/>
      </c>
      <c r="U28" s="11" t="str">
        <f t="shared" si="3"/>
        <v/>
      </c>
      <c r="V28" s="11" t="str">
        <f t="shared" si="4"/>
        <v/>
      </c>
      <c r="W28" s="11">
        <f t="shared" si="29"/>
        <v>11</v>
      </c>
      <c r="X28" s="11" t="s">
        <v>745</v>
      </c>
      <c r="Y28" s="11" t="str">
        <f>HLOOKUP($X28,Tables_Cat!$B$6:$P$7,2,FALSE)</f>
        <v>Information</v>
      </c>
      <c r="Z28" s="24" t="s">
        <v>700</v>
      </c>
      <c r="AA28" s="11" t="s">
        <v>701</v>
      </c>
      <c r="AB28" s="13">
        <f t="shared" si="14"/>
        <v>0</v>
      </c>
      <c r="AC28" s="11" t="s">
        <v>702</v>
      </c>
      <c r="AD28" s="11">
        <f t="shared" si="7"/>
        <v>0</v>
      </c>
      <c r="AE28" s="11" t="s">
        <v>703</v>
      </c>
      <c r="AF28" s="11">
        <f t="shared" si="8"/>
        <v>22</v>
      </c>
      <c r="AG28" s="11">
        <f t="shared" si="9"/>
        <v>242</v>
      </c>
      <c r="AH28" s="11">
        <f t="shared" si="15"/>
        <v>3</v>
      </c>
      <c r="AI28" s="11">
        <f t="shared" si="10"/>
        <v>0</v>
      </c>
      <c r="AJ28" s="11">
        <f t="shared" si="11"/>
        <v>22</v>
      </c>
      <c r="AK28" s="11">
        <f t="shared" si="12"/>
        <v>242</v>
      </c>
      <c r="AN28" s="11" t="s">
        <v>704</v>
      </c>
      <c r="AO28" s="11" t="s">
        <v>705</v>
      </c>
    </row>
    <row r="29" spans="1:41" ht="47.25">
      <c r="A29" s="11">
        <v>23</v>
      </c>
      <c r="B29" s="11" t="s">
        <v>692</v>
      </c>
      <c r="C29" s="11" t="s">
        <v>749</v>
      </c>
      <c r="D29" s="32"/>
      <c r="E29" s="11" t="s">
        <v>4</v>
      </c>
      <c r="F29" s="11">
        <v>1</v>
      </c>
      <c r="G29" s="11">
        <v>1</v>
      </c>
      <c r="H29" s="11">
        <v>12</v>
      </c>
      <c r="I29" s="11"/>
      <c r="J29" s="11"/>
      <c r="K29" s="11"/>
      <c r="L29" s="11"/>
      <c r="M29" s="11" t="s">
        <v>750</v>
      </c>
      <c r="N29" s="11" t="s">
        <v>707</v>
      </c>
      <c r="O29" s="11" t="s">
        <v>697</v>
      </c>
      <c r="P29" s="11" t="s">
        <v>697</v>
      </c>
      <c r="Q29" s="11" t="s">
        <v>698</v>
      </c>
      <c r="R29" s="11" t="str">
        <f t="shared" si="0"/>
        <v/>
      </c>
      <c r="S29" s="11" t="str">
        <f t="shared" si="1"/>
        <v/>
      </c>
      <c r="T29" s="11" t="str">
        <f t="shared" si="2"/>
        <v/>
      </c>
      <c r="U29" s="11" t="str">
        <f t="shared" si="3"/>
        <v/>
      </c>
      <c r="V29" s="11" t="str">
        <f t="shared" si="4"/>
        <v/>
      </c>
      <c r="W29" s="11" t="str">
        <f t="shared" si="29"/>
        <v/>
      </c>
      <c r="X29" s="11" t="s">
        <v>745</v>
      </c>
      <c r="Y29" s="11" t="str">
        <f>HLOOKUP($X29,Tables_Cat!$B$6:$P$7,2,FALSE)</f>
        <v>Information</v>
      </c>
      <c r="Z29" s="24" t="s">
        <v>709</v>
      </c>
      <c r="AA29" s="11" t="s">
        <v>751</v>
      </c>
      <c r="AB29" s="13" t="str">
        <f t="shared" si="14"/>
        <v/>
      </c>
      <c r="AC29" s="11" t="s">
        <v>752</v>
      </c>
      <c r="AD29" s="11" t="str">
        <f t="shared" si="7"/>
        <v/>
      </c>
      <c r="AE29" s="11" t="s">
        <v>703</v>
      </c>
      <c r="AF29" s="11" t="str">
        <f t="shared" si="8"/>
        <v/>
      </c>
      <c r="AG29" s="11" t="str">
        <f t="shared" si="9"/>
        <v/>
      </c>
      <c r="AH29" s="11" t="str">
        <f t="shared" si="15"/>
        <v/>
      </c>
      <c r="AI29" s="11" t="str">
        <f t="shared" si="10"/>
        <v/>
      </c>
      <c r="AJ29" s="11" t="str">
        <f t="shared" si="11"/>
        <v/>
      </c>
      <c r="AK29" s="11" t="str">
        <f t="shared" si="12"/>
        <v/>
      </c>
      <c r="AN29" s="11" t="s">
        <v>704</v>
      </c>
      <c r="AO29" s="11" t="s">
        <v>705</v>
      </c>
    </row>
    <row r="30" spans="1:41" ht="47.25">
      <c r="A30" s="11">
        <v>24</v>
      </c>
      <c r="B30" s="11" t="s">
        <v>692</v>
      </c>
      <c r="C30" s="11" t="s">
        <v>753</v>
      </c>
      <c r="D30" s="32"/>
      <c r="E30" s="11" t="s">
        <v>3</v>
      </c>
      <c r="F30" s="11">
        <v>2</v>
      </c>
      <c r="G30" s="11">
        <v>2</v>
      </c>
      <c r="H30" s="11">
        <f>A27</f>
        <v>21</v>
      </c>
      <c r="I30" s="11">
        <f>A28</f>
        <v>22</v>
      </c>
      <c r="J30" s="11"/>
      <c r="K30" s="11"/>
      <c r="L30" s="11"/>
      <c r="M30" s="11" t="s">
        <v>750</v>
      </c>
      <c r="N30" s="11" t="s">
        <v>707</v>
      </c>
      <c r="O30" s="11" t="s">
        <v>708</v>
      </c>
      <c r="P30" s="11" t="s">
        <v>708</v>
      </c>
      <c r="Q30" s="11" t="s">
        <v>698</v>
      </c>
      <c r="R30" s="11">
        <f t="shared" si="0"/>
        <v>11</v>
      </c>
      <c r="S30" s="11">
        <f t="shared" si="1"/>
        <v>13</v>
      </c>
      <c r="T30" s="11" t="str">
        <f t="shared" si="2"/>
        <v/>
      </c>
      <c r="U30" s="11" t="str">
        <f t="shared" si="3"/>
        <v/>
      </c>
      <c r="V30" s="11" t="str">
        <f t="shared" si="4"/>
        <v/>
      </c>
      <c r="W30" s="11">
        <f t="shared" si="29"/>
        <v>13</v>
      </c>
      <c r="X30" s="11" t="s">
        <v>745</v>
      </c>
      <c r="Y30" s="11" t="str">
        <f>HLOOKUP($X30,Tables_Cat!$B$6:$P$7,2,FALSE)</f>
        <v>Information</v>
      </c>
      <c r="Z30" s="24" t="s">
        <v>709</v>
      </c>
      <c r="AA30" s="11" t="s">
        <v>751</v>
      </c>
      <c r="AB30" s="13">
        <f t="shared" si="14"/>
        <v>0</v>
      </c>
      <c r="AC30" s="11" t="s">
        <v>752</v>
      </c>
      <c r="AD30" s="11">
        <f t="shared" si="7"/>
        <v>4</v>
      </c>
      <c r="AE30" s="11" t="s">
        <v>703</v>
      </c>
      <c r="AF30" s="11">
        <f t="shared" si="8"/>
        <v>26</v>
      </c>
      <c r="AG30" s="11">
        <f t="shared" si="9"/>
        <v>338</v>
      </c>
      <c r="AH30" s="11">
        <f t="shared" si="15"/>
        <v>2</v>
      </c>
      <c r="AI30" s="11">
        <f t="shared" si="10"/>
        <v>4</v>
      </c>
      <c r="AJ30" s="11">
        <f t="shared" si="11"/>
        <v>26</v>
      </c>
      <c r="AK30" s="11">
        <f t="shared" si="12"/>
        <v>338</v>
      </c>
      <c r="AN30" s="11" t="s">
        <v>704</v>
      </c>
      <c r="AO30" s="11" t="s">
        <v>705</v>
      </c>
    </row>
    <row r="31" spans="1:41" ht="31.5">
      <c r="A31" s="11">
        <v>25</v>
      </c>
      <c r="B31" s="11" t="s">
        <v>692</v>
      </c>
      <c r="C31" s="11" t="s">
        <v>754</v>
      </c>
      <c r="D31" s="32"/>
      <c r="E31" s="11" t="s">
        <v>3</v>
      </c>
      <c r="F31" s="11">
        <v>0.25</v>
      </c>
      <c r="G31" s="11">
        <v>0.25</v>
      </c>
      <c r="H31" s="11">
        <f>A30</f>
        <v>24</v>
      </c>
      <c r="I31" s="11"/>
      <c r="J31" s="11"/>
      <c r="K31" s="11"/>
      <c r="L31" s="11"/>
      <c r="M31" s="11" t="s">
        <v>755</v>
      </c>
      <c r="N31" s="11" t="s">
        <v>707</v>
      </c>
      <c r="O31" s="11" t="s">
        <v>756</v>
      </c>
      <c r="P31" s="11" t="s">
        <v>756</v>
      </c>
      <c r="Q31" s="11" t="s">
        <v>698</v>
      </c>
      <c r="R31" s="11">
        <f t="shared" si="0"/>
        <v>15</v>
      </c>
      <c r="S31" s="11" t="str">
        <f t="shared" si="1"/>
        <v/>
      </c>
      <c r="T31" s="11" t="str">
        <f t="shared" si="2"/>
        <v/>
      </c>
      <c r="U31" s="11" t="str">
        <f t="shared" si="3"/>
        <v/>
      </c>
      <c r="V31" s="11" t="str">
        <f t="shared" si="4"/>
        <v/>
      </c>
      <c r="W31" s="11">
        <f t="shared" si="29"/>
        <v>15</v>
      </c>
      <c r="X31" s="11" t="s">
        <v>745</v>
      </c>
      <c r="Y31" s="11" t="str">
        <f>HLOOKUP($X31,Tables_Cat!$B$6:$P$7,2,FALSE)</f>
        <v>Information</v>
      </c>
      <c r="Z31" s="24" t="s">
        <v>700</v>
      </c>
      <c r="AA31" s="11" t="s">
        <v>701</v>
      </c>
      <c r="AB31" s="13">
        <f t="shared" si="14"/>
        <v>0</v>
      </c>
      <c r="AC31" s="11" t="s">
        <v>702</v>
      </c>
      <c r="AD31" s="11">
        <f t="shared" si="7"/>
        <v>0</v>
      </c>
      <c r="AE31" s="11" t="s">
        <v>703</v>
      </c>
      <c r="AF31" s="11">
        <f t="shared" si="8"/>
        <v>3.75</v>
      </c>
      <c r="AG31" s="11">
        <f t="shared" si="9"/>
        <v>56.25</v>
      </c>
      <c r="AH31" s="11">
        <f t="shared" si="15"/>
        <v>3</v>
      </c>
      <c r="AI31" s="11">
        <f t="shared" si="10"/>
        <v>0</v>
      </c>
      <c r="AJ31" s="11">
        <f t="shared" si="11"/>
        <v>3.75</v>
      </c>
      <c r="AK31" s="11">
        <f t="shared" si="12"/>
        <v>56.25</v>
      </c>
      <c r="AN31" s="11" t="s">
        <v>704</v>
      </c>
      <c r="AO31" s="11" t="s">
        <v>705</v>
      </c>
    </row>
    <row r="32" spans="1:41" ht="31.5">
      <c r="A32" s="11">
        <v>26</v>
      </c>
      <c r="B32" s="11" t="s">
        <v>692</v>
      </c>
      <c r="C32" s="11" t="s">
        <v>757</v>
      </c>
      <c r="D32" s="32"/>
      <c r="E32" s="11" t="s">
        <v>4</v>
      </c>
      <c r="F32" s="11">
        <v>0.5</v>
      </c>
      <c r="G32" s="11">
        <v>0.5</v>
      </c>
      <c r="H32" s="11" t="str">
        <f>A6</f>
        <v>INIT</v>
      </c>
      <c r="I32" s="11"/>
      <c r="J32" s="11"/>
      <c r="K32" s="11"/>
      <c r="L32" s="11"/>
      <c r="M32" s="11" t="s">
        <v>694</v>
      </c>
      <c r="N32" s="11" t="s">
        <v>748</v>
      </c>
      <c r="O32" s="11" t="s">
        <v>464</v>
      </c>
      <c r="P32" s="11" t="s">
        <v>464</v>
      </c>
      <c r="Q32" s="11" t="s">
        <v>758</v>
      </c>
      <c r="R32" s="11" t="str">
        <f t="shared" si="0"/>
        <v/>
      </c>
      <c r="S32" s="11" t="str">
        <f t="shared" si="1"/>
        <v/>
      </c>
      <c r="T32" s="11" t="str">
        <f t="shared" si="2"/>
        <v/>
      </c>
      <c r="U32" s="11" t="str">
        <f t="shared" si="3"/>
        <v/>
      </c>
      <c r="V32" s="11" t="str">
        <f t="shared" si="4"/>
        <v/>
      </c>
      <c r="W32" s="11" t="str">
        <f t="shared" si="29"/>
        <v/>
      </c>
      <c r="X32" s="11" t="s">
        <v>759</v>
      </c>
      <c r="Y32" s="11" t="str">
        <f>HLOOKUP($X32,Tables_Cat!$B$6:$P$7,2,FALSE)</f>
        <v>Information</v>
      </c>
      <c r="Z32" s="24" t="s">
        <v>700</v>
      </c>
      <c r="AA32" s="11" t="s">
        <v>701</v>
      </c>
      <c r="AB32" s="13" t="str">
        <f t="shared" si="14"/>
        <v/>
      </c>
      <c r="AC32" s="11" t="s">
        <v>702</v>
      </c>
      <c r="AD32" s="11" t="str">
        <f t="shared" si="7"/>
        <v/>
      </c>
      <c r="AE32" s="11" t="s">
        <v>760</v>
      </c>
      <c r="AF32" s="11" t="str">
        <f t="shared" si="8"/>
        <v/>
      </c>
      <c r="AG32" s="11" t="str">
        <f t="shared" si="9"/>
        <v/>
      </c>
      <c r="AH32" s="11" t="str">
        <f t="shared" si="15"/>
        <v/>
      </c>
      <c r="AI32" s="11" t="str">
        <f t="shared" si="10"/>
        <v/>
      </c>
      <c r="AJ32" s="11" t="str">
        <f t="shared" si="11"/>
        <v/>
      </c>
      <c r="AK32" s="11" t="str">
        <f t="shared" si="12"/>
        <v/>
      </c>
      <c r="AN32" s="11" t="s">
        <v>704</v>
      </c>
      <c r="AO32" s="11" t="s">
        <v>761</v>
      </c>
    </row>
    <row r="33" spans="1:41" ht="31.5">
      <c r="A33" s="11">
        <v>27</v>
      </c>
      <c r="B33" s="11" t="s">
        <v>692</v>
      </c>
      <c r="C33" s="11" t="s">
        <v>762</v>
      </c>
      <c r="D33" s="32"/>
      <c r="E33" s="11" t="s">
        <v>4</v>
      </c>
      <c r="F33" s="11">
        <v>1.5</v>
      </c>
      <c r="G33" s="11">
        <v>1</v>
      </c>
      <c r="H33" s="11">
        <f>A32</f>
        <v>26</v>
      </c>
      <c r="I33" s="11"/>
      <c r="J33" s="11"/>
      <c r="K33" s="11"/>
      <c r="L33" s="11"/>
      <c r="M33" s="11" t="s">
        <v>694</v>
      </c>
      <c r="N33" s="11" t="s">
        <v>763</v>
      </c>
      <c r="O33" s="11" t="s">
        <v>464</v>
      </c>
      <c r="P33" s="11" t="s">
        <v>764</v>
      </c>
      <c r="Q33" s="11" t="s">
        <v>758</v>
      </c>
      <c r="R33" s="11" t="str">
        <f t="shared" si="0"/>
        <v/>
      </c>
      <c r="S33" s="11" t="str">
        <f t="shared" si="1"/>
        <v/>
      </c>
      <c r="T33" s="11" t="str">
        <f t="shared" si="2"/>
        <v/>
      </c>
      <c r="U33" s="11" t="str">
        <f t="shared" si="3"/>
        <v/>
      </c>
      <c r="V33" s="11" t="str">
        <f t="shared" si="4"/>
        <v/>
      </c>
      <c r="W33" s="11" t="str">
        <f t="shared" si="29"/>
        <v/>
      </c>
      <c r="X33" s="11" t="s">
        <v>741</v>
      </c>
      <c r="Y33" s="11" t="str">
        <f>HLOOKUP($X33,Tables_Cat!$B$6:$P$7,2,FALSE)</f>
        <v>Material</v>
      </c>
      <c r="Z33" s="24" t="s">
        <v>700</v>
      </c>
      <c r="AA33" s="11" t="s">
        <v>765</v>
      </c>
      <c r="AB33" s="13" t="str">
        <f t="shared" si="14"/>
        <v/>
      </c>
      <c r="AC33" s="11" t="s">
        <v>702</v>
      </c>
      <c r="AD33" s="11" t="str">
        <f t="shared" si="7"/>
        <v/>
      </c>
      <c r="AE33" s="11" t="s">
        <v>760</v>
      </c>
      <c r="AF33" s="11" t="str">
        <f t="shared" si="8"/>
        <v/>
      </c>
      <c r="AG33" s="11" t="str">
        <f t="shared" si="9"/>
        <v/>
      </c>
      <c r="AH33" s="11" t="str">
        <f t="shared" si="15"/>
        <v/>
      </c>
      <c r="AI33" s="11" t="str">
        <f t="shared" si="10"/>
        <v/>
      </c>
      <c r="AJ33" s="11" t="str">
        <f t="shared" si="11"/>
        <v/>
      </c>
      <c r="AK33" s="11" t="str">
        <f t="shared" si="12"/>
        <v/>
      </c>
      <c r="AN33" s="11" t="s">
        <v>704</v>
      </c>
      <c r="AO33" s="11" t="s">
        <v>766</v>
      </c>
    </row>
    <row r="34" spans="1:41" ht="47.25">
      <c r="A34" s="11">
        <v>28</v>
      </c>
      <c r="B34" s="11" t="s">
        <v>767</v>
      </c>
      <c r="C34" s="11" t="s">
        <v>768</v>
      </c>
      <c r="D34" s="32"/>
      <c r="E34" s="11" t="s">
        <v>4</v>
      </c>
      <c r="F34" s="11">
        <v>1.5</v>
      </c>
      <c r="G34" s="11">
        <v>1</v>
      </c>
      <c r="H34" s="11">
        <f>A33</f>
        <v>27</v>
      </c>
      <c r="I34" s="11"/>
      <c r="J34" s="11"/>
      <c r="K34" s="11"/>
      <c r="L34" s="11"/>
      <c r="M34" s="11" t="s">
        <v>694</v>
      </c>
      <c r="N34" s="11" t="s">
        <v>769</v>
      </c>
      <c r="O34" s="11" t="s">
        <v>464</v>
      </c>
      <c r="P34" s="11" t="s">
        <v>764</v>
      </c>
      <c r="Q34" s="11" t="s">
        <v>770</v>
      </c>
      <c r="R34" s="11" t="str">
        <f t="shared" si="0"/>
        <v/>
      </c>
      <c r="S34" s="11" t="str">
        <f t="shared" si="1"/>
        <v/>
      </c>
      <c r="T34" s="11" t="str">
        <f t="shared" si="2"/>
        <v/>
      </c>
      <c r="U34" s="11" t="str">
        <f t="shared" si="3"/>
        <v/>
      </c>
      <c r="V34" s="11" t="str">
        <f t="shared" si="4"/>
        <v/>
      </c>
      <c r="W34" s="11" t="str">
        <f t="shared" ref="W34" si="30">IF($E34="Yes",MAX(R34:V34),"")</f>
        <v/>
      </c>
      <c r="X34" s="11" t="s">
        <v>771</v>
      </c>
      <c r="Y34" s="11" t="str">
        <f>HLOOKUP($X34,Tables_Cat!$B$6:$P$7,2,FALSE)</f>
        <v>Material</v>
      </c>
      <c r="Z34" s="24" t="s">
        <v>709</v>
      </c>
      <c r="AA34" s="11" t="s">
        <v>765</v>
      </c>
      <c r="AB34" s="13" t="str">
        <f t="shared" si="14"/>
        <v/>
      </c>
      <c r="AC34" s="11" t="s">
        <v>702</v>
      </c>
      <c r="AD34" s="11" t="str">
        <f t="shared" si="7"/>
        <v/>
      </c>
      <c r="AE34" s="11" t="s">
        <v>772</v>
      </c>
      <c r="AF34" s="11" t="str">
        <f t="shared" si="8"/>
        <v/>
      </c>
      <c r="AG34" s="11" t="str">
        <f t="shared" si="9"/>
        <v/>
      </c>
      <c r="AH34" s="11" t="str">
        <f t="shared" si="15"/>
        <v/>
      </c>
      <c r="AI34" s="11" t="str">
        <f t="shared" si="10"/>
        <v/>
      </c>
      <c r="AJ34" s="11" t="str">
        <f t="shared" si="11"/>
        <v/>
      </c>
      <c r="AK34" s="11" t="str">
        <f t="shared" si="12"/>
        <v/>
      </c>
      <c r="AN34" s="11" t="s">
        <v>704</v>
      </c>
      <c r="AO34" s="11" t="s">
        <v>766</v>
      </c>
    </row>
    <row r="35" spans="1:41" ht="31.5">
      <c r="A35" s="11">
        <v>29</v>
      </c>
      <c r="B35" s="11" t="s">
        <v>692</v>
      </c>
      <c r="C35" s="11" t="s">
        <v>773</v>
      </c>
      <c r="D35" s="32"/>
      <c r="E35" s="11" t="s">
        <v>3</v>
      </c>
      <c r="F35" s="11">
        <f>IF($E35="Yes",1,"")</f>
        <v>1</v>
      </c>
      <c r="G35" s="11">
        <v>1</v>
      </c>
      <c r="H35" s="11">
        <f>A30</f>
        <v>24</v>
      </c>
      <c r="I35" s="11"/>
      <c r="J35" s="11"/>
      <c r="K35" s="11"/>
      <c r="L35" s="11"/>
      <c r="M35" s="11" t="s">
        <v>750</v>
      </c>
      <c r="N35" s="11" t="s">
        <v>707</v>
      </c>
      <c r="O35" s="11" t="s">
        <v>696</v>
      </c>
      <c r="P35" s="11" t="s">
        <v>696</v>
      </c>
      <c r="Q35" s="11" t="s">
        <v>758</v>
      </c>
      <c r="R35" s="11">
        <f t="shared" si="0"/>
        <v>15</v>
      </c>
      <c r="S35" s="11" t="str">
        <f t="shared" si="1"/>
        <v/>
      </c>
      <c r="T35" s="11" t="str">
        <f t="shared" si="2"/>
        <v/>
      </c>
      <c r="U35" s="11" t="str">
        <f t="shared" si="3"/>
        <v/>
      </c>
      <c r="V35" s="11" t="str">
        <f t="shared" si="4"/>
        <v/>
      </c>
      <c r="W35" s="11">
        <f t="shared" si="29"/>
        <v>15</v>
      </c>
      <c r="X35" s="11" t="s">
        <v>745</v>
      </c>
      <c r="Y35" s="11" t="str">
        <f>HLOOKUP($X35,Tables_Cat!$B$6:$P$7,2,FALSE)</f>
        <v>Information</v>
      </c>
      <c r="Z35" s="24" t="s">
        <v>700</v>
      </c>
      <c r="AA35" s="11" t="s">
        <v>701</v>
      </c>
      <c r="AB35" s="13">
        <f t="shared" si="14"/>
        <v>0</v>
      </c>
      <c r="AC35" s="11" t="s">
        <v>702</v>
      </c>
      <c r="AD35" s="11">
        <f t="shared" si="7"/>
        <v>0</v>
      </c>
      <c r="AE35" s="11" t="s">
        <v>760</v>
      </c>
      <c r="AF35" s="11">
        <f t="shared" si="8"/>
        <v>15</v>
      </c>
      <c r="AG35" s="11">
        <f t="shared" si="9"/>
        <v>225</v>
      </c>
      <c r="AH35" s="11">
        <f t="shared" si="15"/>
        <v>3</v>
      </c>
      <c r="AI35" s="11">
        <f t="shared" si="10"/>
        <v>0</v>
      </c>
      <c r="AJ35" s="11">
        <f t="shared" si="11"/>
        <v>15</v>
      </c>
      <c r="AK35" s="11">
        <f t="shared" si="12"/>
        <v>225</v>
      </c>
      <c r="AN35" s="11" t="s">
        <v>704</v>
      </c>
      <c r="AO35" s="11" t="s">
        <v>705</v>
      </c>
    </row>
    <row r="36" spans="1:41" ht="31.5">
      <c r="A36" s="11">
        <v>30</v>
      </c>
      <c r="B36" s="11" t="s">
        <v>692</v>
      </c>
      <c r="C36" s="11" t="s">
        <v>774</v>
      </c>
      <c r="D36" s="32"/>
      <c r="E36" s="11" t="s">
        <v>4</v>
      </c>
      <c r="F36" s="11">
        <v>1</v>
      </c>
      <c r="G36" s="11">
        <v>1</v>
      </c>
      <c r="H36" s="11">
        <f>A35</f>
        <v>29</v>
      </c>
      <c r="I36" s="11"/>
      <c r="J36" s="11"/>
      <c r="K36" s="11"/>
      <c r="L36" s="11"/>
      <c r="M36" s="11" t="s">
        <v>694</v>
      </c>
      <c r="N36" s="11" t="s">
        <v>707</v>
      </c>
      <c r="O36" s="11" t="s">
        <v>696</v>
      </c>
      <c r="P36" s="11" t="s">
        <v>708</v>
      </c>
      <c r="Q36" s="11" t="s">
        <v>758</v>
      </c>
      <c r="R36" s="11" t="str">
        <f t="shared" si="0"/>
        <v/>
      </c>
      <c r="S36" s="11" t="str">
        <f t="shared" si="1"/>
        <v/>
      </c>
      <c r="T36" s="11" t="str">
        <f t="shared" si="2"/>
        <v/>
      </c>
      <c r="U36" s="11" t="str">
        <f t="shared" si="3"/>
        <v/>
      </c>
      <c r="V36" s="11" t="str">
        <f t="shared" si="4"/>
        <v/>
      </c>
      <c r="W36" s="11" t="str">
        <f t="shared" si="29"/>
        <v/>
      </c>
      <c r="X36" s="11" t="s">
        <v>699</v>
      </c>
      <c r="Y36" s="11" t="str">
        <f>HLOOKUP($X36,Tables_Cat!$B$6:$P$7,2,FALSE)</f>
        <v>Information</v>
      </c>
      <c r="Z36" s="24" t="s">
        <v>700</v>
      </c>
      <c r="AA36" s="11" t="s">
        <v>751</v>
      </c>
      <c r="AB36" s="13" t="str">
        <f t="shared" si="14"/>
        <v/>
      </c>
      <c r="AC36" s="11" t="s">
        <v>702</v>
      </c>
      <c r="AD36" s="11" t="str">
        <f t="shared" si="7"/>
        <v/>
      </c>
      <c r="AE36" s="11" t="s">
        <v>760</v>
      </c>
      <c r="AF36" s="11" t="str">
        <f t="shared" si="8"/>
        <v/>
      </c>
      <c r="AG36" s="11" t="str">
        <f t="shared" si="9"/>
        <v/>
      </c>
      <c r="AH36" s="11" t="str">
        <f t="shared" si="15"/>
        <v/>
      </c>
      <c r="AI36" s="11" t="str">
        <f t="shared" si="10"/>
        <v/>
      </c>
      <c r="AJ36" s="11" t="str">
        <f t="shared" si="11"/>
        <v/>
      </c>
      <c r="AK36" s="11" t="str">
        <f t="shared" si="12"/>
        <v/>
      </c>
      <c r="AN36" s="11" t="s">
        <v>704</v>
      </c>
      <c r="AO36" s="11" t="s">
        <v>775</v>
      </c>
    </row>
    <row r="37" spans="1:41" ht="47.25">
      <c r="A37" s="11">
        <v>31</v>
      </c>
      <c r="B37" s="11" t="s">
        <v>692</v>
      </c>
      <c r="C37" s="11" t="s">
        <v>776</v>
      </c>
      <c r="D37" s="32"/>
      <c r="E37" s="11" t="s">
        <v>3</v>
      </c>
      <c r="F37" s="11">
        <v>1</v>
      </c>
      <c r="G37" s="11">
        <v>1</v>
      </c>
      <c r="H37" s="11">
        <f>A35</f>
        <v>29</v>
      </c>
      <c r="I37" s="11"/>
      <c r="J37" s="11"/>
      <c r="K37" s="11"/>
      <c r="L37" s="11"/>
      <c r="M37" s="11" t="s">
        <v>694</v>
      </c>
      <c r="N37" s="11" t="s">
        <v>707</v>
      </c>
      <c r="O37" s="11" t="s">
        <v>696</v>
      </c>
      <c r="P37" s="11" t="s">
        <v>708</v>
      </c>
      <c r="Q37" s="11" t="s">
        <v>758</v>
      </c>
      <c r="R37" s="11">
        <f t="shared" si="0"/>
        <v>16</v>
      </c>
      <c r="S37" s="11" t="str">
        <f t="shared" si="1"/>
        <v/>
      </c>
      <c r="T37" s="11" t="str">
        <f t="shared" si="2"/>
        <v/>
      </c>
      <c r="U37" s="11" t="str">
        <f t="shared" si="3"/>
        <v/>
      </c>
      <c r="V37" s="11" t="str">
        <f t="shared" si="4"/>
        <v/>
      </c>
      <c r="W37" s="11">
        <f t="shared" si="29"/>
        <v>16</v>
      </c>
      <c r="X37" s="11" t="s">
        <v>699</v>
      </c>
      <c r="Y37" s="11" t="str">
        <f>HLOOKUP($X37,Tables_Cat!$B$6:$P$7,2,FALSE)</f>
        <v>Information</v>
      </c>
      <c r="Z37" s="24" t="s">
        <v>700</v>
      </c>
      <c r="AA37" s="11" t="s">
        <v>751</v>
      </c>
      <c r="AB37" s="13">
        <f t="shared" si="14"/>
        <v>0</v>
      </c>
      <c r="AC37" s="11" t="s">
        <v>752</v>
      </c>
      <c r="AD37" s="11">
        <f t="shared" si="7"/>
        <v>0</v>
      </c>
      <c r="AE37" s="11" t="s">
        <v>760</v>
      </c>
      <c r="AF37" s="11">
        <f t="shared" si="8"/>
        <v>16</v>
      </c>
      <c r="AG37" s="11">
        <f t="shared" si="9"/>
        <v>256</v>
      </c>
      <c r="AH37" s="11">
        <f t="shared" si="15"/>
        <v>2</v>
      </c>
      <c r="AI37" s="11">
        <f t="shared" si="10"/>
        <v>0</v>
      </c>
      <c r="AJ37" s="11">
        <f t="shared" si="11"/>
        <v>16</v>
      </c>
      <c r="AK37" s="11">
        <f t="shared" si="12"/>
        <v>256</v>
      </c>
      <c r="AN37" s="11" t="s">
        <v>704</v>
      </c>
      <c r="AO37" s="11" t="s">
        <v>705</v>
      </c>
    </row>
    <row r="38" spans="1:41" ht="47.25">
      <c r="A38" s="11">
        <v>32</v>
      </c>
      <c r="B38" s="11" t="s">
        <v>767</v>
      </c>
      <c r="C38" s="11" t="s">
        <v>777</v>
      </c>
      <c r="D38" s="32"/>
      <c r="E38" s="11" t="s">
        <v>4</v>
      </c>
      <c r="F38" s="11">
        <v>1.5</v>
      </c>
      <c r="G38" s="11">
        <v>1</v>
      </c>
      <c r="H38" s="11">
        <f>A37</f>
        <v>31</v>
      </c>
      <c r="I38" s="11"/>
      <c r="J38" s="11"/>
      <c r="K38" s="11"/>
      <c r="L38" s="11"/>
      <c r="M38" s="11" t="s">
        <v>694</v>
      </c>
      <c r="N38" s="11" t="s">
        <v>769</v>
      </c>
      <c r="O38" s="11" t="s">
        <v>464</v>
      </c>
      <c r="P38" s="11" t="s">
        <v>764</v>
      </c>
      <c r="Q38" s="11" t="s">
        <v>770</v>
      </c>
      <c r="R38" s="11" t="str">
        <f t="shared" si="0"/>
        <v/>
      </c>
      <c r="S38" s="11" t="str">
        <f t="shared" si="1"/>
        <v/>
      </c>
      <c r="T38" s="11" t="str">
        <f t="shared" si="2"/>
        <v/>
      </c>
      <c r="U38" s="11" t="str">
        <f t="shared" si="3"/>
        <v/>
      </c>
      <c r="V38" s="11" t="str">
        <f t="shared" si="4"/>
        <v/>
      </c>
      <c r="W38" s="11" t="str">
        <f t="shared" si="29"/>
        <v/>
      </c>
      <c r="X38" s="11" t="s">
        <v>771</v>
      </c>
      <c r="Y38" s="11" t="str">
        <f>HLOOKUP($X38,Tables_Cat!$B$6:$P$7,2,FALSE)</f>
        <v>Material</v>
      </c>
      <c r="Z38" s="24" t="s">
        <v>709</v>
      </c>
      <c r="AA38" s="11" t="s">
        <v>765</v>
      </c>
      <c r="AB38" s="13" t="str">
        <f t="shared" si="14"/>
        <v/>
      </c>
      <c r="AC38" s="11" t="s">
        <v>702</v>
      </c>
      <c r="AD38" s="11" t="str">
        <f t="shared" si="7"/>
        <v/>
      </c>
      <c r="AE38" s="11" t="s">
        <v>772</v>
      </c>
      <c r="AF38" s="11" t="str">
        <f t="shared" si="8"/>
        <v/>
      </c>
      <c r="AG38" s="11" t="str">
        <f t="shared" si="9"/>
        <v/>
      </c>
      <c r="AH38" s="11" t="str">
        <f t="shared" si="15"/>
        <v/>
      </c>
      <c r="AI38" s="11" t="str">
        <f t="shared" si="10"/>
        <v/>
      </c>
      <c r="AJ38" s="11" t="str">
        <f t="shared" si="11"/>
        <v/>
      </c>
      <c r="AK38" s="11" t="str">
        <f t="shared" si="12"/>
        <v/>
      </c>
      <c r="AN38" s="11" t="s">
        <v>778</v>
      </c>
      <c r="AO38" s="11" t="s">
        <v>766</v>
      </c>
    </row>
    <row r="39" spans="1:41" ht="47.25">
      <c r="A39" s="11">
        <v>33</v>
      </c>
      <c r="B39" s="11" t="s">
        <v>767</v>
      </c>
      <c r="C39" s="11" t="s">
        <v>779</v>
      </c>
      <c r="D39" s="32"/>
      <c r="E39" s="11" t="s">
        <v>4</v>
      </c>
      <c r="F39" s="11">
        <v>1.5</v>
      </c>
      <c r="G39" s="11">
        <v>1</v>
      </c>
      <c r="H39" s="11">
        <f>A38</f>
        <v>32</v>
      </c>
      <c r="I39" s="11"/>
      <c r="J39" s="11"/>
      <c r="K39" s="11"/>
      <c r="L39" s="11"/>
      <c r="M39" s="11" t="s">
        <v>694</v>
      </c>
      <c r="N39" s="11" t="s">
        <v>769</v>
      </c>
      <c r="O39" s="11" t="s">
        <v>464</v>
      </c>
      <c r="P39" s="11" t="s">
        <v>764</v>
      </c>
      <c r="Q39" s="11" t="s">
        <v>770</v>
      </c>
      <c r="R39" s="11" t="str">
        <f t="shared" si="0"/>
        <v/>
      </c>
      <c r="S39" s="11" t="str">
        <f t="shared" si="1"/>
        <v/>
      </c>
      <c r="T39" s="11" t="str">
        <f t="shared" si="2"/>
        <v/>
      </c>
      <c r="U39" s="11" t="str">
        <f t="shared" si="3"/>
        <v/>
      </c>
      <c r="V39" s="11" t="str">
        <f t="shared" si="4"/>
        <v/>
      </c>
      <c r="W39" s="11" t="str">
        <f t="shared" ref="W39" si="31">IF($E39="Yes",MAX(R39:V39),"")</f>
        <v/>
      </c>
      <c r="X39" s="11" t="s">
        <v>771</v>
      </c>
      <c r="Y39" s="11" t="str">
        <f>HLOOKUP($X39,Tables_Cat!$B$6:$P$7,2,FALSE)</f>
        <v>Material</v>
      </c>
      <c r="Z39" s="24" t="s">
        <v>709</v>
      </c>
      <c r="AA39" s="11" t="s">
        <v>765</v>
      </c>
      <c r="AB39" s="13" t="str">
        <f t="shared" si="14"/>
        <v/>
      </c>
      <c r="AC39" s="11" t="s">
        <v>702</v>
      </c>
      <c r="AD39" s="11" t="str">
        <f t="shared" si="7"/>
        <v/>
      </c>
      <c r="AE39" s="11" t="s">
        <v>772</v>
      </c>
      <c r="AF39" s="11" t="str">
        <f t="shared" si="8"/>
        <v/>
      </c>
      <c r="AG39" s="11" t="str">
        <f t="shared" si="9"/>
        <v/>
      </c>
      <c r="AH39" s="11" t="str">
        <f t="shared" si="15"/>
        <v/>
      </c>
      <c r="AI39" s="11" t="str">
        <f t="shared" si="10"/>
        <v/>
      </c>
      <c r="AJ39" s="11" t="str">
        <f t="shared" si="11"/>
        <v/>
      </c>
      <c r="AK39" s="11" t="str">
        <f t="shared" si="12"/>
        <v/>
      </c>
      <c r="AN39" s="11" t="s">
        <v>714</v>
      </c>
      <c r="AO39" s="11" t="s">
        <v>766</v>
      </c>
    </row>
    <row r="40" spans="1:41" ht="47.25">
      <c r="A40" s="11">
        <v>34</v>
      </c>
      <c r="B40" s="11" t="s">
        <v>692</v>
      </c>
      <c r="C40" s="11" t="s">
        <v>780</v>
      </c>
      <c r="D40" s="32"/>
      <c r="E40" s="11" t="s">
        <v>3</v>
      </c>
      <c r="F40" s="11">
        <v>3</v>
      </c>
      <c r="G40" s="11">
        <v>2</v>
      </c>
      <c r="H40" s="11">
        <f>A35</f>
        <v>29</v>
      </c>
      <c r="I40" s="11"/>
      <c r="J40" s="11"/>
      <c r="K40" s="11"/>
      <c r="L40" s="11"/>
      <c r="M40" s="11" t="s">
        <v>750</v>
      </c>
      <c r="N40" s="11" t="s">
        <v>781</v>
      </c>
      <c r="O40" s="11" t="s">
        <v>696</v>
      </c>
      <c r="P40" s="11" t="s">
        <v>708</v>
      </c>
      <c r="Q40" s="11" t="s">
        <v>698</v>
      </c>
      <c r="R40" s="11">
        <f t="shared" si="0"/>
        <v>16</v>
      </c>
      <c r="S40" s="11" t="str">
        <f t="shared" si="1"/>
        <v/>
      </c>
      <c r="T40" s="11" t="str">
        <f t="shared" si="2"/>
        <v/>
      </c>
      <c r="U40" s="11" t="str">
        <f t="shared" si="3"/>
        <v/>
      </c>
      <c r="V40" s="11" t="str">
        <f t="shared" si="4"/>
        <v/>
      </c>
      <c r="W40" s="11">
        <f t="shared" si="29"/>
        <v>16</v>
      </c>
      <c r="X40" s="11" t="s">
        <v>699</v>
      </c>
      <c r="Y40" s="11" t="str">
        <f>HLOOKUP($X40,Tables_Cat!$B$6:$P$7,2,FALSE)</f>
        <v>Information</v>
      </c>
      <c r="Z40" s="24" t="s">
        <v>700</v>
      </c>
      <c r="AA40" s="11" t="s">
        <v>701</v>
      </c>
      <c r="AB40" s="13">
        <f t="shared" si="14"/>
        <v>0.33333333333333331</v>
      </c>
      <c r="AC40" s="11" t="s">
        <v>752</v>
      </c>
      <c r="AD40" s="11">
        <f t="shared" si="7"/>
        <v>0.33333333333333331</v>
      </c>
      <c r="AE40" s="11" t="s">
        <v>703</v>
      </c>
      <c r="AF40" s="11">
        <f t="shared" si="8"/>
        <v>48</v>
      </c>
      <c r="AG40" s="11">
        <f t="shared" si="9"/>
        <v>768</v>
      </c>
      <c r="AH40" s="11">
        <f t="shared" si="15"/>
        <v>3</v>
      </c>
      <c r="AI40" s="11">
        <f t="shared" si="10"/>
        <v>0</v>
      </c>
      <c r="AJ40" s="11">
        <f t="shared" si="11"/>
        <v>32</v>
      </c>
      <c r="AK40" s="11">
        <f t="shared" si="12"/>
        <v>512</v>
      </c>
      <c r="AN40" s="11" t="s">
        <v>710</v>
      </c>
      <c r="AO40" s="11" t="s">
        <v>705</v>
      </c>
    </row>
    <row r="41" spans="1:41" ht="47.25">
      <c r="A41" s="11">
        <v>35</v>
      </c>
      <c r="B41" s="11" t="s">
        <v>692</v>
      </c>
      <c r="C41" s="11" t="s">
        <v>782</v>
      </c>
      <c r="D41" s="32"/>
      <c r="E41" s="11" t="str">
        <f t="shared" ref="E41" si="32">IF(D41="","Select ...")</f>
        <v>Select ...</v>
      </c>
      <c r="F41" s="11">
        <v>3</v>
      </c>
      <c r="G41" s="11">
        <v>2</v>
      </c>
      <c r="H41" s="11">
        <f>A40</f>
        <v>34</v>
      </c>
      <c r="I41" s="11"/>
      <c r="J41" s="11"/>
      <c r="K41" s="11"/>
      <c r="L41" s="11"/>
      <c r="M41" s="11" t="s">
        <v>750</v>
      </c>
      <c r="N41" s="11" t="s">
        <v>781</v>
      </c>
      <c r="O41" s="11" t="s">
        <v>696</v>
      </c>
      <c r="P41" s="11" t="s">
        <v>708</v>
      </c>
      <c r="Q41" s="11" t="s">
        <v>698</v>
      </c>
      <c r="R41" s="11" t="str">
        <f t="shared" si="0"/>
        <v/>
      </c>
      <c r="S41" s="11" t="str">
        <f t="shared" si="1"/>
        <v/>
      </c>
      <c r="T41" s="11" t="str">
        <f t="shared" si="2"/>
        <v/>
      </c>
      <c r="U41" s="11" t="str">
        <f t="shared" si="3"/>
        <v/>
      </c>
      <c r="V41" s="11" t="str">
        <f t="shared" si="4"/>
        <v/>
      </c>
      <c r="W41" s="11" t="str">
        <f t="shared" ref="W41" si="33">IF($E41="Yes",MAX(R41:V41),"")</f>
        <v/>
      </c>
      <c r="X41" s="11" t="s">
        <v>699</v>
      </c>
      <c r="Y41" s="11" t="str">
        <f>HLOOKUP($X41,Tables_Cat!$B$6:$P$7,2,FALSE)</f>
        <v>Information</v>
      </c>
      <c r="Z41" s="24" t="s">
        <v>700</v>
      </c>
      <c r="AA41" s="11" t="s">
        <v>701</v>
      </c>
      <c r="AB41" s="13" t="str">
        <f t="shared" si="14"/>
        <v/>
      </c>
      <c r="AC41" s="11" t="s">
        <v>752</v>
      </c>
      <c r="AD41" s="11" t="str">
        <f t="shared" si="7"/>
        <v/>
      </c>
      <c r="AE41" s="11" t="s">
        <v>703</v>
      </c>
      <c r="AF41" s="11" t="str">
        <f t="shared" si="8"/>
        <v/>
      </c>
      <c r="AG41" s="11" t="str">
        <f t="shared" si="9"/>
        <v/>
      </c>
      <c r="AH41" s="11" t="str">
        <f t="shared" si="15"/>
        <v/>
      </c>
      <c r="AI41" s="11" t="str">
        <f t="shared" si="10"/>
        <v/>
      </c>
      <c r="AJ41" s="11" t="str">
        <f t="shared" si="11"/>
        <v/>
      </c>
      <c r="AK41" s="11" t="str">
        <f t="shared" si="12"/>
        <v/>
      </c>
      <c r="AN41" s="11" t="s">
        <v>712</v>
      </c>
      <c r="AO41" s="11" t="s">
        <v>705</v>
      </c>
    </row>
    <row r="42" spans="1:41" ht="47.25">
      <c r="A42" s="11">
        <v>36</v>
      </c>
      <c r="B42" s="11" t="s">
        <v>692</v>
      </c>
      <c r="C42" s="11" t="s">
        <v>783</v>
      </c>
      <c r="D42" s="32"/>
      <c r="E42" s="11" t="s">
        <v>3</v>
      </c>
      <c r="F42" s="11">
        <v>1.5</v>
      </c>
      <c r="G42" s="11">
        <v>1.5</v>
      </c>
      <c r="H42" s="11">
        <f>A35</f>
        <v>29</v>
      </c>
      <c r="I42" s="11"/>
      <c r="J42" s="11"/>
      <c r="K42" s="11"/>
      <c r="L42" s="11"/>
      <c r="M42" s="11" t="s">
        <v>750</v>
      </c>
      <c r="N42" s="11" t="s">
        <v>781</v>
      </c>
      <c r="O42" s="11" t="s">
        <v>696</v>
      </c>
      <c r="P42" s="11" t="s">
        <v>708</v>
      </c>
      <c r="Q42" s="11" t="s">
        <v>698</v>
      </c>
      <c r="R42" s="11">
        <f t="shared" si="0"/>
        <v>16</v>
      </c>
      <c r="S42" s="11" t="str">
        <f t="shared" si="1"/>
        <v/>
      </c>
      <c r="T42" s="11" t="str">
        <f t="shared" si="2"/>
        <v/>
      </c>
      <c r="U42" s="11" t="str">
        <f t="shared" si="3"/>
        <v/>
      </c>
      <c r="V42" s="11" t="str">
        <f t="shared" si="4"/>
        <v/>
      </c>
      <c r="W42" s="11">
        <f t="shared" ref="W42" si="34">IF($E42="Yes",MAX(R42:V42),"")</f>
        <v>16</v>
      </c>
      <c r="X42" s="11" t="s">
        <v>699</v>
      </c>
      <c r="Y42" s="11" t="str">
        <f>HLOOKUP($X42,Tables_Cat!$B$6:$P$7,2,FALSE)</f>
        <v>Information</v>
      </c>
      <c r="Z42" s="24" t="s">
        <v>700</v>
      </c>
      <c r="AA42" s="11" t="s">
        <v>701</v>
      </c>
      <c r="AB42" s="13">
        <f t="shared" si="14"/>
        <v>0</v>
      </c>
      <c r="AC42" s="11" t="s">
        <v>752</v>
      </c>
      <c r="AD42" s="11">
        <f t="shared" si="7"/>
        <v>0</v>
      </c>
      <c r="AE42" s="11" t="s">
        <v>703</v>
      </c>
      <c r="AF42" s="11">
        <f t="shared" si="8"/>
        <v>24</v>
      </c>
      <c r="AG42" s="11">
        <f t="shared" si="9"/>
        <v>384</v>
      </c>
      <c r="AH42" s="11">
        <f t="shared" si="15"/>
        <v>3</v>
      </c>
      <c r="AI42" s="11">
        <f t="shared" si="10"/>
        <v>0</v>
      </c>
      <c r="AJ42" s="11">
        <f t="shared" si="11"/>
        <v>24</v>
      </c>
      <c r="AK42" s="11">
        <f t="shared" si="12"/>
        <v>384</v>
      </c>
      <c r="AN42" s="11" t="s">
        <v>714</v>
      </c>
      <c r="AO42" s="11" t="s">
        <v>705</v>
      </c>
    </row>
    <row r="43" spans="1:41" ht="47.25">
      <c r="A43" s="11">
        <v>37</v>
      </c>
      <c r="B43" s="11" t="s">
        <v>692</v>
      </c>
      <c r="C43" s="11" t="s">
        <v>784</v>
      </c>
      <c r="D43" s="32"/>
      <c r="E43" s="11" t="str">
        <f t="shared" ref="E43" si="35">IF(D43="","Select ...")</f>
        <v>Select ...</v>
      </c>
      <c r="F43" s="11">
        <v>3</v>
      </c>
      <c r="G43" s="11">
        <v>2</v>
      </c>
      <c r="H43" s="11">
        <f>A41</f>
        <v>35</v>
      </c>
      <c r="I43" s="11"/>
      <c r="J43" s="11"/>
      <c r="K43" s="11"/>
      <c r="L43" s="11"/>
      <c r="M43" s="11" t="s">
        <v>750</v>
      </c>
      <c r="N43" s="11" t="s">
        <v>781</v>
      </c>
      <c r="O43" s="11" t="s">
        <v>696</v>
      </c>
      <c r="P43" s="11" t="s">
        <v>708</v>
      </c>
      <c r="Q43" s="11" t="s">
        <v>698</v>
      </c>
      <c r="R43" s="11" t="str">
        <f t="shared" si="0"/>
        <v/>
      </c>
      <c r="S43" s="11" t="str">
        <f t="shared" si="1"/>
        <v/>
      </c>
      <c r="T43" s="11" t="str">
        <f t="shared" si="2"/>
        <v/>
      </c>
      <c r="U43" s="11" t="str">
        <f t="shared" si="3"/>
        <v/>
      </c>
      <c r="V43" s="11" t="str">
        <f t="shared" si="4"/>
        <v/>
      </c>
      <c r="W43" s="11" t="str">
        <f t="shared" ref="W43" si="36">IF($E43="Yes",MAX(R43:V43),"")</f>
        <v/>
      </c>
      <c r="X43" s="11" t="s">
        <v>699</v>
      </c>
      <c r="Y43" s="11" t="str">
        <f>HLOOKUP($X43,Tables_Cat!$B$6:$P$7,2,FALSE)</f>
        <v>Information</v>
      </c>
      <c r="Z43" s="24" t="s">
        <v>700</v>
      </c>
      <c r="AA43" s="11" t="s">
        <v>701</v>
      </c>
      <c r="AB43" s="13" t="str">
        <f t="shared" si="14"/>
        <v/>
      </c>
      <c r="AC43" s="11" t="s">
        <v>752</v>
      </c>
      <c r="AD43" s="11" t="str">
        <f t="shared" si="7"/>
        <v/>
      </c>
      <c r="AE43" s="11" t="s">
        <v>703</v>
      </c>
      <c r="AF43" s="11" t="str">
        <f t="shared" si="8"/>
        <v/>
      </c>
      <c r="AG43" s="11" t="str">
        <f t="shared" si="9"/>
        <v/>
      </c>
      <c r="AH43" s="11" t="str">
        <f t="shared" si="15"/>
        <v/>
      </c>
      <c r="AI43" s="11" t="str">
        <f t="shared" si="10"/>
        <v/>
      </c>
      <c r="AJ43" s="11" t="str">
        <f t="shared" si="11"/>
        <v/>
      </c>
      <c r="AK43" s="11" t="str">
        <f t="shared" si="12"/>
        <v/>
      </c>
      <c r="AN43" s="11" t="s">
        <v>714</v>
      </c>
      <c r="AO43" s="11" t="s">
        <v>705</v>
      </c>
    </row>
    <row r="44" spans="1:41" ht="31.5">
      <c r="A44" s="11">
        <v>38</v>
      </c>
      <c r="B44" s="11" t="s">
        <v>692</v>
      </c>
      <c r="C44" s="11" t="s">
        <v>785</v>
      </c>
      <c r="D44" s="32"/>
      <c r="E44" s="11" t="str">
        <f t="shared" ref="E44:E194" si="37">IF(D44="","Select ...")</f>
        <v>Select ...</v>
      </c>
      <c r="F44" s="11">
        <v>1</v>
      </c>
      <c r="G44" s="11">
        <v>0.5</v>
      </c>
      <c r="H44" s="11">
        <f>A37</f>
        <v>31</v>
      </c>
      <c r="I44" s="11"/>
      <c r="J44" s="11"/>
      <c r="K44" s="11"/>
      <c r="L44" s="11"/>
      <c r="M44" s="11" t="s">
        <v>694</v>
      </c>
      <c r="N44" s="11" t="s">
        <v>695</v>
      </c>
      <c r="O44" s="11" t="s">
        <v>696</v>
      </c>
      <c r="P44" s="11" t="s">
        <v>708</v>
      </c>
      <c r="Q44" s="11" t="s">
        <v>758</v>
      </c>
      <c r="R44" s="11" t="str">
        <f t="shared" si="0"/>
        <v/>
      </c>
      <c r="S44" s="11" t="str">
        <f t="shared" si="1"/>
        <v/>
      </c>
      <c r="T44" s="11" t="str">
        <f t="shared" si="2"/>
        <v/>
      </c>
      <c r="U44" s="11" t="str">
        <f t="shared" si="3"/>
        <v/>
      </c>
      <c r="V44" s="11" t="str">
        <f t="shared" si="4"/>
        <v/>
      </c>
      <c r="W44" s="11" t="str">
        <f t="shared" si="29"/>
        <v/>
      </c>
      <c r="X44" s="11" t="s">
        <v>745</v>
      </c>
      <c r="Y44" s="11" t="str">
        <f>HLOOKUP($X44,Tables_Cat!$B$6:$P$7,2,FALSE)</f>
        <v>Information</v>
      </c>
      <c r="Z44" s="24" t="s">
        <v>700</v>
      </c>
      <c r="AA44" s="11" t="s">
        <v>701</v>
      </c>
      <c r="AB44" s="13" t="str">
        <f t="shared" si="14"/>
        <v/>
      </c>
      <c r="AC44" s="11" t="s">
        <v>702</v>
      </c>
      <c r="AD44" s="11" t="str">
        <f t="shared" si="7"/>
        <v/>
      </c>
      <c r="AE44" s="11" t="s">
        <v>760</v>
      </c>
      <c r="AF44" s="11" t="str">
        <f t="shared" si="8"/>
        <v/>
      </c>
      <c r="AG44" s="11" t="str">
        <f t="shared" si="9"/>
        <v/>
      </c>
      <c r="AH44" s="11" t="str">
        <f t="shared" si="15"/>
        <v/>
      </c>
      <c r="AI44" s="11" t="str">
        <f t="shared" si="10"/>
        <v/>
      </c>
      <c r="AJ44" s="11" t="str">
        <f t="shared" si="11"/>
        <v/>
      </c>
      <c r="AK44" s="11" t="str">
        <f t="shared" si="12"/>
        <v/>
      </c>
      <c r="AN44" s="11" t="s">
        <v>704</v>
      </c>
      <c r="AO44" s="11" t="s">
        <v>705</v>
      </c>
    </row>
    <row r="45" spans="1:41" ht="31.5">
      <c r="A45" s="11">
        <v>39</v>
      </c>
      <c r="B45" s="11" t="s">
        <v>692</v>
      </c>
      <c r="C45" s="11" t="s">
        <v>786</v>
      </c>
      <c r="D45" s="32"/>
      <c r="E45" s="11" t="s">
        <v>3</v>
      </c>
      <c r="F45" s="11">
        <v>2</v>
      </c>
      <c r="G45" s="11">
        <v>2</v>
      </c>
      <c r="H45" s="11">
        <f>A40</f>
        <v>34</v>
      </c>
      <c r="I45" s="11">
        <f>A42</f>
        <v>36</v>
      </c>
      <c r="J45" s="11"/>
      <c r="K45" s="11"/>
      <c r="L45" s="11"/>
      <c r="M45" s="11" t="s">
        <v>750</v>
      </c>
      <c r="N45" s="11" t="s">
        <v>787</v>
      </c>
      <c r="O45" s="11" t="s">
        <v>696</v>
      </c>
      <c r="P45" s="11" t="s">
        <v>464</v>
      </c>
      <c r="Q45" s="11" t="s">
        <v>698</v>
      </c>
      <c r="R45" s="11">
        <f t="shared" si="0"/>
        <v>19</v>
      </c>
      <c r="S45" s="11">
        <f t="shared" si="1"/>
        <v>17.5</v>
      </c>
      <c r="T45" s="11" t="str">
        <f t="shared" si="2"/>
        <v/>
      </c>
      <c r="U45" s="11" t="str">
        <f t="shared" si="3"/>
        <v/>
      </c>
      <c r="V45" s="11" t="str">
        <f t="shared" si="4"/>
        <v/>
      </c>
      <c r="W45" s="11">
        <f t="shared" si="29"/>
        <v>19</v>
      </c>
      <c r="X45" s="11" t="s">
        <v>699</v>
      </c>
      <c r="Y45" s="11" t="str">
        <f>HLOOKUP($X45,Tables_Cat!$B$6:$P$7,2,FALSE)</f>
        <v>Information</v>
      </c>
      <c r="Z45" s="24" t="s">
        <v>700</v>
      </c>
      <c r="AA45" s="11" t="s">
        <v>701</v>
      </c>
      <c r="AB45" s="13">
        <f t="shared" si="14"/>
        <v>0</v>
      </c>
      <c r="AC45" s="11" t="s">
        <v>702</v>
      </c>
      <c r="AD45" s="11">
        <f t="shared" si="7"/>
        <v>0</v>
      </c>
      <c r="AE45" s="11" t="s">
        <v>703</v>
      </c>
      <c r="AF45" s="11">
        <f t="shared" si="8"/>
        <v>38</v>
      </c>
      <c r="AG45" s="11">
        <f t="shared" si="9"/>
        <v>722</v>
      </c>
      <c r="AH45" s="11">
        <f t="shared" si="15"/>
        <v>3</v>
      </c>
      <c r="AI45" s="11">
        <f t="shared" si="10"/>
        <v>0</v>
      </c>
      <c r="AJ45" s="11">
        <f t="shared" si="11"/>
        <v>38</v>
      </c>
      <c r="AK45" s="11">
        <f t="shared" si="12"/>
        <v>722</v>
      </c>
      <c r="AN45" s="11" t="s">
        <v>788</v>
      </c>
      <c r="AO45" s="11" t="s">
        <v>789</v>
      </c>
    </row>
    <row r="46" spans="1:41" ht="47.25">
      <c r="A46" s="11">
        <v>40</v>
      </c>
      <c r="B46" s="11" t="s">
        <v>692</v>
      </c>
      <c r="C46" s="11" t="s">
        <v>790</v>
      </c>
      <c r="D46" s="32"/>
      <c r="E46" s="11" t="s">
        <v>3</v>
      </c>
      <c r="F46" s="11">
        <v>2</v>
      </c>
      <c r="G46" s="11">
        <v>1</v>
      </c>
      <c r="H46" s="11">
        <f>A45</f>
        <v>39</v>
      </c>
      <c r="I46" s="11"/>
      <c r="J46" s="11"/>
      <c r="K46" s="11"/>
      <c r="L46" s="11"/>
      <c r="M46" s="11" t="s">
        <v>694</v>
      </c>
      <c r="N46" s="11" t="s">
        <v>787</v>
      </c>
      <c r="O46" s="11" t="s">
        <v>696</v>
      </c>
      <c r="P46" s="11" t="s">
        <v>791</v>
      </c>
      <c r="Q46" s="11" t="s">
        <v>792</v>
      </c>
      <c r="R46" s="11">
        <f t="shared" si="0"/>
        <v>21</v>
      </c>
      <c r="S46" s="11" t="str">
        <f t="shared" si="1"/>
        <v/>
      </c>
      <c r="T46" s="11" t="str">
        <f t="shared" si="2"/>
        <v/>
      </c>
      <c r="U46" s="11" t="str">
        <f t="shared" si="3"/>
        <v/>
      </c>
      <c r="V46" s="11" t="str">
        <f t="shared" si="4"/>
        <v/>
      </c>
      <c r="W46" s="11">
        <f t="shared" si="29"/>
        <v>21</v>
      </c>
      <c r="X46" s="11" t="s">
        <v>741</v>
      </c>
      <c r="Y46" s="11" t="str">
        <f>HLOOKUP($X46,Tables_Cat!$B$6:$P$7,2,FALSE)</f>
        <v>Material</v>
      </c>
      <c r="Z46" s="24" t="s">
        <v>793</v>
      </c>
      <c r="AA46" s="11" t="s">
        <v>728</v>
      </c>
      <c r="AB46" s="13">
        <f t="shared" si="14"/>
        <v>0.5</v>
      </c>
      <c r="AC46" s="11" t="s">
        <v>702</v>
      </c>
      <c r="AD46" s="11">
        <f t="shared" si="7"/>
        <v>4.5</v>
      </c>
      <c r="AE46" s="11" t="s">
        <v>794</v>
      </c>
      <c r="AF46" s="11">
        <f t="shared" si="8"/>
        <v>42</v>
      </c>
      <c r="AG46" s="11">
        <f t="shared" si="9"/>
        <v>882</v>
      </c>
      <c r="AH46" s="11">
        <f t="shared" si="15"/>
        <v>4</v>
      </c>
      <c r="AI46" s="11">
        <f t="shared" si="10"/>
        <v>4</v>
      </c>
      <c r="AJ46" s="11">
        <f t="shared" si="11"/>
        <v>21</v>
      </c>
      <c r="AK46" s="11">
        <f t="shared" si="12"/>
        <v>441</v>
      </c>
      <c r="AN46" s="11" t="s">
        <v>788</v>
      </c>
      <c r="AO46" s="11" t="s">
        <v>795</v>
      </c>
    </row>
    <row r="47" spans="1:41" ht="47.25">
      <c r="A47" s="11">
        <v>41</v>
      </c>
      <c r="B47" s="11" t="s">
        <v>692</v>
      </c>
      <c r="C47" s="11" t="s">
        <v>796</v>
      </c>
      <c r="D47" s="32"/>
      <c r="E47" s="11" t="s">
        <v>4</v>
      </c>
      <c r="F47" s="11">
        <v>3</v>
      </c>
      <c r="G47" s="11">
        <v>3</v>
      </c>
      <c r="H47" s="11">
        <f>A46</f>
        <v>40</v>
      </c>
      <c r="I47" s="11"/>
      <c r="J47" s="11"/>
      <c r="K47" s="11"/>
      <c r="L47" s="11"/>
      <c r="M47" s="11" t="s">
        <v>694</v>
      </c>
      <c r="N47" s="11" t="s">
        <v>695</v>
      </c>
      <c r="O47" s="11" t="s">
        <v>791</v>
      </c>
      <c r="P47" s="11" t="s">
        <v>791</v>
      </c>
      <c r="Q47" s="11" t="s">
        <v>792</v>
      </c>
      <c r="R47" s="11" t="str">
        <f t="shared" si="0"/>
        <v/>
      </c>
      <c r="S47" s="11" t="str">
        <f t="shared" si="1"/>
        <v/>
      </c>
      <c r="T47" s="11" t="str">
        <f t="shared" si="2"/>
        <v/>
      </c>
      <c r="U47" s="11" t="str">
        <f t="shared" si="3"/>
        <v/>
      </c>
      <c r="V47" s="11" t="str">
        <f t="shared" si="4"/>
        <v/>
      </c>
      <c r="W47" s="11" t="str">
        <f t="shared" ref="W47" si="38">IF($E47="Yes",MAX(R47:V47),"")</f>
        <v/>
      </c>
      <c r="X47" s="11" t="s">
        <v>741</v>
      </c>
      <c r="Y47" s="11" t="str">
        <f>HLOOKUP($X47,Tables_Cat!$B$6:$P$7,2,FALSE)</f>
        <v>Material</v>
      </c>
      <c r="Z47" s="24" t="s">
        <v>700</v>
      </c>
      <c r="AA47" s="11" t="s">
        <v>751</v>
      </c>
      <c r="AB47" s="13" t="str">
        <f t="shared" si="14"/>
        <v/>
      </c>
      <c r="AC47" s="11" t="s">
        <v>702</v>
      </c>
      <c r="AD47" s="11" t="str">
        <f t="shared" si="7"/>
        <v/>
      </c>
      <c r="AE47" s="11" t="s">
        <v>794</v>
      </c>
      <c r="AF47" s="11" t="str">
        <f t="shared" si="8"/>
        <v/>
      </c>
      <c r="AG47" s="11" t="str">
        <f t="shared" si="9"/>
        <v/>
      </c>
      <c r="AH47" s="11" t="str">
        <f t="shared" si="15"/>
        <v/>
      </c>
      <c r="AI47" s="11" t="str">
        <f t="shared" si="10"/>
        <v/>
      </c>
      <c r="AJ47" s="11" t="str">
        <f t="shared" si="11"/>
        <v/>
      </c>
      <c r="AK47" s="11" t="str">
        <f t="shared" si="12"/>
        <v/>
      </c>
      <c r="AN47" s="11" t="s">
        <v>788</v>
      </c>
      <c r="AO47" s="11" t="s">
        <v>789</v>
      </c>
    </row>
    <row r="48" spans="1:41" ht="47.25">
      <c r="A48" s="11">
        <v>42</v>
      </c>
      <c r="B48" s="11" t="s">
        <v>692</v>
      </c>
      <c r="C48" s="11" t="s">
        <v>797</v>
      </c>
      <c r="D48" s="32"/>
      <c r="E48" s="11" t="s">
        <v>3</v>
      </c>
      <c r="F48" s="11">
        <v>1.5</v>
      </c>
      <c r="G48" s="11">
        <v>0.5</v>
      </c>
      <c r="H48" s="11">
        <f>A45</f>
        <v>39</v>
      </c>
      <c r="I48" s="11"/>
      <c r="J48" s="11"/>
      <c r="K48" s="11"/>
      <c r="L48" s="11"/>
      <c r="M48" s="11" t="s">
        <v>694</v>
      </c>
      <c r="N48" s="11" t="s">
        <v>787</v>
      </c>
      <c r="O48" s="11" t="s">
        <v>696</v>
      </c>
      <c r="P48" s="11" t="s">
        <v>791</v>
      </c>
      <c r="Q48" s="11" t="s">
        <v>792</v>
      </c>
      <c r="R48" s="11">
        <f t="shared" si="0"/>
        <v>21</v>
      </c>
      <c r="S48" s="11" t="str">
        <f t="shared" si="1"/>
        <v/>
      </c>
      <c r="T48" s="11" t="str">
        <f t="shared" si="2"/>
        <v/>
      </c>
      <c r="U48" s="11" t="str">
        <f t="shared" si="3"/>
        <v/>
      </c>
      <c r="V48" s="11" t="str">
        <f t="shared" si="4"/>
        <v/>
      </c>
      <c r="W48" s="11">
        <f t="shared" si="29"/>
        <v>21</v>
      </c>
      <c r="X48" s="11" t="s">
        <v>741</v>
      </c>
      <c r="Y48" s="11" t="str">
        <f>HLOOKUP($X48,Tables_Cat!$B$6:$P$7,2,FALSE)</f>
        <v>Material</v>
      </c>
      <c r="Z48" s="24" t="s">
        <v>793</v>
      </c>
      <c r="AA48" s="11" t="s">
        <v>728</v>
      </c>
      <c r="AB48" s="13">
        <f t="shared" si="14"/>
        <v>0.66666666666666663</v>
      </c>
      <c r="AC48" s="11" t="s">
        <v>702</v>
      </c>
      <c r="AD48" s="11">
        <f t="shared" si="7"/>
        <v>4.666666666666667</v>
      </c>
      <c r="AE48" s="11" t="s">
        <v>794</v>
      </c>
      <c r="AF48" s="11">
        <f t="shared" si="8"/>
        <v>31.5</v>
      </c>
      <c r="AG48" s="11">
        <f t="shared" si="9"/>
        <v>661.5</v>
      </c>
      <c r="AH48" s="11">
        <f t="shared" si="15"/>
        <v>4</v>
      </c>
      <c r="AI48" s="11">
        <f t="shared" si="10"/>
        <v>4</v>
      </c>
      <c r="AJ48" s="11">
        <f t="shared" si="11"/>
        <v>10.5</v>
      </c>
      <c r="AK48" s="11">
        <f t="shared" si="12"/>
        <v>220.5</v>
      </c>
      <c r="AN48" s="11" t="s">
        <v>788</v>
      </c>
      <c r="AO48" s="11" t="s">
        <v>795</v>
      </c>
    </row>
    <row r="49" spans="1:41" ht="47.25">
      <c r="A49" s="11">
        <v>43</v>
      </c>
      <c r="B49" s="11" t="s">
        <v>692</v>
      </c>
      <c r="C49" s="11" t="s">
        <v>798</v>
      </c>
      <c r="D49" s="32"/>
      <c r="E49" s="11" t="s">
        <v>4</v>
      </c>
      <c r="F49" s="11">
        <v>3</v>
      </c>
      <c r="G49" s="11">
        <v>3</v>
      </c>
      <c r="H49" s="11">
        <f>A48</f>
        <v>42</v>
      </c>
      <c r="I49" s="11"/>
      <c r="J49" s="11"/>
      <c r="K49" s="11"/>
      <c r="L49" s="11"/>
      <c r="M49" s="11" t="s">
        <v>694</v>
      </c>
      <c r="N49" s="11" t="s">
        <v>707</v>
      </c>
      <c r="O49" s="11" t="s">
        <v>791</v>
      </c>
      <c r="P49" s="11" t="s">
        <v>791</v>
      </c>
      <c r="Q49" s="11" t="s">
        <v>792</v>
      </c>
      <c r="R49" s="11" t="str">
        <f t="shared" si="0"/>
        <v/>
      </c>
      <c r="S49" s="11" t="str">
        <f t="shared" si="1"/>
        <v/>
      </c>
      <c r="T49" s="11" t="str">
        <f t="shared" si="2"/>
        <v/>
      </c>
      <c r="U49" s="11" t="str">
        <f t="shared" si="3"/>
        <v/>
      </c>
      <c r="V49" s="11" t="str">
        <f t="shared" si="4"/>
        <v/>
      </c>
      <c r="W49" s="11" t="str">
        <f t="shared" si="29"/>
        <v/>
      </c>
      <c r="X49" s="11" t="s">
        <v>741</v>
      </c>
      <c r="Y49" s="11" t="str">
        <f>HLOOKUP($X49,Tables_Cat!$B$6:$P$7,2,FALSE)</f>
        <v>Material</v>
      </c>
      <c r="Z49" s="24" t="s">
        <v>700</v>
      </c>
      <c r="AA49" s="11" t="s">
        <v>751</v>
      </c>
      <c r="AB49" s="13" t="str">
        <f t="shared" si="14"/>
        <v/>
      </c>
      <c r="AC49" s="11" t="s">
        <v>702</v>
      </c>
      <c r="AD49" s="11" t="str">
        <f t="shared" si="7"/>
        <v/>
      </c>
      <c r="AE49" s="11" t="s">
        <v>794</v>
      </c>
      <c r="AF49" s="11" t="str">
        <f t="shared" si="8"/>
        <v/>
      </c>
      <c r="AG49" s="11" t="str">
        <f t="shared" si="9"/>
        <v/>
      </c>
      <c r="AH49" s="11" t="str">
        <f t="shared" si="15"/>
        <v/>
      </c>
      <c r="AI49" s="11" t="str">
        <f t="shared" si="10"/>
        <v/>
      </c>
      <c r="AJ49" s="11" t="str">
        <f t="shared" si="11"/>
        <v/>
      </c>
      <c r="AK49" s="11" t="str">
        <f t="shared" si="12"/>
        <v/>
      </c>
      <c r="AN49" s="11" t="s">
        <v>788</v>
      </c>
      <c r="AO49" s="11" t="s">
        <v>789</v>
      </c>
    </row>
    <row r="50" spans="1:41" ht="47.25">
      <c r="A50" s="11">
        <v>44</v>
      </c>
      <c r="B50" s="11" t="s">
        <v>692</v>
      </c>
      <c r="C50" s="11" t="s">
        <v>799</v>
      </c>
      <c r="D50" s="32"/>
      <c r="E50" s="11" t="str">
        <f t="shared" si="37"/>
        <v>Select ...</v>
      </c>
      <c r="F50" s="11">
        <v>3</v>
      </c>
      <c r="G50" s="11">
        <v>3</v>
      </c>
      <c r="H50" s="11">
        <f>A46</f>
        <v>40</v>
      </c>
      <c r="I50" s="11">
        <f>A48</f>
        <v>42</v>
      </c>
      <c r="J50" s="11"/>
      <c r="K50" s="11"/>
      <c r="L50" s="11"/>
      <c r="M50" s="11" t="s">
        <v>694</v>
      </c>
      <c r="N50" s="11" t="s">
        <v>787</v>
      </c>
      <c r="O50" s="11" t="s">
        <v>791</v>
      </c>
      <c r="P50" s="11" t="s">
        <v>800</v>
      </c>
      <c r="Q50" s="11" t="s">
        <v>792</v>
      </c>
      <c r="R50" s="11" t="str">
        <f t="shared" si="0"/>
        <v/>
      </c>
      <c r="S50" s="11" t="str">
        <f t="shared" si="1"/>
        <v/>
      </c>
      <c r="T50" s="11" t="str">
        <f t="shared" si="2"/>
        <v/>
      </c>
      <c r="U50" s="11" t="str">
        <f t="shared" si="3"/>
        <v/>
      </c>
      <c r="V50" s="11" t="str">
        <f t="shared" si="4"/>
        <v/>
      </c>
      <c r="W50" s="11" t="str">
        <f t="shared" si="29"/>
        <v/>
      </c>
      <c r="X50" s="11" t="s">
        <v>801</v>
      </c>
      <c r="Y50" s="11" t="str">
        <f>HLOOKUP($X50,Tables_Cat!$B$6:$P$7,2,FALSE)</f>
        <v>Material</v>
      </c>
      <c r="Z50" s="24" t="s">
        <v>700</v>
      </c>
      <c r="AA50" s="11" t="s">
        <v>728</v>
      </c>
      <c r="AB50" s="13" t="str">
        <f t="shared" si="14"/>
        <v/>
      </c>
      <c r="AC50" s="11" t="s">
        <v>702</v>
      </c>
      <c r="AD50" s="11" t="str">
        <f t="shared" si="7"/>
        <v/>
      </c>
      <c r="AE50" s="11" t="s">
        <v>794</v>
      </c>
      <c r="AF50" s="11" t="str">
        <f t="shared" si="8"/>
        <v/>
      </c>
      <c r="AG50" s="11" t="str">
        <f t="shared" si="9"/>
        <v/>
      </c>
      <c r="AH50" s="11" t="str">
        <f t="shared" si="15"/>
        <v/>
      </c>
      <c r="AI50" s="11" t="str">
        <f t="shared" si="10"/>
        <v/>
      </c>
      <c r="AJ50" s="11" t="str">
        <f t="shared" si="11"/>
        <v/>
      </c>
      <c r="AK50" s="11" t="str">
        <f t="shared" si="12"/>
        <v/>
      </c>
      <c r="AN50" s="11" t="s">
        <v>800</v>
      </c>
      <c r="AO50" s="11" t="s">
        <v>795</v>
      </c>
    </row>
    <row r="51" spans="1:41" ht="47.25">
      <c r="A51" s="11">
        <v>45</v>
      </c>
      <c r="B51" s="11" t="s">
        <v>692</v>
      </c>
      <c r="C51" s="11" t="s">
        <v>802</v>
      </c>
      <c r="D51" s="32"/>
      <c r="E51" s="11" t="str">
        <f t="shared" ref="E51" si="39">IF(D51="","Select ...")</f>
        <v>Select ...</v>
      </c>
      <c r="F51" s="11">
        <v>3</v>
      </c>
      <c r="G51" s="11">
        <v>3</v>
      </c>
      <c r="H51" s="11">
        <f>A47</f>
        <v>41</v>
      </c>
      <c r="I51" s="11">
        <f>A49</f>
        <v>43</v>
      </c>
      <c r="J51" s="11"/>
      <c r="K51" s="11"/>
      <c r="L51" s="11"/>
      <c r="M51" s="11" t="s">
        <v>694</v>
      </c>
      <c r="N51" s="11" t="s">
        <v>787</v>
      </c>
      <c r="O51" s="11" t="s">
        <v>791</v>
      </c>
      <c r="P51" s="11" t="s">
        <v>800</v>
      </c>
      <c r="Q51" s="11" t="s">
        <v>792</v>
      </c>
      <c r="R51" s="11" t="str">
        <f t="shared" si="0"/>
        <v/>
      </c>
      <c r="S51" s="11" t="str">
        <f t="shared" si="1"/>
        <v/>
      </c>
      <c r="T51" s="11" t="str">
        <f t="shared" si="2"/>
        <v/>
      </c>
      <c r="U51" s="11" t="str">
        <f t="shared" si="3"/>
        <v/>
      </c>
      <c r="V51" s="11" t="str">
        <f t="shared" si="4"/>
        <v/>
      </c>
      <c r="W51" s="11" t="str">
        <f t="shared" ref="W51" si="40">IF($E51="Yes",MAX(R51:V51),"")</f>
        <v/>
      </c>
      <c r="X51" s="11" t="s">
        <v>801</v>
      </c>
      <c r="Y51" s="11" t="str">
        <f>HLOOKUP($X51,Tables_Cat!$B$6:$P$7,2,FALSE)</f>
        <v>Material</v>
      </c>
      <c r="Z51" s="24" t="s">
        <v>700</v>
      </c>
      <c r="AA51" s="11" t="s">
        <v>728</v>
      </c>
      <c r="AB51" s="13" t="str">
        <f t="shared" si="14"/>
        <v/>
      </c>
      <c r="AC51" s="11" t="s">
        <v>702</v>
      </c>
      <c r="AD51" s="11" t="str">
        <f t="shared" si="7"/>
        <v/>
      </c>
      <c r="AE51" s="11" t="s">
        <v>794</v>
      </c>
      <c r="AF51" s="11" t="str">
        <f t="shared" si="8"/>
        <v/>
      </c>
      <c r="AG51" s="11" t="str">
        <f t="shared" si="9"/>
        <v/>
      </c>
      <c r="AH51" s="11" t="str">
        <f t="shared" si="15"/>
        <v/>
      </c>
      <c r="AI51" s="11" t="str">
        <f t="shared" si="10"/>
        <v/>
      </c>
      <c r="AJ51" s="11" t="str">
        <f t="shared" si="11"/>
        <v/>
      </c>
      <c r="AK51" s="11" t="str">
        <f t="shared" si="12"/>
        <v/>
      </c>
      <c r="AM51" s="35"/>
      <c r="AN51" s="11" t="s">
        <v>788</v>
      </c>
      <c r="AO51" s="11" t="s">
        <v>795</v>
      </c>
    </row>
    <row r="52" spans="1:41" ht="47.25">
      <c r="A52" s="11">
        <v>46</v>
      </c>
      <c r="B52" s="11" t="s">
        <v>692</v>
      </c>
      <c r="C52" s="11" t="s">
        <v>803</v>
      </c>
      <c r="D52" s="32"/>
      <c r="E52" s="11" t="s">
        <v>3</v>
      </c>
      <c r="F52" s="11">
        <v>2</v>
      </c>
      <c r="G52" s="11">
        <v>1</v>
      </c>
      <c r="H52" s="11">
        <f>A46</f>
        <v>40</v>
      </c>
      <c r="I52" s="11">
        <f>A48</f>
        <v>42</v>
      </c>
      <c r="J52" s="11"/>
      <c r="K52" s="11"/>
      <c r="L52" s="11"/>
      <c r="M52" s="11" t="s">
        <v>694</v>
      </c>
      <c r="N52" s="11" t="s">
        <v>787</v>
      </c>
      <c r="O52" s="11" t="s">
        <v>791</v>
      </c>
      <c r="P52" s="11" t="s">
        <v>800</v>
      </c>
      <c r="Q52" s="11" t="s">
        <v>792</v>
      </c>
      <c r="R52" s="11">
        <f t="shared" si="0"/>
        <v>23</v>
      </c>
      <c r="S52" s="11">
        <f t="shared" si="1"/>
        <v>22.5</v>
      </c>
      <c r="T52" s="11" t="str">
        <f t="shared" si="2"/>
        <v/>
      </c>
      <c r="U52" s="11" t="str">
        <f t="shared" si="3"/>
        <v/>
      </c>
      <c r="V52" s="11" t="str">
        <f t="shared" si="4"/>
        <v/>
      </c>
      <c r="W52" s="11">
        <f t="shared" si="29"/>
        <v>23</v>
      </c>
      <c r="X52" s="11" t="s">
        <v>801</v>
      </c>
      <c r="Y52" s="11" t="str">
        <f>HLOOKUP($X52,Tables_Cat!$B$6:$P$7,2,FALSE)</f>
        <v>Material</v>
      </c>
      <c r="Z52" s="24" t="s">
        <v>700</v>
      </c>
      <c r="AA52" s="11" t="s">
        <v>728</v>
      </c>
      <c r="AB52" s="13">
        <f t="shared" si="14"/>
        <v>0.5</v>
      </c>
      <c r="AC52" s="11" t="s">
        <v>702</v>
      </c>
      <c r="AD52" s="11">
        <f t="shared" si="7"/>
        <v>0.5</v>
      </c>
      <c r="AE52" s="11" t="s">
        <v>794</v>
      </c>
      <c r="AF52" s="11">
        <f t="shared" si="8"/>
        <v>46</v>
      </c>
      <c r="AG52" s="11">
        <f t="shared" si="9"/>
        <v>1058</v>
      </c>
      <c r="AH52" s="11">
        <f t="shared" si="15"/>
        <v>4</v>
      </c>
      <c r="AI52" s="11">
        <f t="shared" si="10"/>
        <v>0</v>
      </c>
      <c r="AJ52" s="11">
        <f t="shared" si="11"/>
        <v>23</v>
      </c>
      <c r="AK52" s="11">
        <f t="shared" si="12"/>
        <v>529</v>
      </c>
      <c r="AN52" s="11" t="s">
        <v>800</v>
      </c>
      <c r="AO52" s="11" t="s">
        <v>795</v>
      </c>
    </row>
    <row r="53" spans="1:41" ht="47.25">
      <c r="A53" s="11">
        <v>47</v>
      </c>
      <c r="B53" s="11" t="s">
        <v>692</v>
      </c>
      <c r="C53" s="11" t="s">
        <v>804</v>
      </c>
      <c r="D53" s="32"/>
      <c r="E53" s="11" t="s">
        <v>3</v>
      </c>
      <c r="F53" s="11">
        <v>2</v>
      </c>
      <c r="G53" s="11">
        <v>1</v>
      </c>
      <c r="H53" s="11">
        <f>A46</f>
        <v>40</v>
      </c>
      <c r="I53" s="11">
        <f>A48</f>
        <v>42</v>
      </c>
      <c r="J53" s="11"/>
      <c r="K53" s="11"/>
      <c r="L53" s="11"/>
      <c r="M53" s="11" t="s">
        <v>694</v>
      </c>
      <c r="N53" s="11" t="s">
        <v>787</v>
      </c>
      <c r="O53" s="11" t="s">
        <v>791</v>
      </c>
      <c r="P53" s="11" t="s">
        <v>800</v>
      </c>
      <c r="Q53" s="11" t="s">
        <v>792</v>
      </c>
      <c r="R53" s="11">
        <f t="shared" si="0"/>
        <v>23</v>
      </c>
      <c r="S53" s="11">
        <f t="shared" si="1"/>
        <v>22.5</v>
      </c>
      <c r="T53" s="11" t="str">
        <f t="shared" si="2"/>
        <v/>
      </c>
      <c r="U53" s="11" t="str">
        <f t="shared" si="3"/>
        <v/>
      </c>
      <c r="V53" s="11" t="str">
        <f t="shared" si="4"/>
        <v/>
      </c>
      <c r="W53" s="11">
        <f t="shared" ref="W53" si="41">IF($E53="Yes",MAX(R53:V53),"")</f>
        <v>23</v>
      </c>
      <c r="X53" s="11" t="s">
        <v>801</v>
      </c>
      <c r="Y53" s="11" t="str">
        <f>HLOOKUP($X53,Tables_Cat!$B$6:$P$7,2,FALSE)</f>
        <v>Material</v>
      </c>
      <c r="Z53" s="24" t="s">
        <v>700</v>
      </c>
      <c r="AA53" s="11" t="s">
        <v>728</v>
      </c>
      <c r="AB53" s="13">
        <f t="shared" si="14"/>
        <v>0.5</v>
      </c>
      <c r="AC53" s="11" t="s">
        <v>702</v>
      </c>
      <c r="AD53" s="11">
        <f t="shared" si="7"/>
        <v>0.5</v>
      </c>
      <c r="AE53" s="11" t="s">
        <v>794</v>
      </c>
      <c r="AF53" s="11">
        <f t="shared" si="8"/>
        <v>46</v>
      </c>
      <c r="AG53" s="11">
        <f t="shared" si="9"/>
        <v>1058</v>
      </c>
      <c r="AH53" s="11">
        <f t="shared" si="15"/>
        <v>4</v>
      </c>
      <c r="AI53" s="11">
        <f t="shared" si="10"/>
        <v>0</v>
      </c>
      <c r="AJ53" s="11">
        <f t="shared" si="11"/>
        <v>23</v>
      </c>
      <c r="AK53" s="11">
        <f t="shared" si="12"/>
        <v>529</v>
      </c>
      <c r="AM53" s="35"/>
      <c r="AN53" s="11" t="s">
        <v>788</v>
      </c>
      <c r="AO53" s="11" t="s">
        <v>795</v>
      </c>
    </row>
    <row r="54" spans="1:41" ht="47.25">
      <c r="A54" s="11">
        <v>48</v>
      </c>
      <c r="B54" s="11" t="s">
        <v>692</v>
      </c>
      <c r="C54" s="11" t="s">
        <v>805</v>
      </c>
      <c r="D54" s="32"/>
      <c r="E54" s="11" t="str">
        <f t="shared" si="37"/>
        <v>Select ...</v>
      </c>
      <c r="F54" s="11">
        <v>4</v>
      </c>
      <c r="G54" s="11">
        <v>3</v>
      </c>
      <c r="H54" s="11">
        <f>A48</f>
        <v>42</v>
      </c>
      <c r="I54" s="11"/>
      <c r="J54" s="11"/>
      <c r="K54" s="11"/>
      <c r="L54" s="11"/>
      <c r="M54" s="11" t="s">
        <v>694</v>
      </c>
      <c r="N54" s="11" t="s">
        <v>787</v>
      </c>
      <c r="O54" s="11" t="s">
        <v>696</v>
      </c>
      <c r="P54" s="11" t="s">
        <v>791</v>
      </c>
      <c r="Q54" s="11" t="s">
        <v>792</v>
      </c>
      <c r="R54" s="11" t="str">
        <f t="shared" si="0"/>
        <v/>
      </c>
      <c r="S54" s="11" t="str">
        <f t="shared" si="1"/>
        <v/>
      </c>
      <c r="T54" s="11" t="str">
        <f t="shared" si="2"/>
        <v/>
      </c>
      <c r="U54" s="11" t="str">
        <f t="shared" si="3"/>
        <v/>
      </c>
      <c r="V54" s="11" t="str">
        <f t="shared" si="4"/>
        <v/>
      </c>
      <c r="W54" s="11" t="str">
        <f t="shared" si="29"/>
        <v/>
      </c>
      <c r="X54" s="11" t="s">
        <v>801</v>
      </c>
      <c r="Y54" s="11" t="str">
        <f>HLOOKUP($X54,Tables_Cat!$B$6:$P$7,2,FALSE)</f>
        <v>Material</v>
      </c>
      <c r="Z54" s="24" t="s">
        <v>700</v>
      </c>
      <c r="AA54" s="11" t="s">
        <v>728</v>
      </c>
      <c r="AB54" s="13" t="str">
        <f t="shared" si="14"/>
        <v/>
      </c>
      <c r="AC54" s="11" t="s">
        <v>702</v>
      </c>
      <c r="AD54" s="11" t="str">
        <f t="shared" si="7"/>
        <v/>
      </c>
      <c r="AE54" s="11" t="s">
        <v>794</v>
      </c>
      <c r="AF54" s="11" t="str">
        <f t="shared" si="8"/>
        <v/>
      </c>
      <c r="AG54" s="11" t="str">
        <f t="shared" si="9"/>
        <v/>
      </c>
      <c r="AH54" s="11" t="str">
        <f t="shared" si="15"/>
        <v/>
      </c>
      <c r="AI54" s="11" t="str">
        <f t="shared" si="10"/>
        <v/>
      </c>
      <c r="AJ54" s="11" t="str">
        <f t="shared" si="11"/>
        <v/>
      </c>
      <c r="AK54" s="11" t="str">
        <f t="shared" si="12"/>
        <v/>
      </c>
      <c r="AM54" s="35"/>
      <c r="AN54" s="11" t="s">
        <v>788</v>
      </c>
      <c r="AO54" s="11" t="s">
        <v>795</v>
      </c>
    </row>
    <row r="55" spans="1:41" ht="31.5">
      <c r="A55" s="11">
        <v>49</v>
      </c>
      <c r="B55" s="11" t="s">
        <v>692</v>
      </c>
      <c r="C55" s="11" t="s">
        <v>806</v>
      </c>
      <c r="D55" s="32"/>
      <c r="E55" s="11" t="str">
        <f t="shared" si="37"/>
        <v>Select ...</v>
      </c>
      <c r="F55" s="11">
        <v>1</v>
      </c>
      <c r="G55" s="11">
        <v>1</v>
      </c>
      <c r="H55" s="11">
        <f>A36</f>
        <v>30</v>
      </c>
      <c r="I55" s="11">
        <f>A54</f>
        <v>48</v>
      </c>
      <c r="J55" s="11"/>
      <c r="K55" s="11"/>
      <c r="L55" s="11"/>
      <c r="M55" s="11" t="s">
        <v>694</v>
      </c>
      <c r="N55" s="11" t="s">
        <v>787</v>
      </c>
      <c r="O55" s="11" t="s">
        <v>791</v>
      </c>
      <c r="P55" s="11" t="s">
        <v>696</v>
      </c>
      <c r="Q55" s="11" t="s">
        <v>758</v>
      </c>
      <c r="R55" s="11" t="str">
        <f t="shared" si="0"/>
        <v/>
      </c>
      <c r="S55" s="11" t="str">
        <f t="shared" si="1"/>
        <v/>
      </c>
      <c r="T55" s="11" t="str">
        <f t="shared" si="2"/>
        <v/>
      </c>
      <c r="U55" s="11" t="str">
        <f t="shared" si="3"/>
        <v/>
      </c>
      <c r="V55" s="11" t="str">
        <f t="shared" si="4"/>
        <v/>
      </c>
      <c r="W55" s="11" t="str">
        <f t="shared" si="29"/>
        <v/>
      </c>
      <c r="X55" s="11" t="s">
        <v>745</v>
      </c>
      <c r="Y55" s="11" t="str">
        <f>HLOOKUP($X55,Tables_Cat!$B$6:$P$7,2,FALSE)</f>
        <v>Information</v>
      </c>
      <c r="Z55" s="24" t="s">
        <v>700</v>
      </c>
      <c r="AA55" s="11" t="s">
        <v>701</v>
      </c>
      <c r="AB55" s="13" t="str">
        <f t="shared" si="14"/>
        <v/>
      </c>
      <c r="AC55" s="11" t="s">
        <v>702</v>
      </c>
      <c r="AD55" s="11" t="str">
        <f t="shared" si="7"/>
        <v/>
      </c>
      <c r="AE55" s="11" t="s">
        <v>760</v>
      </c>
      <c r="AF55" s="11" t="str">
        <f t="shared" si="8"/>
        <v/>
      </c>
      <c r="AG55" s="11" t="str">
        <f t="shared" si="9"/>
        <v/>
      </c>
      <c r="AH55" s="11" t="str">
        <f t="shared" si="15"/>
        <v/>
      </c>
      <c r="AI55" s="11" t="str">
        <f t="shared" si="10"/>
        <v/>
      </c>
      <c r="AJ55" s="11" t="str">
        <f t="shared" si="11"/>
        <v/>
      </c>
      <c r="AK55" s="11" t="str">
        <f t="shared" si="12"/>
        <v/>
      </c>
      <c r="AN55" s="11" t="s">
        <v>704</v>
      </c>
      <c r="AO55" s="11" t="s">
        <v>705</v>
      </c>
    </row>
    <row r="56" spans="1:41" ht="47.25">
      <c r="A56" s="11">
        <v>50</v>
      </c>
      <c r="B56" s="11" t="s">
        <v>692</v>
      </c>
      <c r="C56" s="11" t="s">
        <v>807</v>
      </c>
      <c r="D56" s="32"/>
      <c r="E56" s="11" t="s">
        <v>3</v>
      </c>
      <c r="F56" s="11">
        <v>1</v>
      </c>
      <c r="G56" s="11">
        <v>0.5</v>
      </c>
      <c r="H56" s="11">
        <f t="shared" ref="H56:H61" si="42">A28</f>
        <v>22</v>
      </c>
      <c r="I56" s="11">
        <f>A35</f>
        <v>29</v>
      </c>
      <c r="J56" s="11"/>
      <c r="K56" s="11"/>
      <c r="L56" s="11"/>
      <c r="M56" s="11" t="s">
        <v>694</v>
      </c>
      <c r="N56" s="11" t="s">
        <v>787</v>
      </c>
      <c r="O56" s="11" t="s">
        <v>791</v>
      </c>
      <c r="P56" s="11" t="s">
        <v>696</v>
      </c>
      <c r="Q56" s="11" t="s">
        <v>758</v>
      </c>
      <c r="R56" s="11">
        <f t="shared" si="0"/>
        <v>13</v>
      </c>
      <c r="S56" s="11">
        <f t="shared" si="1"/>
        <v>16</v>
      </c>
      <c r="T56" s="11" t="str">
        <f t="shared" si="2"/>
        <v/>
      </c>
      <c r="U56" s="11" t="str">
        <f t="shared" si="3"/>
        <v/>
      </c>
      <c r="V56" s="11" t="str">
        <f t="shared" si="4"/>
        <v/>
      </c>
      <c r="W56" s="11">
        <f t="shared" si="29"/>
        <v>16</v>
      </c>
      <c r="X56" s="11" t="s">
        <v>745</v>
      </c>
      <c r="Y56" s="11" t="str">
        <f>HLOOKUP($X56,Tables_Cat!$B$6:$P$7,2,FALSE)</f>
        <v>Information</v>
      </c>
      <c r="Z56" s="24" t="s">
        <v>700</v>
      </c>
      <c r="AA56" s="11" t="s">
        <v>701</v>
      </c>
      <c r="AB56" s="13">
        <f t="shared" si="14"/>
        <v>0.5</v>
      </c>
      <c r="AC56" s="11" t="s">
        <v>702</v>
      </c>
      <c r="AD56" s="11">
        <f t="shared" si="7"/>
        <v>0.5</v>
      </c>
      <c r="AE56" s="11" t="s">
        <v>760</v>
      </c>
      <c r="AF56" s="11">
        <f t="shared" si="8"/>
        <v>16</v>
      </c>
      <c r="AG56" s="11">
        <f t="shared" si="9"/>
        <v>256</v>
      </c>
      <c r="AH56" s="11">
        <f t="shared" si="15"/>
        <v>3</v>
      </c>
      <c r="AI56" s="11">
        <f t="shared" si="10"/>
        <v>0</v>
      </c>
      <c r="AJ56" s="11">
        <f t="shared" si="11"/>
        <v>8</v>
      </c>
      <c r="AK56" s="11">
        <f t="shared" si="12"/>
        <v>128</v>
      </c>
      <c r="AN56" s="11" t="s">
        <v>704</v>
      </c>
      <c r="AO56" s="11" t="s">
        <v>705</v>
      </c>
    </row>
    <row r="57" spans="1:41" ht="31.5">
      <c r="A57" s="11">
        <v>51</v>
      </c>
      <c r="B57" s="11" t="s">
        <v>808</v>
      </c>
      <c r="C57" s="11" t="s">
        <v>809</v>
      </c>
      <c r="D57" s="32"/>
      <c r="E57" s="11" t="s">
        <v>4</v>
      </c>
      <c r="F57" s="11">
        <v>1</v>
      </c>
      <c r="G57" s="11">
        <v>0.5</v>
      </c>
      <c r="H57" s="11">
        <f t="shared" si="42"/>
        <v>23</v>
      </c>
      <c r="I57" s="11">
        <f>A36</f>
        <v>30</v>
      </c>
      <c r="J57" s="11"/>
      <c r="K57" s="11"/>
      <c r="L57" s="11"/>
      <c r="M57" s="11" t="s">
        <v>755</v>
      </c>
      <c r="N57" s="11" t="s">
        <v>781</v>
      </c>
      <c r="O57" s="11" t="s">
        <v>696</v>
      </c>
      <c r="P57" s="11" t="s">
        <v>810</v>
      </c>
      <c r="Q57" s="11" t="s">
        <v>758</v>
      </c>
      <c r="R57" s="11" t="str">
        <f t="shared" si="0"/>
        <v/>
      </c>
      <c r="S57" s="11" t="str">
        <f t="shared" si="1"/>
        <v/>
      </c>
      <c r="T57" s="11" t="str">
        <f t="shared" si="2"/>
        <v/>
      </c>
      <c r="U57" s="11" t="str">
        <f t="shared" si="3"/>
        <v/>
      </c>
      <c r="V57" s="11" t="str">
        <f t="shared" si="4"/>
        <v/>
      </c>
      <c r="W57" s="11" t="str">
        <f t="shared" ref="W57" si="43">IF($E57="Yes",MAX(R57:V57),"")</f>
        <v/>
      </c>
      <c r="X57" s="11" t="s">
        <v>745</v>
      </c>
      <c r="Y57" s="11" t="str">
        <f>HLOOKUP($X57,Tables_Cat!$B$6:$P$7,2,FALSE)</f>
        <v>Information</v>
      </c>
      <c r="Z57" s="24" t="s">
        <v>700</v>
      </c>
      <c r="AA57" s="11" t="s">
        <v>701</v>
      </c>
      <c r="AB57" s="13" t="str">
        <f t="shared" si="14"/>
        <v/>
      </c>
      <c r="AC57" s="11" t="s">
        <v>702</v>
      </c>
      <c r="AD57" s="11" t="str">
        <f t="shared" si="7"/>
        <v/>
      </c>
      <c r="AE57" s="11" t="s">
        <v>760</v>
      </c>
      <c r="AF57" s="11" t="str">
        <f t="shared" si="8"/>
        <v/>
      </c>
      <c r="AG57" s="11" t="str">
        <f t="shared" si="9"/>
        <v/>
      </c>
      <c r="AH57" s="11" t="str">
        <f t="shared" si="15"/>
        <v/>
      </c>
      <c r="AI57" s="11" t="str">
        <f t="shared" si="10"/>
        <v/>
      </c>
      <c r="AJ57" s="11" t="str">
        <f t="shared" si="11"/>
        <v/>
      </c>
      <c r="AK57" s="11" t="str">
        <f t="shared" si="12"/>
        <v/>
      </c>
      <c r="AN57" s="11" t="s">
        <v>811</v>
      </c>
      <c r="AO57" s="11" t="s">
        <v>812</v>
      </c>
    </row>
    <row r="58" spans="1:41" ht="31.5">
      <c r="A58" s="11">
        <v>52</v>
      </c>
      <c r="B58" s="11" t="s">
        <v>808</v>
      </c>
      <c r="C58" s="11" t="s">
        <v>813</v>
      </c>
      <c r="D58" s="32"/>
      <c r="E58" s="11" t="s">
        <v>4</v>
      </c>
      <c r="F58" s="11">
        <v>1</v>
      </c>
      <c r="G58" s="11">
        <v>0.5</v>
      </c>
      <c r="H58" s="11">
        <f t="shared" si="42"/>
        <v>24</v>
      </c>
      <c r="I58" s="11">
        <f>A37</f>
        <v>31</v>
      </c>
      <c r="J58" s="11"/>
      <c r="K58" s="11"/>
      <c r="L58" s="11"/>
      <c r="M58" s="11" t="s">
        <v>755</v>
      </c>
      <c r="N58" s="11" t="s">
        <v>781</v>
      </c>
      <c r="O58" s="11" t="s">
        <v>696</v>
      </c>
      <c r="P58" s="11" t="s">
        <v>810</v>
      </c>
      <c r="Q58" s="11" t="s">
        <v>758</v>
      </c>
      <c r="R58" s="11" t="str">
        <f t="shared" si="0"/>
        <v/>
      </c>
      <c r="S58" s="11" t="str">
        <f t="shared" si="1"/>
        <v/>
      </c>
      <c r="T58" s="11" t="str">
        <f t="shared" si="2"/>
        <v/>
      </c>
      <c r="U58" s="11" t="str">
        <f t="shared" si="3"/>
        <v/>
      </c>
      <c r="V58" s="11" t="str">
        <f t="shared" si="4"/>
        <v/>
      </c>
      <c r="W58" s="11" t="str">
        <f t="shared" ref="W58" si="44">IF($E58="Yes",MAX(R58:V58),"")</f>
        <v/>
      </c>
      <c r="X58" s="11" t="s">
        <v>745</v>
      </c>
      <c r="Y58" s="11" t="str">
        <f>HLOOKUP($X58,Tables_Cat!$B$6:$P$7,2,FALSE)</f>
        <v>Information</v>
      </c>
      <c r="Z58" s="24" t="s">
        <v>700</v>
      </c>
      <c r="AA58" s="11" t="s">
        <v>701</v>
      </c>
      <c r="AB58" s="13" t="str">
        <f t="shared" si="14"/>
        <v/>
      </c>
      <c r="AC58" s="11" t="s">
        <v>702</v>
      </c>
      <c r="AD58" s="11" t="str">
        <f t="shared" si="7"/>
        <v/>
      </c>
      <c r="AE58" s="11" t="s">
        <v>760</v>
      </c>
      <c r="AF58" s="11" t="str">
        <f t="shared" si="8"/>
        <v/>
      </c>
      <c r="AG58" s="11" t="str">
        <f t="shared" si="9"/>
        <v/>
      </c>
      <c r="AH58" s="11" t="str">
        <f t="shared" si="15"/>
        <v/>
      </c>
      <c r="AI58" s="11" t="str">
        <f t="shared" si="10"/>
        <v/>
      </c>
      <c r="AJ58" s="11" t="str">
        <f t="shared" si="11"/>
        <v/>
      </c>
      <c r="AK58" s="11" t="str">
        <f t="shared" si="12"/>
        <v/>
      </c>
      <c r="AN58" s="11" t="s">
        <v>811</v>
      </c>
      <c r="AO58" s="11" t="s">
        <v>812</v>
      </c>
    </row>
    <row r="59" spans="1:41" ht="47.25">
      <c r="A59" s="11">
        <v>53</v>
      </c>
      <c r="B59" s="11" t="s">
        <v>808</v>
      </c>
      <c r="C59" s="11" t="s">
        <v>814</v>
      </c>
      <c r="D59" s="32"/>
      <c r="E59" s="11" t="s">
        <v>4</v>
      </c>
      <c r="F59" s="11">
        <v>1</v>
      </c>
      <c r="G59" s="11">
        <v>0.5</v>
      </c>
      <c r="H59" s="11">
        <f t="shared" si="42"/>
        <v>25</v>
      </c>
      <c r="I59" s="11">
        <f t="shared" ref="I59:I61" si="45">A40</f>
        <v>34</v>
      </c>
      <c r="J59" s="11"/>
      <c r="K59" s="11"/>
      <c r="L59" s="11"/>
      <c r="M59" s="11" t="s">
        <v>755</v>
      </c>
      <c r="N59" s="11" t="s">
        <v>769</v>
      </c>
      <c r="O59" s="11" t="s">
        <v>696</v>
      </c>
      <c r="P59" s="11" t="s">
        <v>810</v>
      </c>
      <c r="Q59" s="11" t="s">
        <v>758</v>
      </c>
      <c r="R59" s="11" t="str">
        <f t="shared" si="0"/>
        <v/>
      </c>
      <c r="S59" s="11" t="str">
        <f t="shared" si="1"/>
        <v/>
      </c>
      <c r="T59" s="11" t="str">
        <f t="shared" si="2"/>
        <v/>
      </c>
      <c r="U59" s="11" t="str">
        <f t="shared" si="3"/>
        <v/>
      </c>
      <c r="V59" s="11" t="str">
        <f t="shared" si="4"/>
        <v/>
      </c>
      <c r="W59" s="11" t="str">
        <f t="shared" ref="W59" si="46">IF($E59="Yes",MAX(R59:V59),"")</f>
        <v/>
      </c>
      <c r="X59" s="11" t="s">
        <v>745</v>
      </c>
      <c r="Y59" s="11" t="str">
        <f>HLOOKUP($X59,Tables_Cat!$B$6:$P$7,2,FALSE)</f>
        <v>Information</v>
      </c>
      <c r="Z59" s="24" t="s">
        <v>700</v>
      </c>
      <c r="AA59" s="11" t="s">
        <v>701</v>
      </c>
      <c r="AB59" s="13" t="str">
        <f t="shared" si="14"/>
        <v/>
      </c>
      <c r="AC59" s="11" t="s">
        <v>702</v>
      </c>
      <c r="AD59" s="11" t="str">
        <f t="shared" si="7"/>
        <v/>
      </c>
      <c r="AE59" s="11" t="s">
        <v>760</v>
      </c>
      <c r="AF59" s="11" t="str">
        <f t="shared" si="8"/>
        <v/>
      </c>
      <c r="AG59" s="11" t="str">
        <f t="shared" si="9"/>
        <v/>
      </c>
      <c r="AH59" s="11" t="str">
        <f t="shared" si="15"/>
        <v/>
      </c>
      <c r="AI59" s="11" t="str">
        <f t="shared" si="10"/>
        <v/>
      </c>
      <c r="AJ59" s="11" t="str">
        <f t="shared" si="11"/>
        <v/>
      </c>
      <c r="AK59" s="11" t="str">
        <f t="shared" si="12"/>
        <v/>
      </c>
      <c r="AN59" s="11" t="s">
        <v>811</v>
      </c>
      <c r="AO59" s="11" t="s">
        <v>812</v>
      </c>
    </row>
    <row r="60" spans="1:41" ht="47.25">
      <c r="A60" s="11">
        <v>54</v>
      </c>
      <c r="B60" s="11" t="s">
        <v>808</v>
      </c>
      <c r="C60" s="11" t="s">
        <v>815</v>
      </c>
      <c r="D60" s="32"/>
      <c r="E60" s="11" t="s">
        <v>4</v>
      </c>
      <c r="F60" s="11">
        <v>1</v>
      </c>
      <c r="G60" s="11">
        <v>0.5</v>
      </c>
      <c r="H60" s="11">
        <f t="shared" si="42"/>
        <v>26</v>
      </c>
      <c r="I60" s="11">
        <f t="shared" si="45"/>
        <v>35</v>
      </c>
      <c r="J60" s="11"/>
      <c r="K60" s="11"/>
      <c r="L60" s="11"/>
      <c r="M60" s="11" t="s">
        <v>755</v>
      </c>
      <c r="N60" s="11" t="s">
        <v>769</v>
      </c>
      <c r="O60" s="11" t="s">
        <v>696</v>
      </c>
      <c r="P60" s="11" t="s">
        <v>810</v>
      </c>
      <c r="Q60" s="11" t="s">
        <v>758</v>
      </c>
      <c r="R60" s="11" t="str">
        <f t="shared" si="0"/>
        <v/>
      </c>
      <c r="S60" s="11" t="str">
        <f t="shared" si="1"/>
        <v/>
      </c>
      <c r="T60" s="11" t="str">
        <f t="shared" si="2"/>
        <v/>
      </c>
      <c r="U60" s="11" t="str">
        <f t="shared" si="3"/>
        <v/>
      </c>
      <c r="V60" s="11" t="str">
        <f t="shared" si="4"/>
        <v/>
      </c>
      <c r="W60" s="11" t="str">
        <f t="shared" ref="W60" si="47">IF($E60="Yes",MAX(R60:V60),"")</f>
        <v/>
      </c>
      <c r="X60" s="11" t="s">
        <v>745</v>
      </c>
      <c r="Y60" s="11" t="str">
        <f>HLOOKUP($X60,Tables_Cat!$B$6:$P$7,2,FALSE)</f>
        <v>Information</v>
      </c>
      <c r="Z60" s="24" t="s">
        <v>700</v>
      </c>
      <c r="AA60" s="11" t="s">
        <v>701</v>
      </c>
      <c r="AB60" s="13" t="str">
        <f t="shared" si="14"/>
        <v/>
      </c>
      <c r="AC60" s="11" t="s">
        <v>702</v>
      </c>
      <c r="AD60" s="11" t="str">
        <f t="shared" si="7"/>
        <v/>
      </c>
      <c r="AE60" s="11" t="s">
        <v>760</v>
      </c>
      <c r="AF60" s="11" t="str">
        <f t="shared" si="8"/>
        <v/>
      </c>
      <c r="AG60" s="11" t="str">
        <f t="shared" si="9"/>
        <v/>
      </c>
      <c r="AH60" s="11" t="str">
        <f t="shared" si="15"/>
        <v/>
      </c>
      <c r="AI60" s="11" t="str">
        <f t="shared" si="10"/>
        <v/>
      </c>
      <c r="AJ60" s="11" t="str">
        <f t="shared" si="11"/>
        <v/>
      </c>
      <c r="AK60" s="11" t="str">
        <f t="shared" si="12"/>
        <v/>
      </c>
      <c r="AN60" s="11" t="s">
        <v>811</v>
      </c>
      <c r="AO60" s="11" t="s">
        <v>812</v>
      </c>
    </row>
    <row r="61" spans="1:41" ht="31.5">
      <c r="A61" s="11">
        <v>55</v>
      </c>
      <c r="B61" s="11" t="s">
        <v>808</v>
      </c>
      <c r="C61" s="11" t="s">
        <v>816</v>
      </c>
      <c r="D61" s="32"/>
      <c r="E61" s="11" t="s">
        <v>4</v>
      </c>
      <c r="F61" s="11">
        <v>1</v>
      </c>
      <c r="G61" s="11">
        <v>0.5</v>
      </c>
      <c r="H61" s="11">
        <f t="shared" si="42"/>
        <v>27</v>
      </c>
      <c r="I61" s="11">
        <f t="shared" si="45"/>
        <v>36</v>
      </c>
      <c r="J61" s="11"/>
      <c r="K61" s="11"/>
      <c r="L61" s="11"/>
      <c r="M61" s="11" t="s">
        <v>694</v>
      </c>
      <c r="N61" s="11" t="s">
        <v>763</v>
      </c>
      <c r="O61" s="11" t="s">
        <v>696</v>
      </c>
      <c r="P61" s="11" t="s">
        <v>810</v>
      </c>
      <c r="Q61" s="11" t="s">
        <v>758</v>
      </c>
      <c r="R61" s="11" t="str">
        <f t="shared" si="0"/>
        <v/>
      </c>
      <c r="S61" s="11" t="str">
        <f t="shared" si="1"/>
        <v/>
      </c>
      <c r="T61" s="11" t="str">
        <f t="shared" si="2"/>
        <v/>
      </c>
      <c r="U61" s="11" t="str">
        <f t="shared" si="3"/>
        <v/>
      </c>
      <c r="V61" s="11" t="str">
        <f t="shared" si="4"/>
        <v/>
      </c>
      <c r="W61" s="11" t="str">
        <f t="shared" ref="W61" si="48">IF($E61="Yes",MAX(R61:V61),"")</f>
        <v/>
      </c>
      <c r="X61" s="11" t="s">
        <v>745</v>
      </c>
      <c r="Y61" s="11" t="str">
        <f>HLOOKUP($X61,Tables_Cat!$B$6:$P$7,2,FALSE)</f>
        <v>Information</v>
      </c>
      <c r="Z61" s="24" t="s">
        <v>700</v>
      </c>
      <c r="AA61" s="11" t="s">
        <v>701</v>
      </c>
      <c r="AB61" s="13" t="str">
        <f t="shared" si="14"/>
        <v/>
      </c>
      <c r="AC61" s="11" t="s">
        <v>702</v>
      </c>
      <c r="AD61" s="11" t="str">
        <f t="shared" si="7"/>
        <v/>
      </c>
      <c r="AE61" s="11" t="s">
        <v>760</v>
      </c>
      <c r="AF61" s="11" t="str">
        <f t="shared" si="8"/>
        <v/>
      </c>
      <c r="AG61" s="11" t="str">
        <f t="shared" si="9"/>
        <v/>
      </c>
      <c r="AH61" s="11" t="str">
        <f t="shared" si="15"/>
        <v/>
      </c>
      <c r="AI61" s="11" t="str">
        <f t="shared" si="10"/>
        <v/>
      </c>
      <c r="AJ61" s="11" t="str">
        <f t="shared" si="11"/>
        <v/>
      </c>
      <c r="AK61" s="11" t="str">
        <f t="shared" si="12"/>
        <v/>
      </c>
      <c r="AN61" s="11" t="s">
        <v>811</v>
      </c>
      <c r="AO61" s="11" t="s">
        <v>812</v>
      </c>
    </row>
    <row r="62" spans="1:41" ht="47.25">
      <c r="A62" s="11">
        <v>56</v>
      </c>
      <c r="B62" s="11" t="s">
        <v>817</v>
      </c>
      <c r="C62" s="11" t="s">
        <v>818</v>
      </c>
      <c r="D62" s="32"/>
      <c r="E62" s="11" t="str">
        <f t="shared" si="37"/>
        <v>Select ...</v>
      </c>
      <c r="F62" s="11">
        <v>2</v>
      </c>
      <c r="G62" s="11">
        <v>1</v>
      </c>
      <c r="H62" s="11">
        <f>A30</f>
        <v>24</v>
      </c>
      <c r="I62" s="11"/>
      <c r="J62" s="11"/>
      <c r="K62" s="11"/>
      <c r="L62" s="11"/>
      <c r="M62" s="11" t="s">
        <v>694</v>
      </c>
      <c r="N62" s="11" t="s">
        <v>781</v>
      </c>
      <c r="O62" s="11" t="s">
        <v>708</v>
      </c>
      <c r="P62" s="11" t="s">
        <v>819</v>
      </c>
      <c r="Q62" s="11" t="s">
        <v>698</v>
      </c>
      <c r="R62" s="11" t="str">
        <f t="shared" si="0"/>
        <v/>
      </c>
      <c r="S62" s="11" t="str">
        <f t="shared" si="1"/>
        <v/>
      </c>
      <c r="T62" s="11" t="str">
        <f t="shared" si="2"/>
        <v/>
      </c>
      <c r="U62" s="11" t="str">
        <f t="shared" si="3"/>
        <v/>
      </c>
      <c r="V62" s="11" t="str">
        <f t="shared" si="4"/>
        <v/>
      </c>
      <c r="W62" s="11" t="str">
        <f t="shared" si="29"/>
        <v/>
      </c>
      <c r="X62" s="11" t="s">
        <v>820</v>
      </c>
      <c r="Y62" s="11" t="str">
        <f>HLOOKUP($X62,Tables_Cat!$B$6:$P$7,2,FALSE)</f>
        <v>Information</v>
      </c>
      <c r="Z62" s="24" t="s">
        <v>700</v>
      </c>
      <c r="AA62" s="11" t="s">
        <v>701</v>
      </c>
      <c r="AB62" s="13" t="str">
        <f t="shared" si="14"/>
        <v/>
      </c>
      <c r="AC62" s="11" t="s">
        <v>702</v>
      </c>
      <c r="AD62" s="11" t="str">
        <f t="shared" si="7"/>
        <v/>
      </c>
      <c r="AE62" s="11" t="s">
        <v>821</v>
      </c>
      <c r="AF62" s="11" t="str">
        <f t="shared" si="8"/>
        <v/>
      </c>
      <c r="AG62" s="11" t="str">
        <f t="shared" si="9"/>
        <v/>
      </c>
      <c r="AH62" s="11" t="str">
        <f t="shared" si="15"/>
        <v/>
      </c>
      <c r="AI62" s="11" t="str">
        <f t="shared" si="10"/>
        <v/>
      </c>
      <c r="AJ62" s="11" t="str">
        <f t="shared" si="11"/>
        <v/>
      </c>
      <c r="AK62" s="11" t="str">
        <f t="shared" si="12"/>
        <v/>
      </c>
      <c r="AN62" s="11" t="s">
        <v>710</v>
      </c>
      <c r="AO62" s="11" t="s">
        <v>822</v>
      </c>
    </row>
    <row r="63" spans="1:41" ht="47.25">
      <c r="A63" s="11">
        <v>57</v>
      </c>
      <c r="B63" s="11" t="s">
        <v>817</v>
      </c>
      <c r="C63" s="11" t="s">
        <v>823</v>
      </c>
      <c r="D63" s="32"/>
      <c r="E63" s="11" t="str">
        <f t="shared" ref="E63" si="49">IF(D63="","Select ...")</f>
        <v>Select ...</v>
      </c>
      <c r="F63" s="11">
        <v>2</v>
      </c>
      <c r="G63" s="11">
        <v>1</v>
      </c>
      <c r="H63" s="11">
        <f>A31</f>
        <v>25</v>
      </c>
      <c r="I63" s="11"/>
      <c r="J63" s="11"/>
      <c r="K63" s="11"/>
      <c r="L63" s="11"/>
      <c r="M63" s="11" t="s">
        <v>694</v>
      </c>
      <c r="N63" s="11" t="s">
        <v>781</v>
      </c>
      <c r="O63" s="11" t="s">
        <v>708</v>
      </c>
      <c r="P63" s="11" t="s">
        <v>819</v>
      </c>
      <c r="Q63" s="11" t="s">
        <v>698</v>
      </c>
      <c r="R63" s="11" t="str">
        <f t="shared" si="0"/>
        <v/>
      </c>
      <c r="S63" s="11" t="str">
        <f t="shared" si="1"/>
        <v/>
      </c>
      <c r="T63" s="11" t="str">
        <f t="shared" si="2"/>
        <v/>
      </c>
      <c r="U63" s="11" t="str">
        <f t="shared" si="3"/>
        <v/>
      </c>
      <c r="V63" s="11" t="str">
        <f t="shared" si="4"/>
        <v/>
      </c>
      <c r="W63" s="11" t="str">
        <f t="shared" ref="W63" si="50">IF($E63="Yes",MAX(R63:V63),"")</f>
        <v/>
      </c>
      <c r="X63" s="11" t="s">
        <v>820</v>
      </c>
      <c r="Y63" s="11" t="str">
        <f>HLOOKUP($X63,Tables_Cat!$B$6:$P$7,2,FALSE)</f>
        <v>Information</v>
      </c>
      <c r="Z63" s="24" t="s">
        <v>700</v>
      </c>
      <c r="AA63" s="11" t="s">
        <v>701</v>
      </c>
      <c r="AB63" s="13" t="str">
        <f t="shared" si="14"/>
        <v/>
      </c>
      <c r="AC63" s="11" t="s">
        <v>702</v>
      </c>
      <c r="AD63" s="11" t="str">
        <f t="shared" si="7"/>
        <v/>
      </c>
      <c r="AE63" s="11" t="s">
        <v>824</v>
      </c>
      <c r="AF63" s="11" t="str">
        <f t="shared" si="8"/>
        <v/>
      </c>
      <c r="AG63" s="11" t="str">
        <f t="shared" si="9"/>
        <v/>
      </c>
      <c r="AH63" s="11" t="str">
        <f t="shared" si="15"/>
        <v/>
      </c>
      <c r="AI63" s="11" t="str">
        <f t="shared" si="10"/>
        <v/>
      </c>
      <c r="AJ63" s="11" t="str">
        <f t="shared" si="11"/>
        <v/>
      </c>
      <c r="AK63" s="11" t="str">
        <f t="shared" si="12"/>
        <v/>
      </c>
      <c r="AN63" s="11" t="s">
        <v>714</v>
      </c>
      <c r="AO63" s="11" t="s">
        <v>822</v>
      </c>
    </row>
    <row r="64" spans="1:41" ht="31.5">
      <c r="A64" s="11">
        <v>58</v>
      </c>
      <c r="B64" s="11" t="s">
        <v>817</v>
      </c>
      <c r="C64" s="11" t="s">
        <v>825</v>
      </c>
      <c r="D64" s="32"/>
      <c r="E64" s="11" t="str">
        <f t="shared" si="37"/>
        <v>Select ...</v>
      </c>
      <c r="F64" s="11">
        <v>2</v>
      </c>
      <c r="G64" s="11">
        <v>2</v>
      </c>
      <c r="H64" s="11">
        <f>A62</f>
        <v>56</v>
      </c>
      <c r="I64" s="11"/>
      <c r="J64" s="11"/>
      <c r="K64" s="11"/>
      <c r="L64" s="11"/>
      <c r="M64" s="11" t="s">
        <v>694</v>
      </c>
      <c r="N64" s="11" t="s">
        <v>781</v>
      </c>
      <c r="O64" s="11" t="s">
        <v>826</v>
      </c>
      <c r="P64" s="11" t="s">
        <v>827</v>
      </c>
      <c r="Q64" s="11" t="s">
        <v>698</v>
      </c>
      <c r="R64" s="11" t="str">
        <f t="shared" si="0"/>
        <v/>
      </c>
      <c r="S64" s="11" t="str">
        <f t="shared" si="1"/>
        <v/>
      </c>
      <c r="T64" s="11" t="str">
        <f t="shared" si="2"/>
        <v/>
      </c>
      <c r="U64" s="11" t="str">
        <f t="shared" si="3"/>
        <v/>
      </c>
      <c r="V64" s="11" t="str">
        <f t="shared" si="4"/>
        <v/>
      </c>
      <c r="W64" s="11" t="str">
        <f t="shared" si="29"/>
        <v/>
      </c>
      <c r="X64" s="11" t="s">
        <v>745</v>
      </c>
      <c r="Y64" s="11" t="str">
        <f>HLOOKUP($X64,Tables_Cat!$B$6:$P$7,2,FALSE)</f>
        <v>Information</v>
      </c>
      <c r="Z64" s="24" t="s">
        <v>700</v>
      </c>
      <c r="AA64" s="11" t="s">
        <v>701</v>
      </c>
      <c r="AB64" s="13" t="str">
        <f t="shared" si="14"/>
        <v/>
      </c>
      <c r="AC64" s="11" t="s">
        <v>702</v>
      </c>
      <c r="AD64" s="11" t="str">
        <f t="shared" si="7"/>
        <v/>
      </c>
      <c r="AE64" s="11" t="s">
        <v>703</v>
      </c>
      <c r="AF64" s="11" t="str">
        <f t="shared" si="8"/>
        <v/>
      </c>
      <c r="AG64" s="11" t="str">
        <f t="shared" si="9"/>
        <v/>
      </c>
      <c r="AH64" s="11" t="str">
        <f t="shared" si="15"/>
        <v/>
      </c>
      <c r="AI64" s="11" t="str">
        <f t="shared" si="10"/>
        <v/>
      </c>
      <c r="AJ64" s="11" t="str">
        <f t="shared" si="11"/>
        <v/>
      </c>
      <c r="AK64" s="11" t="str">
        <f t="shared" si="12"/>
        <v/>
      </c>
      <c r="AN64" s="11" t="s">
        <v>710</v>
      </c>
      <c r="AO64" s="11" t="s">
        <v>822</v>
      </c>
    </row>
    <row r="65" spans="1:41" ht="31.5">
      <c r="A65" s="11">
        <v>59</v>
      </c>
      <c r="B65" s="11" t="s">
        <v>817</v>
      </c>
      <c r="C65" s="11" t="s">
        <v>828</v>
      </c>
      <c r="D65" s="32"/>
      <c r="E65" s="11" t="str">
        <f t="shared" ref="E65" si="51">IF(D65="","Select ...")</f>
        <v>Select ...</v>
      </c>
      <c r="F65" s="11">
        <v>2</v>
      </c>
      <c r="G65" s="11">
        <v>2</v>
      </c>
      <c r="H65" s="11">
        <f>A64</f>
        <v>58</v>
      </c>
      <c r="I65" s="11"/>
      <c r="J65" s="11"/>
      <c r="K65" s="11"/>
      <c r="L65" s="11"/>
      <c r="M65" s="11" t="s">
        <v>694</v>
      </c>
      <c r="N65" s="11" t="s">
        <v>781</v>
      </c>
      <c r="O65" s="11" t="s">
        <v>826</v>
      </c>
      <c r="P65" s="11" t="s">
        <v>827</v>
      </c>
      <c r="Q65" s="11" t="s">
        <v>698</v>
      </c>
      <c r="R65" s="11" t="str">
        <f t="shared" si="0"/>
        <v/>
      </c>
      <c r="S65" s="11" t="str">
        <f t="shared" si="1"/>
        <v/>
      </c>
      <c r="T65" s="11" t="str">
        <f t="shared" si="2"/>
        <v/>
      </c>
      <c r="U65" s="11" t="str">
        <f t="shared" si="3"/>
        <v/>
      </c>
      <c r="V65" s="11" t="str">
        <f t="shared" si="4"/>
        <v/>
      </c>
      <c r="W65" s="11" t="str">
        <f t="shared" ref="W65" si="52">IF($E65="Yes",MAX(R65:V65),"")</f>
        <v/>
      </c>
      <c r="X65" s="11" t="s">
        <v>745</v>
      </c>
      <c r="Y65" s="11" t="str">
        <f>HLOOKUP($X65,Tables_Cat!$B$6:$P$7,2,FALSE)</f>
        <v>Information</v>
      </c>
      <c r="Z65" s="24" t="s">
        <v>700</v>
      </c>
      <c r="AA65" s="11" t="s">
        <v>701</v>
      </c>
      <c r="AB65" s="13" t="str">
        <f t="shared" si="14"/>
        <v/>
      </c>
      <c r="AC65" s="11" t="s">
        <v>702</v>
      </c>
      <c r="AD65" s="11" t="str">
        <f t="shared" si="7"/>
        <v/>
      </c>
      <c r="AE65" s="11" t="s">
        <v>703</v>
      </c>
      <c r="AF65" s="11" t="str">
        <f t="shared" si="8"/>
        <v/>
      </c>
      <c r="AG65" s="11" t="str">
        <f t="shared" si="9"/>
        <v/>
      </c>
      <c r="AH65" s="11" t="str">
        <f t="shared" si="15"/>
        <v/>
      </c>
      <c r="AI65" s="11" t="str">
        <f t="shared" si="10"/>
        <v/>
      </c>
      <c r="AJ65" s="11" t="str">
        <f t="shared" si="11"/>
        <v/>
      </c>
      <c r="AK65" s="11" t="str">
        <f t="shared" si="12"/>
        <v/>
      </c>
      <c r="AN65" s="11" t="s">
        <v>714</v>
      </c>
      <c r="AO65" s="11" t="s">
        <v>822</v>
      </c>
    </row>
    <row r="66" spans="1:41" ht="31.5">
      <c r="A66" s="11">
        <v>60</v>
      </c>
      <c r="B66" s="11" t="s">
        <v>817</v>
      </c>
      <c r="C66" s="11" t="s">
        <v>829</v>
      </c>
      <c r="D66" s="32"/>
      <c r="E66" s="11" t="str">
        <f t="shared" si="37"/>
        <v>Select ...</v>
      </c>
      <c r="F66" s="11">
        <v>1</v>
      </c>
      <c r="G66" s="11">
        <v>0.5</v>
      </c>
      <c r="H66" s="11">
        <f>A62</f>
        <v>56</v>
      </c>
      <c r="I66" s="11">
        <f>A64</f>
        <v>58</v>
      </c>
      <c r="J66" s="11"/>
      <c r="K66" s="11"/>
      <c r="L66" s="11"/>
      <c r="M66" s="11" t="s">
        <v>750</v>
      </c>
      <c r="N66" s="11" t="s">
        <v>707</v>
      </c>
      <c r="O66" s="11" t="s">
        <v>827</v>
      </c>
      <c r="P66" s="11" t="s">
        <v>827</v>
      </c>
      <c r="Q66" s="11" t="s">
        <v>698</v>
      </c>
      <c r="R66" s="11" t="str">
        <f t="shared" si="0"/>
        <v/>
      </c>
      <c r="S66" s="11" t="str">
        <f t="shared" si="1"/>
        <v/>
      </c>
      <c r="T66" s="11" t="str">
        <f t="shared" si="2"/>
        <v/>
      </c>
      <c r="U66" s="11" t="str">
        <f t="shared" si="3"/>
        <v/>
      </c>
      <c r="V66" s="11" t="str">
        <f t="shared" si="4"/>
        <v/>
      </c>
      <c r="W66" s="11" t="str">
        <f t="shared" si="29"/>
        <v/>
      </c>
      <c r="X66" s="11" t="s">
        <v>745</v>
      </c>
      <c r="Y66" s="11" t="str">
        <f>HLOOKUP($X66,Tables_Cat!$B$6:$P$7,2,FALSE)</f>
        <v>Information</v>
      </c>
      <c r="Z66" s="24" t="s">
        <v>700</v>
      </c>
      <c r="AA66" s="11" t="s">
        <v>751</v>
      </c>
      <c r="AB66" s="13" t="str">
        <f t="shared" si="14"/>
        <v/>
      </c>
      <c r="AC66" s="11" t="s">
        <v>702</v>
      </c>
      <c r="AD66" s="11" t="str">
        <f t="shared" si="7"/>
        <v/>
      </c>
      <c r="AE66" s="11" t="s">
        <v>703</v>
      </c>
      <c r="AF66" s="11" t="str">
        <f t="shared" si="8"/>
        <v/>
      </c>
      <c r="AG66" s="11" t="str">
        <f t="shared" si="9"/>
        <v/>
      </c>
      <c r="AH66" s="11" t="str">
        <f t="shared" si="15"/>
        <v/>
      </c>
      <c r="AI66" s="11" t="str">
        <f t="shared" si="10"/>
        <v/>
      </c>
      <c r="AJ66" s="11" t="str">
        <f t="shared" si="11"/>
        <v/>
      </c>
      <c r="AK66" s="11" t="str">
        <f t="shared" si="12"/>
        <v/>
      </c>
      <c r="AN66" s="11" t="s">
        <v>704</v>
      </c>
      <c r="AO66" s="11" t="s">
        <v>822</v>
      </c>
    </row>
    <row r="67" spans="1:41" ht="31.5">
      <c r="A67" s="11">
        <v>61</v>
      </c>
      <c r="B67" s="11" t="s">
        <v>817</v>
      </c>
      <c r="C67" s="11" t="s">
        <v>830</v>
      </c>
      <c r="D67" s="32"/>
      <c r="E67" s="11" t="str">
        <f t="shared" si="37"/>
        <v>Select ...</v>
      </c>
      <c r="F67" s="11">
        <v>0.5</v>
      </c>
      <c r="G67" s="11">
        <v>0.5</v>
      </c>
      <c r="H67" s="11">
        <f>A66</f>
        <v>60</v>
      </c>
      <c r="I67" s="11"/>
      <c r="J67" s="11"/>
      <c r="K67" s="11"/>
      <c r="L67" s="11"/>
      <c r="M67" s="11" t="s">
        <v>755</v>
      </c>
      <c r="N67" s="11" t="s">
        <v>781</v>
      </c>
      <c r="O67" s="11" t="s">
        <v>827</v>
      </c>
      <c r="P67" s="11" t="s">
        <v>827</v>
      </c>
      <c r="Q67" s="11" t="s">
        <v>698</v>
      </c>
      <c r="R67" s="11" t="str">
        <f t="shared" si="0"/>
        <v/>
      </c>
      <c r="S67" s="11" t="str">
        <f t="shared" si="1"/>
        <v/>
      </c>
      <c r="T67" s="11" t="str">
        <f t="shared" si="2"/>
        <v/>
      </c>
      <c r="U67" s="11" t="str">
        <f t="shared" si="3"/>
        <v/>
      </c>
      <c r="V67" s="11" t="str">
        <f t="shared" si="4"/>
        <v/>
      </c>
      <c r="W67" s="11" t="str">
        <f t="shared" si="29"/>
        <v/>
      </c>
      <c r="X67" s="11" t="s">
        <v>745</v>
      </c>
      <c r="Y67" s="11" t="str">
        <f>HLOOKUP($X67,Tables_Cat!$B$6:$P$7,2,FALSE)</f>
        <v>Information</v>
      </c>
      <c r="Z67" s="24" t="s">
        <v>700</v>
      </c>
      <c r="AA67" s="11" t="s">
        <v>701</v>
      </c>
      <c r="AB67" s="13" t="str">
        <f t="shared" si="14"/>
        <v/>
      </c>
      <c r="AC67" s="11" t="s">
        <v>702</v>
      </c>
      <c r="AD67" s="11" t="str">
        <f t="shared" si="7"/>
        <v/>
      </c>
      <c r="AE67" s="11" t="s">
        <v>703</v>
      </c>
      <c r="AF67" s="11" t="str">
        <f t="shared" si="8"/>
        <v/>
      </c>
      <c r="AG67" s="11" t="str">
        <f t="shared" si="9"/>
        <v/>
      </c>
      <c r="AH67" s="11" t="str">
        <f t="shared" si="15"/>
        <v/>
      </c>
      <c r="AI67" s="11" t="str">
        <f t="shared" si="10"/>
        <v/>
      </c>
      <c r="AJ67" s="11" t="str">
        <f t="shared" si="11"/>
        <v/>
      </c>
      <c r="AK67" s="11" t="str">
        <f t="shared" si="12"/>
        <v/>
      </c>
      <c r="AN67" s="11" t="s">
        <v>704</v>
      </c>
      <c r="AO67" s="11" t="s">
        <v>822</v>
      </c>
    </row>
    <row r="68" spans="1:41" ht="47.25">
      <c r="A68" s="11">
        <v>62</v>
      </c>
      <c r="B68" s="11" t="s">
        <v>817</v>
      </c>
      <c r="C68" s="11" t="s">
        <v>831</v>
      </c>
      <c r="D68" s="32"/>
      <c r="E68" s="11" t="str">
        <f t="shared" si="37"/>
        <v>Select ...</v>
      </c>
      <c r="F68" s="11">
        <v>2</v>
      </c>
      <c r="G68" s="11">
        <v>1.5</v>
      </c>
      <c r="H68" s="11">
        <f t="shared" ref="H68:H74" si="53">A66</f>
        <v>60</v>
      </c>
      <c r="I68" s="11"/>
      <c r="J68" s="11"/>
      <c r="K68" s="11"/>
      <c r="L68" s="11"/>
      <c r="M68" s="11" t="s">
        <v>694</v>
      </c>
      <c r="N68" s="11" t="s">
        <v>781</v>
      </c>
      <c r="O68" s="11" t="s">
        <v>827</v>
      </c>
      <c r="P68" s="11" t="s">
        <v>832</v>
      </c>
      <c r="Q68" s="11" t="s">
        <v>698</v>
      </c>
      <c r="R68" s="11" t="str">
        <f t="shared" si="0"/>
        <v/>
      </c>
      <c r="S68" s="11" t="str">
        <f t="shared" si="1"/>
        <v/>
      </c>
      <c r="T68" s="11" t="str">
        <f t="shared" si="2"/>
        <v/>
      </c>
      <c r="U68" s="11" t="str">
        <f t="shared" si="3"/>
        <v/>
      </c>
      <c r="V68" s="11" t="str">
        <f t="shared" si="4"/>
        <v/>
      </c>
      <c r="W68" s="11" t="str">
        <f t="shared" si="29"/>
        <v/>
      </c>
      <c r="X68" s="11" t="s">
        <v>801</v>
      </c>
      <c r="Y68" s="11" t="str">
        <f>HLOOKUP($X68,Tables_Cat!$B$6:$P$7,2,FALSE)</f>
        <v>Material</v>
      </c>
      <c r="Z68" s="24" t="s">
        <v>700</v>
      </c>
      <c r="AA68" s="11" t="s">
        <v>728</v>
      </c>
      <c r="AB68" s="13" t="str">
        <f t="shared" si="14"/>
        <v/>
      </c>
      <c r="AC68" s="11" t="s">
        <v>702</v>
      </c>
      <c r="AD68" s="11" t="str">
        <f t="shared" si="7"/>
        <v/>
      </c>
      <c r="AE68" s="11" t="s">
        <v>821</v>
      </c>
      <c r="AF68" s="11" t="str">
        <f t="shared" si="8"/>
        <v/>
      </c>
      <c r="AG68" s="11" t="str">
        <f t="shared" si="9"/>
        <v/>
      </c>
      <c r="AH68" s="11" t="str">
        <f t="shared" si="15"/>
        <v/>
      </c>
      <c r="AI68" s="11" t="str">
        <f t="shared" si="10"/>
        <v/>
      </c>
      <c r="AJ68" s="11" t="str">
        <f t="shared" si="11"/>
        <v/>
      </c>
      <c r="AK68" s="11" t="str">
        <f t="shared" si="12"/>
        <v/>
      </c>
      <c r="AN68" s="11" t="s">
        <v>710</v>
      </c>
      <c r="AO68" s="11" t="s">
        <v>822</v>
      </c>
    </row>
    <row r="69" spans="1:41" ht="47.25">
      <c r="A69" s="11">
        <v>63</v>
      </c>
      <c r="B69" s="11" t="s">
        <v>817</v>
      </c>
      <c r="C69" s="11" t="s">
        <v>833</v>
      </c>
      <c r="D69" s="32"/>
      <c r="E69" s="11" t="str">
        <f t="shared" ref="E69" si="54">IF(D69="","Select ...")</f>
        <v>Select ...</v>
      </c>
      <c r="F69" s="11">
        <v>2</v>
      </c>
      <c r="G69" s="11">
        <v>1.5</v>
      </c>
      <c r="H69" s="11">
        <f t="shared" si="53"/>
        <v>61</v>
      </c>
      <c r="I69" s="11"/>
      <c r="J69" s="11"/>
      <c r="K69" s="11"/>
      <c r="L69" s="11"/>
      <c r="M69" s="11" t="s">
        <v>694</v>
      </c>
      <c r="N69" s="11" t="s">
        <v>781</v>
      </c>
      <c r="O69" s="11" t="s">
        <v>827</v>
      </c>
      <c r="P69" s="11" t="s">
        <v>832</v>
      </c>
      <c r="Q69" s="11" t="s">
        <v>698</v>
      </c>
      <c r="R69" s="11" t="str">
        <f t="shared" si="0"/>
        <v/>
      </c>
      <c r="S69" s="11" t="str">
        <f t="shared" si="1"/>
        <v/>
      </c>
      <c r="T69" s="11" t="str">
        <f t="shared" si="2"/>
        <v/>
      </c>
      <c r="U69" s="11" t="str">
        <f t="shared" si="3"/>
        <v/>
      </c>
      <c r="V69" s="11" t="str">
        <f t="shared" si="4"/>
        <v/>
      </c>
      <c r="W69" s="11" t="str">
        <f t="shared" ref="W69" si="55">IF($E69="Yes",MAX(R69:V69),"")</f>
        <v/>
      </c>
      <c r="X69" s="11" t="s">
        <v>801</v>
      </c>
      <c r="Y69" s="11" t="str">
        <f>HLOOKUP($X69,Tables_Cat!$B$6:$P$7,2,FALSE)</f>
        <v>Material</v>
      </c>
      <c r="Z69" s="24" t="s">
        <v>700</v>
      </c>
      <c r="AA69" s="11" t="s">
        <v>728</v>
      </c>
      <c r="AB69" s="13" t="str">
        <f t="shared" si="14"/>
        <v/>
      </c>
      <c r="AC69" s="11" t="s">
        <v>702</v>
      </c>
      <c r="AD69" s="11" t="str">
        <f t="shared" si="7"/>
        <v/>
      </c>
      <c r="AE69" s="11" t="s">
        <v>824</v>
      </c>
      <c r="AF69" s="11" t="str">
        <f t="shared" si="8"/>
        <v/>
      </c>
      <c r="AG69" s="11" t="str">
        <f t="shared" si="9"/>
        <v/>
      </c>
      <c r="AH69" s="11" t="str">
        <f t="shared" si="15"/>
        <v/>
      </c>
      <c r="AI69" s="11" t="str">
        <f t="shared" si="10"/>
        <v/>
      </c>
      <c r="AJ69" s="11" t="str">
        <f t="shared" si="11"/>
        <v/>
      </c>
      <c r="AK69" s="11" t="str">
        <f t="shared" si="12"/>
        <v/>
      </c>
      <c r="AN69" s="11" t="s">
        <v>714</v>
      </c>
      <c r="AO69" s="11" t="s">
        <v>822</v>
      </c>
    </row>
    <row r="70" spans="1:41" ht="47.25">
      <c r="A70" s="11">
        <v>64</v>
      </c>
      <c r="B70" s="11" t="s">
        <v>817</v>
      </c>
      <c r="C70" s="11" t="s">
        <v>834</v>
      </c>
      <c r="D70" s="32"/>
      <c r="E70" s="11" t="str">
        <f t="shared" si="37"/>
        <v>Select ...</v>
      </c>
      <c r="F70" s="11">
        <v>1</v>
      </c>
      <c r="G70" s="11">
        <v>0.5</v>
      </c>
      <c r="H70" s="11">
        <f t="shared" si="53"/>
        <v>62</v>
      </c>
      <c r="I70" s="11"/>
      <c r="J70" s="11"/>
      <c r="K70" s="11"/>
      <c r="L70" s="11"/>
      <c r="M70" s="11" t="s">
        <v>694</v>
      </c>
      <c r="N70" s="11" t="s">
        <v>781</v>
      </c>
      <c r="O70" s="11" t="s">
        <v>835</v>
      </c>
      <c r="P70" s="11" t="s">
        <v>836</v>
      </c>
      <c r="Q70" s="11" t="s">
        <v>698</v>
      </c>
      <c r="R70" s="11" t="str">
        <f t="shared" si="0"/>
        <v/>
      </c>
      <c r="S70" s="11" t="str">
        <f t="shared" si="1"/>
        <v/>
      </c>
      <c r="T70" s="11" t="str">
        <f t="shared" si="2"/>
        <v/>
      </c>
      <c r="U70" s="11" t="str">
        <f t="shared" si="3"/>
        <v/>
      </c>
      <c r="V70" s="11" t="str">
        <f t="shared" si="4"/>
        <v/>
      </c>
      <c r="W70" s="11" t="str">
        <f t="shared" si="29"/>
        <v/>
      </c>
      <c r="X70" s="11" t="s">
        <v>820</v>
      </c>
      <c r="Y70" s="11" t="str">
        <f>HLOOKUP($X70,Tables_Cat!$B$6:$P$7,2,FALSE)</f>
        <v>Information</v>
      </c>
      <c r="Z70" s="24" t="s">
        <v>700</v>
      </c>
      <c r="AA70" s="11" t="s">
        <v>701</v>
      </c>
      <c r="AB70" s="13" t="str">
        <f t="shared" si="14"/>
        <v/>
      </c>
      <c r="AC70" s="11" t="s">
        <v>702</v>
      </c>
      <c r="AD70" s="11" t="str">
        <f t="shared" si="7"/>
        <v/>
      </c>
      <c r="AE70" s="11" t="s">
        <v>703</v>
      </c>
      <c r="AF70" s="11" t="str">
        <f t="shared" si="8"/>
        <v/>
      </c>
      <c r="AG70" s="11" t="str">
        <f t="shared" si="9"/>
        <v/>
      </c>
      <c r="AH70" s="11" t="str">
        <f t="shared" si="15"/>
        <v/>
      </c>
      <c r="AI70" s="11" t="str">
        <f t="shared" si="10"/>
        <v/>
      </c>
      <c r="AJ70" s="11" t="str">
        <f t="shared" si="11"/>
        <v/>
      </c>
      <c r="AK70" s="11" t="str">
        <f t="shared" si="12"/>
        <v/>
      </c>
      <c r="AN70" s="11" t="s">
        <v>704</v>
      </c>
      <c r="AO70" s="11" t="s">
        <v>822</v>
      </c>
    </row>
    <row r="71" spans="1:41" ht="47.25">
      <c r="A71" s="11">
        <v>65</v>
      </c>
      <c r="B71" s="11" t="s">
        <v>817</v>
      </c>
      <c r="C71" s="11" t="s">
        <v>837</v>
      </c>
      <c r="D71" s="32"/>
      <c r="E71" s="11" t="str">
        <f t="shared" ref="E71:E72" si="56">IF(D71="","Select ...")</f>
        <v>Select ...</v>
      </c>
      <c r="F71" s="11">
        <v>1</v>
      </c>
      <c r="G71" s="11">
        <v>0.5</v>
      </c>
      <c r="H71" s="11">
        <f t="shared" si="53"/>
        <v>63</v>
      </c>
      <c r="I71" s="11"/>
      <c r="J71" s="11"/>
      <c r="K71" s="11"/>
      <c r="L71" s="11"/>
      <c r="M71" s="11" t="s">
        <v>694</v>
      </c>
      <c r="N71" s="11" t="s">
        <v>781</v>
      </c>
      <c r="O71" s="11" t="s">
        <v>835</v>
      </c>
      <c r="P71" s="11" t="s">
        <v>836</v>
      </c>
      <c r="Q71" s="11" t="s">
        <v>698</v>
      </c>
      <c r="R71" s="11" t="str">
        <f t="shared" ref="R71:R134" si="57">IF(OR(H71="INIT",H71&gt;0),IF(AND($E71="Yes",VLOOKUP(H71,$A$6:$E$461,5,FALSE)="Yes"),VLOOKUP(H71,$A$6:$W$461,23,FALSE)+VLOOKUP(H71,$A$6:$F$461,6,FALSE),""),"")</f>
        <v/>
      </c>
      <c r="S71" s="11" t="str">
        <f t="shared" ref="S71:S134" si="58">IF(OR(I71="INIT",I71&gt;0),IF(AND($E71="Yes",VLOOKUP(I71,$A$6:$E$461,5,FALSE)="Yes"),VLOOKUP(I71,$A$6:$W$461,23,FALSE)+VLOOKUP(I71,$A$6:$F$461,6,FALSE),""),"")</f>
        <v/>
      </c>
      <c r="T71" s="11" t="str">
        <f t="shared" ref="T71:T134" si="59">IF(OR(J71="INIT",J71&gt;0),IF(AND($E71="Yes",VLOOKUP(J71,$A$6:$E$461,5,FALSE)="Yes"),VLOOKUP(J71,$A$6:$W$461,23,FALSE)+VLOOKUP(J71,$A$6:$F$461,6,FALSE),""),"")</f>
        <v/>
      </c>
      <c r="U71" s="11" t="str">
        <f t="shared" ref="U71:U134" si="60">IF(OR(K71="INIT",K71&gt;0),IF(AND($E71="Yes",VLOOKUP(K71,$A$6:$E$461,5,FALSE)="Yes"),VLOOKUP(K71,$A$6:$W$461,23,FALSE)+VLOOKUP(K71,$A$6:$F$461,6,FALSE),""),"")</f>
        <v/>
      </c>
      <c r="V71" s="11" t="str">
        <f t="shared" ref="V71:V134" si="61">IF(OR(L71="INIT",L71&gt;0),IF(AND($E71="Yes",VLOOKUP(L71,$A$6:$E$461,5,FALSE)="Yes"),VLOOKUP(L71,$A$6:$W$461,23,FALSE)+VLOOKUP(L71,$A$6:$F$461,6,FALSE),""),"")</f>
        <v/>
      </c>
      <c r="W71" s="11" t="str">
        <f t="shared" ref="W71:W72" si="62">IF($E71="Yes",MAX(R71:V71),"")</f>
        <v/>
      </c>
      <c r="X71" s="11" t="s">
        <v>820</v>
      </c>
      <c r="Y71" s="11" t="str">
        <f>HLOOKUP($X71,Tables_Cat!$B$6:$P$7,2,FALSE)</f>
        <v>Information</v>
      </c>
      <c r="Z71" s="24" t="s">
        <v>700</v>
      </c>
      <c r="AA71" s="11" t="s">
        <v>701</v>
      </c>
      <c r="AB71" s="13" t="str">
        <f t="shared" si="14"/>
        <v/>
      </c>
      <c r="AC71" s="11" t="s">
        <v>702</v>
      </c>
      <c r="AD71" s="11" t="str">
        <f t="shared" si="7"/>
        <v/>
      </c>
      <c r="AE71" s="11" t="s">
        <v>824</v>
      </c>
      <c r="AF71" s="11" t="str">
        <f t="shared" si="8"/>
        <v/>
      </c>
      <c r="AG71" s="11" t="str">
        <f t="shared" si="9"/>
        <v/>
      </c>
      <c r="AH71" s="11" t="str">
        <f t="shared" si="15"/>
        <v/>
      </c>
      <c r="AI71" s="11" t="str">
        <f t="shared" si="10"/>
        <v/>
      </c>
      <c r="AJ71" s="11" t="str">
        <f t="shared" si="11"/>
        <v/>
      </c>
      <c r="AK71" s="11" t="str">
        <f t="shared" si="12"/>
        <v/>
      </c>
      <c r="AN71" s="11" t="s">
        <v>704</v>
      </c>
      <c r="AO71" s="11" t="s">
        <v>822</v>
      </c>
    </row>
    <row r="72" spans="1:41" ht="31.5">
      <c r="A72" s="11">
        <v>66</v>
      </c>
      <c r="B72" s="11" t="s">
        <v>817</v>
      </c>
      <c r="C72" s="11" t="s">
        <v>838</v>
      </c>
      <c r="D72" s="32"/>
      <c r="E72" s="11" t="str">
        <f t="shared" si="56"/>
        <v>Select ...</v>
      </c>
      <c r="F72" s="11">
        <v>1</v>
      </c>
      <c r="G72" s="11">
        <v>0.5</v>
      </c>
      <c r="H72" s="11">
        <f t="shared" si="53"/>
        <v>64</v>
      </c>
      <c r="I72" s="11"/>
      <c r="J72" s="11"/>
      <c r="K72" s="11"/>
      <c r="L72" s="11"/>
      <c r="M72" s="11" t="s">
        <v>694</v>
      </c>
      <c r="N72" s="11" t="s">
        <v>735</v>
      </c>
      <c r="O72" s="11" t="s">
        <v>835</v>
      </c>
      <c r="P72" s="11" t="s">
        <v>832</v>
      </c>
      <c r="Q72" s="11" t="s">
        <v>698</v>
      </c>
      <c r="R72" s="11" t="str">
        <f t="shared" si="57"/>
        <v/>
      </c>
      <c r="S72" s="11" t="str">
        <f t="shared" si="58"/>
        <v/>
      </c>
      <c r="T72" s="11" t="str">
        <f t="shared" si="59"/>
        <v/>
      </c>
      <c r="U72" s="11" t="str">
        <f t="shared" si="60"/>
        <v/>
      </c>
      <c r="V72" s="11" t="str">
        <f t="shared" si="61"/>
        <v/>
      </c>
      <c r="W72" s="11" t="str">
        <f t="shared" si="62"/>
        <v/>
      </c>
      <c r="X72" s="11" t="s">
        <v>801</v>
      </c>
      <c r="Y72" s="11" t="str">
        <f>HLOOKUP($X72,Tables_Cat!$B$6:$P$7,2,FALSE)</f>
        <v>Material</v>
      </c>
      <c r="Z72" s="24" t="s">
        <v>700</v>
      </c>
      <c r="AA72" s="11" t="s">
        <v>728</v>
      </c>
      <c r="AB72" s="13" t="str">
        <f t="shared" si="14"/>
        <v/>
      </c>
      <c r="AC72" s="11" t="s">
        <v>702</v>
      </c>
      <c r="AD72" s="11" t="str">
        <f t="shared" si="7"/>
        <v/>
      </c>
      <c r="AE72" s="11" t="s">
        <v>839</v>
      </c>
      <c r="AF72" s="11" t="str">
        <f t="shared" si="8"/>
        <v/>
      </c>
      <c r="AG72" s="11" t="str">
        <f t="shared" si="9"/>
        <v/>
      </c>
      <c r="AH72" s="11" t="str">
        <f t="shared" si="15"/>
        <v/>
      </c>
      <c r="AI72" s="11" t="str">
        <f t="shared" si="10"/>
        <v/>
      </c>
      <c r="AJ72" s="11" t="str">
        <f t="shared" si="11"/>
        <v/>
      </c>
      <c r="AK72" s="11" t="str">
        <f t="shared" si="12"/>
        <v/>
      </c>
      <c r="AN72" s="11" t="s">
        <v>840</v>
      </c>
      <c r="AO72" s="11" t="s">
        <v>737</v>
      </c>
    </row>
    <row r="73" spans="1:41" ht="31.5">
      <c r="A73" s="11">
        <v>67</v>
      </c>
      <c r="B73" s="11" t="s">
        <v>817</v>
      </c>
      <c r="C73" s="11" t="s">
        <v>841</v>
      </c>
      <c r="D73" s="32"/>
      <c r="E73" s="11" t="str">
        <f t="shared" ref="E73" si="63">IF(D73="","Select ...")</f>
        <v>Select ...</v>
      </c>
      <c r="F73" s="11">
        <v>1</v>
      </c>
      <c r="G73" s="11">
        <v>0.5</v>
      </c>
      <c r="H73" s="11">
        <f t="shared" si="53"/>
        <v>65</v>
      </c>
      <c r="I73" s="11"/>
      <c r="J73" s="11"/>
      <c r="K73" s="11"/>
      <c r="L73" s="11"/>
      <c r="M73" s="11" t="s">
        <v>694</v>
      </c>
      <c r="N73" s="11" t="s">
        <v>735</v>
      </c>
      <c r="O73" s="11" t="s">
        <v>835</v>
      </c>
      <c r="P73" s="11" t="s">
        <v>832</v>
      </c>
      <c r="Q73" s="11" t="s">
        <v>698</v>
      </c>
      <c r="R73" s="11" t="str">
        <f t="shared" si="57"/>
        <v/>
      </c>
      <c r="S73" s="11" t="str">
        <f t="shared" si="58"/>
        <v/>
      </c>
      <c r="T73" s="11" t="str">
        <f t="shared" si="59"/>
        <v/>
      </c>
      <c r="U73" s="11" t="str">
        <f t="shared" si="60"/>
        <v/>
      </c>
      <c r="V73" s="11" t="str">
        <f t="shared" si="61"/>
        <v/>
      </c>
      <c r="W73" s="11" t="str">
        <f t="shared" ref="W73" si="64">IF($E73="Yes",MAX(R73:V73),"")</f>
        <v/>
      </c>
      <c r="X73" s="11" t="s">
        <v>801</v>
      </c>
      <c r="Y73" s="11" t="str">
        <f>HLOOKUP($X73,Tables_Cat!$B$6:$P$7,2,FALSE)</f>
        <v>Material</v>
      </c>
      <c r="Z73" s="24" t="s">
        <v>700</v>
      </c>
      <c r="AA73" s="11" t="s">
        <v>728</v>
      </c>
      <c r="AB73" s="13" t="str">
        <f t="shared" si="14"/>
        <v/>
      </c>
      <c r="AC73" s="11" t="s">
        <v>702</v>
      </c>
      <c r="AD73" s="11" t="str">
        <f t="shared" si="7"/>
        <v/>
      </c>
      <c r="AE73" s="11" t="s">
        <v>839</v>
      </c>
      <c r="AF73" s="11" t="str">
        <f t="shared" si="8"/>
        <v/>
      </c>
      <c r="AG73" s="11" t="str">
        <f t="shared" si="9"/>
        <v/>
      </c>
      <c r="AH73" s="11" t="str">
        <f t="shared" si="15"/>
        <v/>
      </c>
      <c r="AI73" s="11" t="str">
        <f t="shared" si="10"/>
        <v/>
      </c>
      <c r="AJ73" s="11" t="str">
        <f t="shared" si="11"/>
        <v/>
      </c>
      <c r="AK73" s="11" t="str">
        <f t="shared" si="12"/>
        <v/>
      </c>
      <c r="AN73" s="11" t="s">
        <v>840</v>
      </c>
      <c r="AO73" s="11" t="s">
        <v>737</v>
      </c>
    </row>
    <row r="74" spans="1:41" ht="31.5">
      <c r="A74" s="11">
        <v>68</v>
      </c>
      <c r="B74" s="11" t="s">
        <v>817</v>
      </c>
      <c r="C74" s="11" t="s">
        <v>842</v>
      </c>
      <c r="D74" s="32"/>
      <c r="E74" s="11" t="str">
        <f t="shared" ref="E74" si="65">IF(D74="","Select ...")</f>
        <v>Select ...</v>
      </c>
      <c r="F74" s="11">
        <v>1</v>
      </c>
      <c r="G74" s="11">
        <v>0.5</v>
      </c>
      <c r="H74" s="11">
        <f t="shared" si="53"/>
        <v>66</v>
      </c>
      <c r="I74" s="11"/>
      <c r="J74" s="11"/>
      <c r="K74" s="11"/>
      <c r="L74" s="11"/>
      <c r="M74" s="11" t="s">
        <v>694</v>
      </c>
      <c r="N74" s="11" t="s">
        <v>735</v>
      </c>
      <c r="O74" s="11" t="s">
        <v>835</v>
      </c>
      <c r="P74" s="11" t="s">
        <v>832</v>
      </c>
      <c r="Q74" s="11" t="s">
        <v>698</v>
      </c>
      <c r="R74" s="11" t="str">
        <f t="shared" si="57"/>
        <v/>
      </c>
      <c r="S74" s="11" t="str">
        <f t="shared" si="58"/>
        <v/>
      </c>
      <c r="T74" s="11" t="str">
        <f t="shared" si="59"/>
        <v/>
      </c>
      <c r="U74" s="11" t="str">
        <f t="shared" si="60"/>
        <v/>
      </c>
      <c r="V74" s="11" t="str">
        <f t="shared" si="61"/>
        <v/>
      </c>
      <c r="W74" s="11" t="str">
        <f t="shared" ref="W74" si="66">IF($E74="Yes",MAX(R74:V74),"")</f>
        <v/>
      </c>
      <c r="X74" s="11" t="s">
        <v>801</v>
      </c>
      <c r="Y74" s="11" t="str">
        <f>HLOOKUP($X74,Tables_Cat!$B$6:$P$7,2,FALSE)</f>
        <v>Material</v>
      </c>
      <c r="Z74" s="24" t="s">
        <v>700</v>
      </c>
      <c r="AA74" s="11" t="s">
        <v>728</v>
      </c>
      <c r="AB74" s="13" t="str">
        <f t="shared" si="14"/>
        <v/>
      </c>
      <c r="AC74" s="11" t="s">
        <v>702</v>
      </c>
      <c r="AD74" s="11" t="str">
        <f t="shared" si="7"/>
        <v/>
      </c>
      <c r="AE74" s="11" t="s">
        <v>839</v>
      </c>
      <c r="AF74" s="11" t="str">
        <f t="shared" si="8"/>
        <v/>
      </c>
      <c r="AG74" s="11" t="str">
        <f t="shared" si="9"/>
        <v/>
      </c>
      <c r="AH74" s="11" t="str">
        <f t="shared" si="15"/>
        <v/>
      </c>
      <c r="AI74" s="11" t="str">
        <f t="shared" si="10"/>
        <v/>
      </c>
      <c r="AJ74" s="11" t="str">
        <f t="shared" si="11"/>
        <v/>
      </c>
      <c r="AK74" s="11" t="str">
        <f t="shared" si="12"/>
        <v/>
      </c>
      <c r="AN74" s="11" t="s">
        <v>840</v>
      </c>
      <c r="AO74" s="11" t="s">
        <v>737</v>
      </c>
    </row>
    <row r="75" spans="1:41" ht="31.5">
      <c r="A75" s="11">
        <v>69</v>
      </c>
      <c r="B75" s="11" t="s">
        <v>817</v>
      </c>
      <c r="C75" s="11" t="s">
        <v>843</v>
      </c>
      <c r="D75" s="32"/>
      <c r="E75" s="11" t="str">
        <f t="shared" ref="E75" si="67">IF(D75="","Select ...")</f>
        <v>Select ...</v>
      </c>
      <c r="F75" s="11">
        <v>1</v>
      </c>
      <c r="G75" s="11">
        <v>0.5</v>
      </c>
      <c r="H75" s="11">
        <f t="shared" ref="H75" si="68">A73</f>
        <v>67</v>
      </c>
      <c r="I75" s="11"/>
      <c r="J75" s="11"/>
      <c r="K75" s="11"/>
      <c r="L75" s="11"/>
      <c r="M75" s="11" t="s">
        <v>694</v>
      </c>
      <c r="N75" s="11" t="s">
        <v>735</v>
      </c>
      <c r="O75" s="11" t="s">
        <v>835</v>
      </c>
      <c r="P75" s="11" t="s">
        <v>832</v>
      </c>
      <c r="Q75" s="11" t="s">
        <v>698</v>
      </c>
      <c r="R75" s="11" t="str">
        <f t="shared" si="57"/>
        <v/>
      </c>
      <c r="S75" s="11" t="str">
        <f t="shared" si="58"/>
        <v/>
      </c>
      <c r="T75" s="11" t="str">
        <f t="shared" si="59"/>
        <v/>
      </c>
      <c r="U75" s="11" t="str">
        <f t="shared" si="60"/>
        <v/>
      </c>
      <c r="V75" s="11" t="str">
        <f t="shared" si="61"/>
        <v/>
      </c>
      <c r="W75" s="11" t="str">
        <f t="shared" ref="W75" si="69">IF($E75="Yes",MAX(R75:V75),"")</f>
        <v/>
      </c>
      <c r="X75" s="11" t="s">
        <v>801</v>
      </c>
      <c r="Y75" s="11" t="str">
        <f>HLOOKUP($X75,Tables_Cat!$B$6:$P$7,2,FALSE)</f>
        <v>Material</v>
      </c>
      <c r="Z75" s="24" t="s">
        <v>700</v>
      </c>
      <c r="AA75" s="11" t="s">
        <v>728</v>
      </c>
      <c r="AB75" s="13" t="str">
        <f t="shared" si="14"/>
        <v/>
      </c>
      <c r="AC75" s="11" t="s">
        <v>702</v>
      </c>
      <c r="AD75" s="11" t="str">
        <f t="shared" si="7"/>
        <v/>
      </c>
      <c r="AE75" s="11" t="s">
        <v>839</v>
      </c>
      <c r="AF75" s="11" t="str">
        <f t="shared" si="8"/>
        <v/>
      </c>
      <c r="AG75" s="11" t="str">
        <f t="shared" si="9"/>
        <v/>
      </c>
      <c r="AH75" s="11" t="str">
        <f t="shared" si="15"/>
        <v/>
      </c>
      <c r="AI75" s="11" t="str">
        <f t="shared" si="10"/>
        <v/>
      </c>
      <c r="AJ75" s="11" t="str">
        <f t="shared" si="11"/>
        <v/>
      </c>
      <c r="AK75" s="11" t="str">
        <f t="shared" si="12"/>
        <v/>
      </c>
      <c r="AN75" s="11" t="s">
        <v>840</v>
      </c>
      <c r="AO75" s="11" t="s">
        <v>737</v>
      </c>
    </row>
    <row r="76" spans="1:41" ht="31.5">
      <c r="A76" s="11">
        <v>70</v>
      </c>
      <c r="B76" s="11" t="s">
        <v>817</v>
      </c>
      <c r="C76" s="11" t="s">
        <v>844</v>
      </c>
      <c r="D76" s="32"/>
      <c r="E76" s="11" t="str">
        <f t="shared" si="37"/>
        <v>Select ...</v>
      </c>
      <c r="F76" s="11">
        <v>2</v>
      </c>
      <c r="G76" s="11">
        <v>1.5</v>
      </c>
      <c r="H76" s="11">
        <f>A70</f>
        <v>64</v>
      </c>
      <c r="I76" s="11"/>
      <c r="J76" s="11"/>
      <c r="K76" s="11"/>
      <c r="L76" s="11"/>
      <c r="M76" s="11" t="s">
        <v>694</v>
      </c>
      <c r="N76" s="11" t="s">
        <v>781</v>
      </c>
      <c r="O76" s="11" t="s">
        <v>845</v>
      </c>
      <c r="P76" s="11" t="s">
        <v>836</v>
      </c>
      <c r="Q76" s="11" t="s">
        <v>698</v>
      </c>
      <c r="R76" s="11" t="str">
        <f t="shared" si="57"/>
        <v/>
      </c>
      <c r="S76" s="11" t="str">
        <f t="shared" si="58"/>
        <v/>
      </c>
      <c r="T76" s="11" t="str">
        <f t="shared" si="59"/>
        <v/>
      </c>
      <c r="U76" s="11" t="str">
        <f t="shared" si="60"/>
        <v/>
      </c>
      <c r="V76" s="11" t="str">
        <f t="shared" si="61"/>
        <v/>
      </c>
      <c r="W76" s="11" t="str">
        <f t="shared" si="29"/>
        <v/>
      </c>
      <c r="X76" s="11" t="s">
        <v>745</v>
      </c>
      <c r="Y76" s="11" t="str">
        <f>HLOOKUP($X76,Tables_Cat!$B$6:$P$7,2,FALSE)</f>
        <v>Information</v>
      </c>
      <c r="Z76" s="24" t="s">
        <v>700</v>
      </c>
      <c r="AA76" s="11" t="s">
        <v>701</v>
      </c>
      <c r="AB76" s="13" t="str">
        <f t="shared" si="14"/>
        <v/>
      </c>
      <c r="AC76" s="11" t="s">
        <v>702</v>
      </c>
      <c r="AD76" s="11" t="str">
        <f t="shared" si="7"/>
        <v/>
      </c>
      <c r="AE76" s="11" t="s">
        <v>703</v>
      </c>
      <c r="AF76" s="11" t="str">
        <f t="shared" si="8"/>
        <v/>
      </c>
      <c r="AG76" s="11" t="str">
        <f t="shared" si="9"/>
        <v/>
      </c>
      <c r="AH76" s="11" t="str">
        <f t="shared" si="15"/>
        <v/>
      </c>
      <c r="AI76" s="11" t="str">
        <f t="shared" si="10"/>
        <v/>
      </c>
      <c r="AJ76" s="11" t="str">
        <f t="shared" si="11"/>
        <v/>
      </c>
      <c r="AK76" s="11" t="str">
        <f t="shared" si="12"/>
        <v/>
      </c>
      <c r="AN76" s="11" t="s">
        <v>704</v>
      </c>
      <c r="AO76" s="11" t="s">
        <v>822</v>
      </c>
    </row>
    <row r="77" spans="1:41" ht="47.25">
      <c r="A77" s="11">
        <v>71</v>
      </c>
      <c r="B77" s="11" t="s">
        <v>817</v>
      </c>
      <c r="C77" s="11" t="s">
        <v>846</v>
      </c>
      <c r="D77" s="32"/>
      <c r="E77" s="11" t="str">
        <f t="shared" si="37"/>
        <v>Select ...</v>
      </c>
      <c r="F77" s="11">
        <v>1.5</v>
      </c>
      <c r="G77" s="11">
        <v>0.5</v>
      </c>
      <c r="H77" s="11">
        <f>A70</f>
        <v>64</v>
      </c>
      <c r="I77" s="11"/>
      <c r="J77" s="11"/>
      <c r="K77" s="11"/>
      <c r="L77" s="11"/>
      <c r="M77" s="11" t="s">
        <v>694</v>
      </c>
      <c r="N77" s="11" t="s">
        <v>781</v>
      </c>
      <c r="O77" s="11" t="s">
        <v>845</v>
      </c>
      <c r="P77" s="11" t="s">
        <v>832</v>
      </c>
      <c r="Q77" s="11" t="s">
        <v>847</v>
      </c>
      <c r="R77" s="11" t="str">
        <f t="shared" si="57"/>
        <v/>
      </c>
      <c r="S77" s="11" t="str">
        <f t="shared" si="58"/>
        <v/>
      </c>
      <c r="T77" s="11" t="str">
        <f t="shared" si="59"/>
        <v/>
      </c>
      <c r="U77" s="11" t="str">
        <f t="shared" si="60"/>
        <v/>
      </c>
      <c r="V77" s="11" t="str">
        <f t="shared" si="61"/>
        <v/>
      </c>
      <c r="W77" s="11" t="str">
        <f t="shared" si="29"/>
        <v/>
      </c>
      <c r="X77" s="11" t="s">
        <v>745</v>
      </c>
      <c r="Y77" s="11" t="str">
        <f>HLOOKUP($X77,Tables_Cat!$B$6:$P$7,2,FALSE)</f>
        <v>Information</v>
      </c>
      <c r="Z77" s="24" t="s">
        <v>700</v>
      </c>
      <c r="AA77" s="11" t="s">
        <v>728</v>
      </c>
      <c r="AB77" s="13" t="str">
        <f t="shared" si="14"/>
        <v/>
      </c>
      <c r="AC77" s="11" t="s">
        <v>702</v>
      </c>
      <c r="AD77" s="11" t="str">
        <f t="shared" si="7"/>
        <v/>
      </c>
      <c r="AE77" s="11" t="s">
        <v>821</v>
      </c>
      <c r="AF77" s="11" t="str">
        <f t="shared" si="8"/>
        <v/>
      </c>
      <c r="AG77" s="11" t="str">
        <f t="shared" si="9"/>
        <v/>
      </c>
      <c r="AH77" s="11" t="str">
        <f t="shared" si="15"/>
        <v/>
      </c>
      <c r="AI77" s="11" t="str">
        <f t="shared" si="10"/>
        <v/>
      </c>
      <c r="AJ77" s="11" t="str">
        <f t="shared" si="11"/>
        <v/>
      </c>
      <c r="AK77" s="11" t="str">
        <f t="shared" si="12"/>
        <v/>
      </c>
      <c r="AN77" s="11" t="s">
        <v>704</v>
      </c>
      <c r="AO77" s="11" t="s">
        <v>822</v>
      </c>
    </row>
    <row r="78" spans="1:41" ht="47.25">
      <c r="A78" s="11">
        <v>72</v>
      </c>
      <c r="B78" s="11" t="s">
        <v>817</v>
      </c>
      <c r="C78" s="11" t="s">
        <v>848</v>
      </c>
      <c r="D78" s="32"/>
      <c r="E78" s="11" t="str">
        <f t="shared" si="37"/>
        <v>Select ...</v>
      </c>
      <c r="F78" s="11">
        <v>1</v>
      </c>
      <c r="G78" s="11">
        <v>0.5</v>
      </c>
      <c r="H78" s="11">
        <f>A66</f>
        <v>60</v>
      </c>
      <c r="I78" s="11">
        <f>A68</f>
        <v>62</v>
      </c>
      <c r="J78" s="11"/>
      <c r="K78" s="11"/>
      <c r="L78" s="11"/>
      <c r="M78" s="11" t="s">
        <v>750</v>
      </c>
      <c r="N78" s="11" t="s">
        <v>787</v>
      </c>
      <c r="O78" s="11" t="s">
        <v>836</v>
      </c>
      <c r="P78" s="11" t="s">
        <v>836</v>
      </c>
      <c r="Q78" s="11" t="s">
        <v>698</v>
      </c>
      <c r="R78" s="11" t="str">
        <f t="shared" si="57"/>
        <v/>
      </c>
      <c r="S78" s="11" t="str">
        <f t="shared" si="58"/>
        <v/>
      </c>
      <c r="T78" s="11" t="str">
        <f t="shared" si="59"/>
        <v/>
      </c>
      <c r="U78" s="11" t="str">
        <f t="shared" si="60"/>
        <v/>
      </c>
      <c r="V78" s="11" t="str">
        <f t="shared" si="61"/>
        <v/>
      </c>
      <c r="W78" s="11" t="str">
        <f t="shared" si="29"/>
        <v/>
      </c>
      <c r="X78" s="11" t="s">
        <v>745</v>
      </c>
      <c r="Y78" s="11" t="str">
        <f>HLOOKUP($X78,Tables_Cat!$B$6:$P$7,2,FALSE)</f>
        <v>Information</v>
      </c>
      <c r="Z78" s="24" t="s">
        <v>709</v>
      </c>
      <c r="AA78" s="11" t="s">
        <v>751</v>
      </c>
      <c r="AB78" s="13" t="str">
        <f t="shared" si="14"/>
        <v/>
      </c>
      <c r="AC78" s="11" t="s">
        <v>752</v>
      </c>
      <c r="AD78" s="11" t="str">
        <f t="shared" si="7"/>
        <v/>
      </c>
      <c r="AE78" s="11" t="s">
        <v>703</v>
      </c>
      <c r="AF78" s="11" t="str">
        <f t="shared" si="8"/>
        <v/>
      </c>
      <c r="AG78" s="11" t="str">
        <f t="shared" si="9"/>
        <v/>
      </c>
      <c r="AH78" s="11" t="str">
        <f t="shared" si="15"/>
        <v/>
      </c>
      <c r="AI78" s="11" t="str">
        <f t="shared" si="10"/>
        <v/>
      </c>
      <c r="AJ78" s="11" t="str">
        <f t="shared" si="11"/>
        <v/>
      </c>
      <c r="AK78" s="11" t="str">
        <f t="shared" si="12"/>
        <v/>
      </c>
      <c r="AN78" s="11" t="s">
        <v>704</v>
      </c>
      <c r="AO78" s="11" t="s">
        <v>775</v>
      </c>
    </row>
    <row r="79" spans="1:41" ht="31.5">
      <c r="A79" s="11">
        <v>73</v>
      </c>
      <c r="B79" s="11" t="s">
        <v>817</v>
      </c>
      <c r="C79" s="11" t="s">
        <v>849</v>
      </c>
      <c r="D79" s="32"/>
      <c r="E79" s="11" t="str">
        <f t="shared" si="37"/>
        <v>Select ...</v>
      </c>
      <c r="F79" s="11">
        <v>0.5</v>
      </c>
      <c r="G79" s="11">
        <v>0.5</v>
      </c>
      <c r="H79" s="11">
        <f>A78</f>
        <v>72</v>
      </c>
      <c r="I79" s="11"/>
      <c r="J79" s="11"/>
      <c r="K79" s="11"/>
      <c r="L79" s="11"/>
      <c r="M79" s="11" t="s">
        <v>755</v>
      </c>
      <c r="N79" s="11" t="s">
        <v>781</v>
      </c>
      <c r="O79" s="11" t="s">
        <v>836</v>
      </c>
      <c r="P79" s="11" t="s">
        <v>836</v>
      </c>
      <c r="Q79" s="11" t="s">
        <v>698</v>
      </c>
      <c r="R79" s="11" t="str">
        <f t="shared" si="57"/>
        <v/>
      </c>
      <c r="S79" s="11" t="str">
        <f t="shared" si="58"/>
        <v/>
      </c>
      <c r="T79" s="11" t="str">
        <f t="shared" si="59"/>
        <v/>
      </c>
      <c r="U79" s="11" t="str">
        <f t="shared" si="60"/>
        <v/>
      </c>
      <c r="V79" s="11" t="str">
        <f t="shared" si="61"/>
        <v/>
      </c>
      <c r="W79" s="11" t="str">
        <f t="shared" si="29"/>
        <v/>
      </c>
      <c r="X79" s="11" t="s">
        <v>745</v>
      </c>
      <c r="Y79" s="11" t="str">
        <f>HLOOKUP($X79,Tables_Cat!$B$6:$P$7,2,FALSE)</f>
        <v>Information</v>
      </c>
      <c r="Z79" s="24" t="s">
        <v>700</v>
      </c>
      <c r="AA79" s="11" t="s">
        <v>701</v>
      </c>
      <c r="AB79" s="13" t="str">
        <f t="shared" si="14"/>
        <v/>
      </c>
      <c r="AC79" s="11" t="s">
        <v>702</v>
      </c>
      <c r="AD79" s="11" t="str">
        <f t="shared" si="7"/>
        <v/>
      </c>
      <c r="AE79" s="11" t="s">
        <v>703</v>
      </c>
      <c r="AF79" s="11" t="str">
        <f t="shared" si="8"/>
        <v/>
      </c>
      <c r="AG79" s="11" t="str">
        <f t="shared" si="9"/>
        <v/>
      </c>
      <c r="AH79" s="11" t="str">
        <f t="shared" si="15"/>
        <v/>
      </c>
      <c r="AI79" s="11" t="str">
        <f t="shared" si="10"/>
        <v/>
      </c>
      <c r="AJ79" s="11" t="str">
        <f t="shared" si="11"/>
        <v/>
      </c>
      <c r="AK79" s="11" t="str">
        <f t="shared" si="12"/>
        <v/>
      </c>
      <c r="AN79" s="11" t="s">
        <v>704</v>
      </c>
      <c r="AO79" s="11" t="s">
        <v>822</v>
      </c>
    </row>
    <row r="80" spans="1:41" ht="31.5">
      <c r="A80" s="11">
        <v>74</v>
      </c>
      <c r="B80" s="11" t="s">
        <v>817</v>
      </c>
      <c r="C80" s="11" t="s">
        <v>850</v>
      </c>
      <c r="D80" s="32"/>
      <c r="E80" s="11" t="str">
        <f t="shared" si="37"/>
        <v>Select ...</v>
      </c>
      <c r="F80" s="11">
        <v>0.5</v>
      </c>
      <c r="G80" s="11">
        <v>0.5</v>
      </c>
      <c r="H80" s="11" t="str">
        <f>A6</f>
        <v>INIT</v>
      </c>
      <c r="I80" s="11"/>
      <c r="J80" s="11"/>
      <c r="K80" s="11"/>
      <c r="L80" s="11"/>
      <c r="M80" s="11" t="s">
        <v>694</v>
      </c>
      <c r="N80" s="11" t="s">
        <v>748</v>
      </c>
      <c r="O80" s="11" t="s">
        <v>464</v>
      </c>
      <c r="P80" s="11" t="s">
        <v>464</v>
      </c>
      <c r="Q80" s="11" t="s">
        <v>758</v>
      </c>
      <c r="R80" s="11" t="str">
        <f t="shared" si="57"/>
        <v/>
      </c>
      <c r="S80" s="11" t="str">
        <f t="shared" si="58"/>
        <v/>
      </c>
      <c r="T80" s="11" t="str">
        <f t="shared" si="59"/>
        <v/>
      </c>
      <c r="U80" s="11" t="str">
        <f t="shared" si="60"/>
        <v/>
      </c>
      <c r="V80" s="11" t="str">
        <f t="shared" si="61"/>
        <v/>
      </c>
      <c r="W80" s="11" t="str">
        <f t="shared" si="29"/>
        <v/>
      </c>
      <c r="X80" s="11" t="s">
        <v>759</v>
      </c>
      <c r="Y80" s="11" t="str">
        <f>HLOOKUP($X80,Tables_Cat!$B$6:$P$7,2,FALSE)</f>
        <v>Information</v>
      </c>
      <c r="Z80" s="24" t="s">
        <v>700</v>
      </c>
      <c r="AA80" s="11" t="s">
        <v>701</v>
      </c>
      <c r="AB80" s="13" t="str">
        <f t="shared" si="14"/>
        <v/>
      </c>
      <c r="AC80" s="11" t="s">
        <v>702</v>
      </c>
      <c r="AD80" s="11" t="str">
        <f t="shared" si="7"/>
        <v/>
      </c>
      <c r="AE80" s="11" t="s">
        <v>760</v>
      </c>
      <c r="AF80" s="11" t="str">
        <f t="shared" si="8"/>
        <v/>
      </c>
      <c r="AG80" s="11" t="str">
        <f t="shared" si="9"/>
        <v/>
      </c>
      <c r="AH80" s="11" t="str">
        <f t="shared" si="15"/>
        <v/>
      </c>
      <c r="AI80" s="11" t="str">
        <f t="shared" si="10"/>
        <v/>
      </c>
      <c r="AJ80" s="11" t="str">
        <f t="shared" si="11"/>
        <v/>
      </c>
      <c r="AK80" s="11" t="str">
        <f t="shared" si="12"/>
        <v/>
      </c>
      <c r="AN80" s="11" t="s">
        <v>704</v>
      </c>
      <c r="AO80" s="11" t="s">
        <v>761</v>
      </c>
    </row>
    <row r="81" spans="1:41" ht="31.5">
      <c r="A81" s="11">
        <v>75</v>
      </c>
      <c r="B81" s="11" t="s">
        <v>817</v>
      </c>
      <c r="C81" s="11" t="s">
        <v>851</v>
      </c>
      <c r="D81" s="32"/>
      <c r="E81" s="11" t="str">
        <f t="shared" si="37"/>
        <v>Select ...</v>
      </c>
      <c r="F81" s="11">
        <v>1</v>
      </c>
      <c r="G81" s="11">
        <v>1</v>
      </c>
      <c r="H81" s="11">
        <f>A80</f>
        <v>74</v>
      </c>
      <c r="I81" s="11"/>
      <c r="J81" s="11"/>
      <c r="K81" s="11"/>
      <c r="L81" s="11"/>
      <c r="M81" s="11" t="s">
        <v>694</v>
      </c>
      <c r="N81" s="11" t="s">
        <v>763</v>
      </c>
      <c r="O81" s="11" t="s">
        <v>464</v>
      </c>
      <c r="P81" s="11" t="s">
        <v>764</v>
      </c>
      <c r="Q81" s="11" t="s">
        <v>758</v>
      </c>
      <c r="R81" s="11" t="str">
        <f t="shared" si="57"/>
        <v/>
      </c>
      <c r="S81" s="11" t="str">
        <f t="shared" si="58"/>
        <v/>
      </c>
      <c r="T81" s="11" t="str">
        <f t="shared" si="59"/>
        <v/>
      </c>
      <c r="U81" s="11" t="str">
        <f t="shared" si="60"/>
        <v/>
      </c>
      <c r="V81" s="11" t="str">
        <f t="shared" si="61"/>
        <v/>
      </c>
      <c r="W81" s="11" t="str">
        <f t="shared" si="29"/>
        <v/>
      </c>
      <c r="X81" s="11" t="s">
        <v>741</v>
      </c>
      <c r="Y81" s="11" t="str">
        <f>HLOOKUP($X81,Tables_Cat!$B$6:$P$7,2,FALSE)</f>
        <v>Material</v>
      </c>
      <c r="Z81" s="24" t="s">
        <v>709</v>
      </c>
      <c r="AA81" s="11" t="s">
        <v>765</v>
      </c>
      <c r="AB81" s="13" t="str">
        <f t="shared" si="14"/>
        <v/>
      </c>
      <c r="AC81" s="11" t="s">
        <v>702</v>
      </c>
      <c r="AD81" s="11" t="str">
        <f t="shared" si="7"/>
        <v/>
      </c>
      <c r="AE81" s="11" t="s">
        <v>760</v>
      </c>
      <c r="AF81" s="11" t="str">
        <f t="shared" si="8"/>
        <v/>
      </c>
      <c r="AG81" s="11" t="str">
        <f t="shared" si="9"/>
        <v/>
      </c>
      <c r="AH81" s="11" t="str">
        <f t="shared" si="15"/>
        <v/>
      </c>
      <c r="AI81" s="11" t="str">
        <f t="shared" si="10"/>
        <v/>
      </c>
      <c r="AJ81" s="11" t="str">
        <f t="shared" si="11"/>
        <v/>
      </c>
      <c r="AK81" s="11" t="str">
        <f t="shared" si="12"/>
        <v/>
      </c>
      <c r="AN81" s="11" t="s">
        <v>704</v>
      </c>
      <c r="AO81" s="11" t="s">
        <v>766</v>
      </c>
    </row>
    <row r="82" spans="1:41" ht="31.5">
      <c r="A82" s="11">
        <v>76</v>
      </c>
      <c r="B82" s="11" t="s">
        <v>817</v>
      </c>
      <c r="C82" s="11" t="s">
        <v>852</v>
      </c>
      <c r="D82" s="32"/>
      <c r="E82" s="11" t="str">
        <f t="shared" si="37"/>
        <v>Select ...</v>
      </c>
      <c r="F82" s="11">
        <v>1</v>
      </c>
      <c r="G82" s="11">
        <v>1</v>
      </c>
      <c r="H82" s="11">
        <f>A66</f>
        <v>60</v>
      </c>
      <c r="I82" s="11">
        <f>A78</f>
        <v>72</v>
      </c>
      <c r="J82" s="11">
        <f>A80</f>
        <v>74</v>
      </c>
      <c r="K82" s="11"/>
      <c r="L82" s="11"/>
      <c r="M82" s="11" t="s">
        <v>750</v>
      </c>
      <c r="N82" s="11" t="s">
        <v>781</v>
      </c>
      <c r="O82" s="11" t="s">
        <v>853</v>
      </c>
      <c r="P82" s="11" t="s">
        <v>853</v>
      </c>
      <c r="Q82" s="11" t="s">
        <v>758</v>
      </c>
      <c r="R82" s="11" t="str">
        <f t="shared" si="57"/>
        <v/>
      </c>
      <c r="S82" s="11" t="str">
        <f t="shared" si="58"/>
        <v/>
      </c>
      <c r="T82" s="11" t="str">
        <f t="shared" si="59"/>
        <v/>
      </c>
      <c r="U82" s="11" t="str">
        <f t="shared" si="60"/>
        <v/>
      </c>
      <c r="V82" s="11" t="str">
        <f t="shared" si="61"/>
        <v/>
      </c>
      <c r="W82" s="11" t="str">
        <f t="shared" si="29"/>
        <v/>
      </c>
      <c r="X82" s="11" t="s">
        <v>745</v>
      </c>
      <c r="Y82" s="11" t="str">
        <f>HLOOKUP($X82,Tables_Cat!$B$6:$P$7,2,FALSE)</f>
        <v>Information</v>
      </c>
      <c r="Z82" s="24" t="s">
        <v>700</v>
      </c>
      <c r="AA82" s="11" t="s">
        <v>701</v>
      </c>
      <c r="AB82" s="13" t="str">
        <f t="shared" si="14"/>
        <v/>
      </c>
      <c r="AC82" s="11" t="s">
        <v>702</v>
      </c>
      <c r="AD82" s="11" t="str">
        <f t="shared" si="7"/>
        <v/>
      </c>
      <c r="AE82" s="11" t="s">
        <v>760</v>
      </c>
      <c r="AF82" s="11" t="str">
        <f t="shared" si="8"/>
        <v/>
      </c>
      <c r="AG82" s="11" t="str">
        <f t="shared" si="9"/>
        <v/>
      </c>
      <c r="AH82" s="11" t="str">
        <f t="shared" si="15"/>
        <v/>
      </c>
      <c r="AI82" s="11" t="str">
        <f t="shared" si="10"/>
        <v/>
      </c>
      <c r="AJ82" s="11" t="str">
        <f t="shared" si="11"/>
        <v/>
      </c>
      <c r="AK82" s="11" t="str">
        <f t="shared" si="12"/>
        <v/>
      </c>
      <c r="AN82" s="11" t="s">
        <v>704</v>
      </c>
      <c r="AO82" s="11" t="s">
        <v>822</v>
      </c>
    </row>
    <row r="83" spans="1:41" ht="31.5">
      <c r="A83" s="11">
        <v>77</v>
      </c>
      <c r="B83" s="11" t="s">
        <v>817</v>
      </c>
      <c r="C83" s="11" t="s">
        <v>854</v>
      </c>
      <c r="D83" s="32"/>
      <c r="E83" s="11" t="str">
        <f t="shared" si="37"/>
        <v>Select ...</v>
      </c>
      <c r="F83" s="11">
        <v>1</v>
      </c>
      <c r="G83" s="11">
        <v>0.5</v>
      </c>
      <c r="H83" s="11">
        <f>A82</f>
        <v>76</v>
      </c>
      <c r="I83" s="11"/>
      <c r="J83" s="11"/>
      <c r="K83" s="11"/>
      <c r="L83" s="11"/>
      <c r="M83" s="11" t="s">
        <v>694</v>
      </c>
      <c r="N83" s="11" t="s">
        <v>707</v>
      </c>
      <c r="O83" s="11" t="s">
        <v>853</v>
      </c>
      <c r="P83" s="11" t="s">
        <v>855</v>
      </c>
      <c r="Q83" s="11" t="s">
        <v>758</v>
      </c>
      <c r="R83" s="11" t="str">
        <f t="shared" si="57"/>
        <v/>
      </c>
      <c r="S83" s="11" t="str">
        <f t="shared" si="58"/>
        <v/>
      </c>
      <c r="T83" s="11" t="str">
        <f t="shared" si="59"/>
        <v/>
      </c>
      <c r="U83" s="11" t="str">
        <f t="shared" si="60"/>
        <v/>
      </c>
      <c r="V83" s="11" t="str">
        <f t="shared" si="61"/>
        <v/>
      </c>
      <c r="W83" s="11" t="str">
        <f t="shared" si="29"/>
        <v/>
      </c>
      <c r="X83" s="11" t="s">
        <v>745</v>
      </c>
      <c r="Y83" s="11" t="str">
        <f>HLOOKUP($X83,Tables_Cat!$B$6:$P$7,2,FALSE)</f>
        <v>Information</v>
      </c>
      <c r="Z83" s="24" t="s">
        <v>700</v>
      </c>
      <c r="AA83" s="11" t="s">
        <v>751</v>
      </c>
      <c r="AB83" s="13" t="str">
        <f t="shared" si="14"/>
        <v/>
      </c>
      <c r="AC83" s="11" t="s">
        <v>702</v>
      </c>
      <c r="AD83" s="11" t="str">
        <f t="shared" si="7"/>
        <v/>
      </c>
      <c r="AE83" s="11" t="s">
        <v>760</v>
      </c>
      <c r="AF83" s="11" t="str">
        <f t="shared" si="8"/>
        <v/>
      </c>
      <c r="AG83" s="11" t="str">
        <f t="shared" si="9"/>
        <v/>
      </c>
      <c r="AH83" s="11" t="str">
        <f t="shared" si="15"/>
        <v/>
      </c>
      <c r="AI83" s="11" t="str">
        <f t="shared" si="10"/>
        <v/>
      </c>
      <c r="AJ83" s="11" t="str">
        <f t="shared" si="11"/>
        <v/>
      </c>
      <c r="AK83" s="11" t="str">
        <f t="shared" si="12"/>
        <v/>
      </c>
      <c r="AN83" s="11" t="s">
        <v>704</v>
      </c>
      <c r="AO83" s="11" t="s">
        <v>822</v>
      </c>
    </row>
    <row r="84" spans="1:41" ht="47.25">
      <c r="A84" s="11">
        <v>78</v>
      </c>
      <c r="B84" s="11" t="s">
        <v>817</v>
      </c>
      <c r="C84" s="11" t="s">
        <v>856</v>
      </c>
      <c r="D84" s="32"/>
      <c r="E84" s="11" t="str">
        <f t="shared" si="37"/>
        <v>Select ...</v>
      </c>
      <c r="F84" s="11">
        <v>1.5</v>
      </c>
      <c r="G84" s="11">
        <v>1</v>
      </c>
      <c r="H84" s="11">
        <f>A83</f>
        <v>77</v>
      </c>
      <c r="I84" s="11"/>
      <c r="J84" s="11"/>
      <c r="K84" s="11"/>
      <c r="L84" s="11"/>
      <c r="M84" s="11" t="s">
        <v>750</v>
      </c>
      <c r="N84" s="11" t="s">
        <v>781</v>
      </c>
      <c r="O84" s="11" t="s">
        <v>853</v>
      </c>
      <c r="P84" s="11" t="s">
        <v>855</v>
      </c>
      <c r="Q84" s="11" t="s">
        <v>758</v>
      </c>
      <c r="R84" s="11" t="str">
        <f t="shared" si="57"/>
        <v/>
      </c>
      <c r="S84" s="11" t="str">
        <f t="shared" si="58"/>
        <v/>
      </c>
      <c r="T84" s="11" t="str">
        <f t="shared" si="59"/>
        <v/>
      </c>
      <c r="U84" s="11" t="str">
        <f t="shared" si="60"/>
        <v/>
      </c>
      <c r="V84" s="11" t="str">
        <f t="shared" si="61"/>
        <v/>
      </c>
      <c r="W84" s="11" t="str">
        <f t="shared" si="29"/>
        <v/>
      </c>
      <c r="X84" s="11" t="s">
        <v>820</v>
      </c>
      <c r="Y84" s="11" t="str">
        <f>HLOOKUP($X84,Tables_Cat!$B$6:$P$7,2,FALSE)</f>
        <v>Information</v>
      </c>
      <c r="Z84" s="24" t="s">
        <v>700</v>
      </c>
      <c r="AA84" s="11" t="s">
        <v>751</v>
      </c>
      <c r="AB84" s="13" t="str">
        <f t="shared" si="14"/>
        <v/>
      </c>
      <c r="AC84" s="11" t="s">
        <v>752</v>
      </c>
      <c r="AD84" s="11" t="str">
        <f t="shared" si="7"/>
        <v/>
      </c>
      <c r="AE84" s="11" t="s">
        <v>760</v>
      </c>
      <c r="AF84" s="11" t="str">
        <f t="shared" si="8"/>
        <v/>
      </c>
      <c r="AG84" s="11" t="str">
        <f t="shared" si="9"/>
        <v/>
      </c>
      <c r="AH84" s="11" t="str">
        <f t="shared" si="15"/>
        <v/>
      </c>
      <c r="AI84" s="11" t="str">
        <f t="shared" si="10"/>
        <v/>
      </c>
      <c r="AJ84" s="11" t="str">
        <f t="shared" si="11"/>
        <v/>
      </c>
      <c r="AK84" s="11" t="str">
        <f t="shared" si="12"/>
        <v/>
      </c>
      <c r="AN84" s="11" t="s">
        <v>704</v>
      </c>
      <c r="AO84" s="11" t="s">
        <v>822</v>
      </c>
    </row>
    <row r="85" spans="1:41" ht="31.5">
      <c r="A85" s="11">
        <v>79</v>
      </c>
      <c r="B85" s="11" t="s">
        <v>817</v>
      </c>
      <c r="C85" s="11" t="s">
        <v>857</v>
      </c>
      <c r="D85" s="32"/>
      <c r="E85" s="11" t="str">
        <f t="shared" si="37"/>
        <v>Select ...</v>
      </c>
      <c r="F85" s="11">
        <v>1</v>
      </c>
      <c r="G85" s="11">
        <v>0.5</v>
      </c>
      <c r="H85" s="11">
        <f>A83</f>
        <v>77</v>
      </c>
      <c r="I85" s="11"/>
      <c r="J85" s="11"/>
      <c r="K85" s="11"/>
      <c r="L85" s="11"/>
      <c r="M85" s="11" t="s">
        <v>694</v>
      </c>
      <c r="N85" s="11" t="s">
        <v>781</v>
      </c>
      <c r="O85" s="11" t="s">
        <v>853</v>
      </c>
      <c r="P85" s="11" t="s">
        <v>855</v>
      </c>
      <c r="Q85" s="11" t="s">
        <v>758</v>
      </c>
      <c r="R85" s="11" t="str">
        <f t="shared" si="57"/>
        <v/>
      </c>
      <c r="S85" s="11" t="str">
        <f t="shared" si="58"/>
        <v/>
      </c>
      <c r="T85" s="11" t="str">
        <f t="shared" si="59"/>
        <v/>
      </c>
      <c r="U85" s="11" t="str">
        <f t="shared" si="60"/>
        <v/>
      </c>
      <c r="V85" s="11" t="str">
        <f t="shared" si="61"/>
        <v/>
      </c>
      <c r="W85" s="11" t="str">
        <f t="shared" si="29"/>
        <v/>
      </c>
      <c r="X85" s="11" t="s">
        <v>745</v>
      </c>
      <c r="Y85" s="11" t="str">
        <f>HLOOKUP($X85,Tables_Cat!$B$6:$P$7,2,FALSE)</f>
        <v>Information</v>
      </c>
      <c r="Z85" s="24" t="s">
        <v>700</v>
      </c>
      <c r="AA85" s="11" t="s">
        <v>701</v>
      </c>
      <c r="AB85" s="13" t="str">
        <f t="shared" si="14"/>
        <v/>
      </c>
      <c r="AC85" s="11" t="s">
        <v>702</v>
      </c>
      <c r="AD85" s="11" t="str">
        <f t="shared" si="7"/>
        <v/>
      </c>
      <c r="AE85" s="11" t="s">
        <v>760</v>
      </c>
      <c r="AF85" s="11" t="str">
        <f t="shared" si="8"/>
        <v/>
      </c>
      <c r="AG85" s="11" t="str">
        <f t="shared" si="9"/>
        <v/>
      </c>
      <c r="AH85" s="11" t="str">
        <f t="shared" si="15"/>
        <v/>
      </c>
      <c r="AI85" s="11" t="str">
        <f t="shared" si="10"/>
        <v/>
      </c>
      <c r="AJ85" s="11" t="str">
        <f t="shared" si="11"/>
        <v/>
      </c>
      <c r="AK85" s="11" t="str">
        <f t="shared" si="12"/>
        <v/>
      </c>
      <c r="AN85" s="11" t="s">
        <v>704</v>
      </c>
      <c r="AO85" s="11" t="s">
        <v>822</v>
      </c>
    </row>
    <row r="86" spans="1:41" ht="31.5">
      <c r="A86" s="11">
        <v>80</v>
      </c>
      <c r="B86" s="11" t="s">
        <v>808</v>
      </c>
      <c r="C86" s="11" t="s">
        <v>858</v>
      </c>
      <c r="D86" s="32"/>
      <c r="E86" s="11" t="s">
        <v>4</v>
      </c>
      <c r="F86" s="11">
        <v>1</v>
      </c>
      <c r="G86" s="11">
        <v>0.5</v>
      </c>
      <c r="H86" s="11">
        <f>A60</f>
        <v>54</v>
      </c>
      <c r="I86" s="11">
        <f>A67</f>
        <v>61</v>
      </c>
      <c r="J86" s="11"/>
      <c r="K86" s="11"/>
      <c r="L86" s="11"/>
      <c r="M86" s="11" t="s">
        <v>755</v>
      </c>
      <c r="N86" s="11" t="s">
        <v>781</v>
      </c>
      <c r="O86" s="11" t="s">
        <v>810</v>
      </c>
      <c r="P86" s="11" t="s">
        <v>859</v>
      </c>
      <c r="Q86" s="11" t="s">
        <v>758</v>
      </c>
      <c r="R86" s="11" t="str">
        <f t="shared" si="57"/>
        <v/>
      </c>
      <c r="S86" s="11" t="str">
        <f t="shared" si="58"/>
        <v/>
      </c>
      <c r="T86" s="11" t="str">
        <f t="shared" si="59"/>
        <v/>
      </c>
      <c r="U86" s="11" t="str">
        <f t="shared" si="60"/>
        <v/>
      </c>
      <c r="V86" s="11" t="str">
        <f t="shared" si="61"/>
        <v/>
      </c>
      <c r="W86" s="11" t="str">
        <f t="shared" si="29"/>
        <v/>
      </c>
      <c r="X86" s="11" t="s">
        <v>860</v>
      </c>
      <c r="Y86" s="11" t="str">
        <f>HLOOKUP($X86,Tables_Cat!$B$6:$P$7,2,FALSE)</f>
        <v>Information</v>
      </c>
      <c r="Z86" s="24" t="s">
        <v>700</v>
      </c>
      <c r="AA86" s="11" t="s">
        <v>701</v>
      </c>
      <c r="AB86" s="13" t="str">
        <f t="shared" si="14"/>
        <v/>
      </c>
      <c r="AC86" s="11" t="s">
        <v>702</v>
      </c>
      <c r="AD86" s="11" t="str">
        <f t="shared" si="7"/>
        <v/>
      </c>
      <c r="AE86" s="11" t="s">
        <v>760</v>
      </c>
      <c r="AF86" s="11" t="str">
        <f t="shared" si="8"/>
        <v/>
      </c>
      <c r="AG86" s="11" t="str">
        <f t="shared" si="9"/>
        <v/>
      </c>
      <c r="AH86" s="11" t="str">
        <f t="shared" si="15"/>
        <v/>
      </c>
      <c r="AI86" s="11" t="str">
        <f t="shared" si="10"/>
        <v/>
      </c>
      <c r="AJ86" s="11" t="str">
        <f t="shared" si="11"/>
        <v/>
      </c>
      <c r="AK86" s="11" t="str">
        <f t="shared" si="12"/>
        <v/>
      </c>
      <c r="AN86" s="11" t="s">
        <v>811</v>
      </c>
      <c r="AO86" s="11" t="s">
        <v>861</v>
      </c>
    </row>
    <row r="87" spans="1:41" ht="31.5">
      <c r="A87" s="11">
        <v>81</v>
      </c>
      <c r="B87" s="11" t="s">
        <v>808</v>
      </c>
      <c r="C87" s="11" t="s">
        <v>862</v>
      </c>
      <c r="D87" s="32"/>
      <c r="E87" s="11" t="s">
        <v>4</v>
      </c>
      <c r="F87" s="11">
        <v>1</v>
      </c>
      <c r="G87" s="11">
        <v>0.5</v>
      </c>
      <c r="H87" s="11">
        <f>A62</f>
        <v>56</v>
      </c>
      <c r="I87" s="11">
        <f>A68</f>
        <v>62</v>
      </c>
      <c r="J87" s="11"/>
      <c r="K87" s="11"/>
      <c r="L87" s="11"/>
      <c r="M87" s="11" t="s">
        <v>755</v>
      </c>
      <c r="N87" s="11" t="s">
        <v>720</v>
      </c>
      <c r="O87" s="11" t="s">
        <v>810</v>
      </c>
      <c r="P87" s="11" t="s">
        <v>859</v>
      </c>
      <c r="Q87" s="11" t="s">
        <v>758</v>
      </c>
      <c r="R87" s="11" t="str">
        <f t="shared" si="57"/>
        <v/>
      </c>
      <c r="S87" s="11" t="str">
        <f t="shared" si="58"/>
        <v/>
      </c>
      <c r="T87" s="11" t="str">
        <f t="shared" si="59"/>
        <v/>
      </c>
      <c r="U87" s="11" t="str">
        <f t="shared" si="60"/>
        <v/>
      </c>
      <c r="V87" s="11" t="str">
        <f t="shared" si="61"/>
        <v/>
      </c>
      <c r="W87" s="11" t="str">
        <f t="shared" si="29"/>
        <v/>
      </c>
      <c r="X87" s="11" t="s">
        <v>860</v>
      </c>
      <c r="Y87" s="11" t="str">
        <f>HLOOKUP($X87,Tables_Cat!$B$6:$P$7,2,FALSE)</f>
        <v>Information</v>
      </c>
      <c r="Z87" s="24" t="s">
        <v>700</v>
      </c>
      <c r="AA87" s="11" t="s">
        <v>701</v>
      </c>
      <c r="AB87" s="13" t="str">
        <f t="shared" si="14"/>
        <v/>
      </c>
      <c r="AC87" s="11" t="s">
        <v>702</v>
      </c>
      <c r="AD87" s="11" t="str">
        <f t="shared" si="7"/>
        <v/>
      </c>
      <c r="AE87" s="11" t="s">
        <v>760</v>
      </c>
      <c r="AF87" s="11" t="str">
        <f t="shared" si="8"/>
        <v/>
      </c>
      <c r="AG87" s="11" t="str">
        <f t="shared" si="9"/>
        <v/>
      </c>
      <c r="AH87" s="11" t="str">
        <f t="shared" si="15"/>
        <v/>
      </c>
      <c r="AI87" s="11" t="str">
        <f t="shared" si="10"/>
        <v/>
      </c>
      <c r="AJ87" s="11" t="str">
        <f t="shared" si="11"/>
        <v/>
      </c>
      <c r="AK87" s="11" t="str">
        <f t="shared" si="12"/>
        <v/>
      </c>
      <c r="AN87" s="11" t="s">
        <v>811</v>
      </c>
      <c r="AO87" s="11" t="s">
        <v>861</v>
      </c>
    </row>
    <row r="88" spans="1:41" ht="47.25">
      <c r="A88" s="11">
        <v>82</v>
      </c>
      <c r="B88" s="11" t="s">
        <v>808</v>
      </c>
      <c r="C88" s="11" t="s">
        <v>863</v>
      </c>
      <c r="D88" s="32"/>
      <c r="E88" s="11" t="s">
        <v>4</v>
      </c>
      <c r="F88" s="11">
        <v>1</v>
      </c>
      <c r="G88" s="11">
        <v>0.5</v>
      </c>
      <c r="H88" s="11">
        <f>A63</f>
        <v>57</v>
      </c>
      <c r="I88" s="11">
        <f>A69</f>
        <v>63</v>
      </c>
      <c r="J88" s="11"/>
      <c r="K88" s="11"/>
      <c r="L88" s="11"/>
      <c r="M88" s="11" t="s">
        <v>755</v>
      </c>
      <c r="N88" s="11" t="s">
        <v>769</v>
      </c>
      <c r="O88" s="11" t="s">
        <v>810</v>
      </c>
      <c r="P88" s="11" t="s">
        <v>859</v>
      </c>
      <c r="Q88" s="11" t="s">
        <v>758</v>
      </c>
      <c r="R88" s="11" t="str">
        <f t="shared" si="57"/>
        <v/>
      </c>
      <c r="S88" s="11" t="str">
        <f t="shared" si="58"/>
        <v/>
      </c>
      <c r="T88" s="11" t="str">
        <f t="shared" si="59"/>
        <v/>
      </c>
      <c r="U88" s="11" t="str">
        <f t="shared" si="60"/>
        <v/>
      </c>
      <c r="V88" s="11" t="str">
        <f t="shared" si="61"/>
        <v/>
      </c>
      <c r="W88" s="11" t="str">
        <f t="shared" si="29"/>
        <v/>
      </c>
      <c r="X88" s="11" t="s">
        <v>860</v>
      </c>
      <c r="Y88" s="11" t="str">
        <f>HLOOKUP($X88,Tables_Cat!$B$6:$P$7,2,FALSE)</f>
        <v>Information</v>
      </c>
      <c r="Z88" s="24" t="s">
        <v>700</v>
      </c>
      <c r="AA88" s="11" t="s">
        <v>701</v>
      </c>
      <c r="AB88" s="13" t="str">
        <f t="shared" si="14"/>
        <v/>
      </c>
      <c r="AC88" s="11" t="s">
        <v>702</v>
      </c>
      <c r="AD88" s="11" t="str">
        <f t="shared" si="7"/>
        <v/>
      </c>
      <c r="AE88" s="11" t="s">
        <v>760</v>
      </c>
      <c r="AF88" s="11" t="str">
        <f t="shared" si="8"/>
        <v/>
      </c>
      <c r="AG88" s="11" t="str">
        <f t="shared" si="9"/>
        <v/>
      </c>
      <c r="AH88" s="11" t="str">
        <f t="shared" si="15"/>
        <v/>
      </c>
      <c r="AI88" s="11" t="str">
        <f t="shared" si="10"/>
        <v/>
      </c>
      <c r="AJ88" s="11" t="str">
        <f t="shared" si="11"/>
        <v/>
      </c>
      <c r="AK88" s="11" t="str">
        <f t="shared" si="12"/>
        <v/>
      </c>
      <c r="AN88" s="11" t="s">
        <v>811</v>
      </c>
      <c r="AO88" s="11" t="s">
        <v>861</v>
      </c>
    </row>
    <row r="89" spans="1:41" ht="47.25">
      <c r="A89" s="11">
        <v>83</v>
      </c>
      <c r="B89" s="11" t="s">
        <v>808</v>
      </c>
      <c r="C89" s="11" t="s">
        <v>864</v>
      </c>
      <c r="D89" s="32"/>
      <c r="E89" s="11" t="s">
        <v>4</v>
      </c>
      <c r="F89" s="11">
        <v>1</v>
      </c>
      <c r="G89" s="11">
        <v>0.5</v>
      </c>
      <c r="H89" s="11">
        <f>A64</f>
        <v>58</v>
      </c>
      <c r="I89" s="11">
        <f>A70</f>
        <v>64</v>
      </c>
      <c r="J89" s="11"/>
      <c r="K89" s="11"/>
      <c r="L89" s="11"/>
      <c r="M89" s="11" t="s">
        <v>755</v>
      </c>
      <c r="N89" s="11" t="s">
        <v>769</v>
      </c>
      <c r="O89" s="11" t="s">
        <v>810</v>
      </c>
      <c r="P89" s="11" t="s">
        <v>859</v>
      </c>
      <c r="Q89" s="11" t="s">
        <v>758</v>
      </c>
      <c r="R89" s="11" t="str">
        <f t="shared" si="57"/>
        <v/>
      </c>
      <c r="S89" s="11" t="str">
        <f t="shared" si="58"/>
        <v/>
      </c>
      <c r="T89" s="11" t="str">
        <f t="shared" si="59"/>
        <v/>
      </c>
      <c r="U89" s="11" t="str">
        <f t="shared" si="60"/>
        <v/>
      </c>
      <c r="V89" s="11" t="str">
        <f t="shared" si="61"/>
        <v/>
      </c>
      <c r="W89" s="11" t="str">
        <f t="shared" si="29"/>
        <v/>
      </c>
      <c r="X89" s="11" t="s">
        <v>860</v>
      </c>
      <c r="Y89" s="11" t="str">
        <f>HLOOKUP($X89,Tables_Cat!$B$6:$P$7,2,FALSE)</f>
        <v>Information</v>
      </c>
      <c r="Z89" s="24" t="s">
        <v>700</v>
      </c>
      <c r="AA89" s="11" t="s">
        <v>701</v>
      </c>
      <c r="AB89" s="13" t="str">
        <f t="shared" si="14"/>
        <v/>
      </c>
      <c r="AC89" s="11" t="s">
        <v>702</v>
      </c>
      <c r="AD89" s="11" t="str">
        <f t="shared" si="7"/>
        <v/>
      </c>
      <c r="AE89" s="11" t="s">
        <v>760</v>
      </c>
      <c r="AF89" s="11" t="str">
        <f t="shared" si="8"/>
        <v/>
      </c>
      <c r="AG89" s="11" t="str">
        <f t="shared" si="9"/>
        <v/>
      </c>
      <c r="AH89" s="11" t="str">
        <f t="shared" si="15"/>
        <v/>
      </c>
      <c r="AI89" s="11" t="str">
        <f t="shared" si="10"/>
        <v/>
      </c>
      <c r="AJ89" s="11" t="str">
        <f t="shared" si="11"/>
        <v/>
      </c>
      <c r="AK89" s="11" t="str">
        <f t="shared" si="12"/>
        <v/>
      </c>
      <c r="AN89" s="11" t="s">
        <v>811</v>
      </c>
      <c r="AO89" s="11" t="s">
        <v>861</v>
      </c>
    </row>
    <row r="90" spans="1:41" ht="47.25">
      <c r="A90" s="11">
        <v>84</v>
      </c>
      <c r="B90" s="11" t="s">
        <v>865</v>
      </c>
      <c r="C90" s="11" t="s">
        <v>866</v>
      </c>
      <c r="D90" s="32"/>
      <c r="E90" s="11" t="s">
        <v>4</v>
      </c>
      <c r="F90" s="11">
        <v>2</v>
      </c>
      <c r="G90" s="11">
        <v>2</v>
      </c>
      <c r="H90" s="11" t="str">
        <f t="shared" ref="H90:H96" si="70">A6</f>
        <v>INIT</v>
      </c>
      <c r="I90" s="11"/>
      <c r="J90" s="11"/>
      <c r="K90" s="11"/>
      <c r="L90" s="11"/>
      <c r="M90" s="11" t="s">
        <v>750</v>
      </c>
      <c r="N90" s="11" t="s">
        <v>748</v>
      </c>
      <c r="O90" s="11" t="s">
        <v>696</v>
      </c>
      <c r="P90" s="11" t="s">
        <v>867</v>
      </c>
      <c r="Q90" s="11" t="s">
        <v>868</v>
      </c>
      <c r="R90" s="11" t="str">
        <f t="shared" si="57"/>
        <v/>
      </c>
      <c r="S90" s="11" t="str">
        <f t="shared" si="58"/>
        <v/>
      </c>
      <c r="T90" s="11" t="str">
        <f t="shared" si="59"/>
        <v/>
      </c>
      <c r="U90" s="11" t="str">
        <f t="shared" si="60"/>
        <v/>
      </c>
      <c r="V90" s="11" t="str">
        <f t="shared" si="61"/>
        <v/>
      </c>
      <c r="W90" s="11" t="str">
        <f t="shared" si="29"/>
        <v/>
      </c>
      <c r="X90" s="11" t="s">
        <v>860</v>
      </c>
      <c r="Y90" s="11" t="str">
        <f>HLOOKUP($X90,Tables_Cat!$B$6:$P$7,2,FALSE)</f>
        <v>Information</v>
      </c>
      <c r="Z90" s="24" t="s">
        <v>869</v>
      </c>
      <c r="AA90" s="11" t="s">
        <v>701</v>
      </c>
      <c r="AB90" s="13" t="str">
        <f t="shared" si="14"/>
        <v/>
      </c>
      <c r="AC90" s="11" t="s">
        <v>702</v>
      </c>
      <c r="AD90" s="11" t="str">
        <f t="shared" si="7"/>
        <v/>
      </c>
      <c r="AE90" s="11" t="s">
        <v>870</v>
      </c>
      <c r="AF90" s="11" t="str">
        <f t="shared" si="8"/>
        <v/>
      </c>
      <c r="AG90" s="11" t="str">
        <f t="shared" si="9"/>
        <v/>
      </c>
      <c r="AH90" s="11" t="str">
        <f t="shared" si="15"/>
        <v/>
      </c>
      <c r="AI90" s="11" t="str">
        <f t="shared" si="10"/>
        <v/>
      </c>
      <c r="AJ90" s="11" t="str">
        <f t="shared" si="11"/>
        <v/>
      </c>
      <c r="AK90" s="11" t="str">
        <f t="shared" si="12"/>
        <v/>
      </c>
      <c r="AN90" s="11" t="s">
        <v>871</v>
      </c>
      <c r="AO90" s="11" t="s">
        <v>872</v>
      </c>
    </row>
    <row r="91" spans="1:41" ht="63">
      <c r="A91" s="11">
        <v>85</v>
      </c>
      <c r="B91" s="11" t="s">
        <v>865</v>
      </c>
      <c r="C91" s="11" t="s">
        <v>873</v>
      </c>
      <c r="D91" s="32"/>
      <c r="E91" s="11" t="s">
        <v>4</v>
      </c>
      <c r="F91" s="11">
        <v>2</v>
      </c>
      <c r="G91" s="11">
        <v>2</v>
      </c>
      <c r="H91" s="11">
        <f t="shared" si="70"/>
        <v>1</v>
      </c>
      <c r="I91" s="11"/>
      <c r="J91" s="11"/>
      <c r="K91" s="11"/>
      <c r="L91" s="11"/>
      <c r="M91" s="11" t="s">
        <v>750</v>
      </c>
      <c r="N91" s="11" t="s">
        <v>748</v>
      </c>
      <c r="O91" s="11" t="s">
        <v>696</v>
      </c>
      <c r="P91" s="11" t="s">
        <v>867</v>
      </c>
      <c r="Q91" s="11" t="s">
        <v>61</v>
      </c>
      <c r="R91" s="11" t="str">
        <f t="shared" si="57"/>
        <v/>
      </c>
      <c r="S91" s="11" t="str">
        <f t="shared" si="58"/>
        <v/>
      </c>
      <c r="T91" s="11" t="str">
        <f t="shared" si="59"/>
        <v/>
      </c>
      <c r="U91" s="11" t="str">
        <f t="shared" si="60"/>
        <v/>
      </c>
      <c r="V91" s="11" t="str">
        <f t="shared" si="61"/>
        <v/>
      </c>
      <c r="W91" s="11" t="str">
        <f t="shared" ref="W91" si="71">IF($E91="Yes",MAX(R91:V91),"")</f>
        <v/>
      </c>
      <c r="X91" s="11" t="s">
        <v>759</v>
      </c>
      <c r="Y91" s="11" t="str">
        <f>HLOOKUP($X91,Tables_Cat!$B$6:$P$7,2,FALSE)</f>
        <v>Information</v>
      </c>
      <c r="Z91" s="24" t="s">
        <v>874</v>
      </c>
      <c r="AA91" s="11" t="s">
        <v>701</v>
      </c>
      <c r="AB91" s="13" t="str">
        <f t="shared" si="14"/>
        <v/>
      </c>
      <c r="AC91" s="11" t="s">
        <v>702</v>
      </c>
      <c r="AD91" s="11" t="str">
        <f t="shared" si="7"/>
        <v/>
      </c>
      <c r="AE91" s="11" t="s">
        <v>772</v>
      </c>
      <c r="AF91" s="11" t="str">
        <f t="shared" si="8"/>
        <v/>
      </c>
      <c r="AG91" s="11" t="str">
        <f t="shared" si="9"/>
        <v/>
      </c>
      <c r="AH91" s="11" t="str">
        <f t="shared" si="15"/>
        <v/>
      </c>
      <c r="AI91" s="11" t="str">
        <f t="shared" si="10"/>
        <v/>
      </c>
      <c r="AJ91" s="11" t="str">
        <f t="shared" si="11"/>
        <v/>
      </c>
      <c r="AK91" s="11" t="str">
        <f t="shared" si="12"/>
        <v/>
      </c>
      <c r="AN91" s="11" t="s">
        <v>871</v>
      </c>
      <c r="AO91" s="11" t="s">
        <v>872</v>
      </c>
    </row>
    <row r="92" spans="1:41" ht="63">
      <c r="A92" s="11">
        <v>86</v>
      </c>
      <c r="B92" s="11" t="s">
        <v>865</v>
      </c>
      <c r="C92" s="11" t="s">
        <v>875</v>
      </c>
      <c r="D92" s="32"/>
      <c r="E92" s="11" t="s">
        <v>4</v>
      </c>
      <c r="F92" s="11">
        <v>2</v>
      </c>
      <c r="G92" s="11">
        <v>2</v>
      </c>
      <c r="H92" s="11">
        <f t="shared" si="70"/>
        <v>2</v>
      </c>
      <c r="I92" s="11"/>
      <c r="J92" s="11"/>
      <c r="K92" s="11"/>
      <c r="L92" s="11"/>
      <c r="M92" s="11" t="s">
        <v>750</v>
      </c>
      <c r="N92" s="11" t="s">
        <v>748</v>
      </c>
      <c r="O92" s="11" t="s">
        <v>696</v>
      </c>
      <c r="P92" s="11" t="s">
        <v>867</v>
      </c>
      <c r="Q92" s="11" t="s">
        <v>61</v>
      </c>
      <c r="R92" s="11" t="str">
        <f t="shared" si="57"/>
        <v/>
      </c>
      <c r="S92" s="11" t="str">
        <f t="shared" si="58"/>
        <v/>
      </c>
      <c r="T92" s="11" t="str">
        <f t="shared" si="59"/>
        <v/>
      </c>
      <c r="U92" s="11" t="str">
        <f t="shared" si="60"/>
        <v/>
      </c>
      <c r="V92" s="11" t="str">
        <f t="shared" si="61"/>
        <v/>
      </c>
      <c r="W92" s="11" t="str">
        <f t="shared" ref="W92:W99" si="72">IF($E92="Yes",MAX(R92:V92),"")</f>
        <v/>
      </c>
      <c r="X92" s="11" t="s">
        <v>801</v>
      </c>
      <c r="Y92" s="11" t="str">
        <f>HLOOKUP($X92,Tables_Cat!$B$6:$P$7,2,FALSE)</f>
        <v>Material</v>
      </c>
      <c r="Z92" s="24" t="s">
        <v>874</v>
      </c>
      <c r="AA92" s="11" t="s">
        <v>765</v>
      </c>
      <c r="AB92" s="13" t="str">
        <f t="shared" si="14"/>
        <v/>
      </c>
      <c r="AC92" s="11" t="s">
        <v>702</v>
      </c>
      <c r="AD92" s="11" t="str">
        <f t="shared" si="7"/>
        <v/>
      </c>
      <c r="AE92" s="11" t="s">
        <v>772</v>
      </c>
      <c r="AF92" s="11" t="str">
        <f t="shared" si="8"/>
        <v/>
      </c>
      <c r="AG92" s="11" t="str">
        <f t="shared" si="9"/>
        <v/>
      </c>
      <c r="AH92" s="11" t="str">
        <f t="shared" si="15"/>
        <v/>
      </c>
      <c r="AI92" s="11" t="str">
        <f t="shared" si="10"/>
        <v/>
      </c>
      <c r="AJ92" s="11" t="str">
        <f t="shared" si="11"/>
        <v/>
      </c>
      <c r="AK92" s="11" t="str">
        <f t="shared" si="12"/>
        <v/>
      </c>
      <c r="AN92" s="11" t="s">
        <v>871</v>
      </c>
      <c r="AO92" s="11" t="s">
        <v>872</v>
      </c>
    </row>
    <row r="93" spans="1:41" ht="47.25">
      <c r="A93" s="11">
        <v>87</v>
      </c>
      <c r="B93" s="11" t="s">
        <v>876</v>
      </c>
      <c r="C93" s="11" t="s">
        <v>877</v>
      </c>
      <c r="D93" s="32"/>
      <c r="E93" s="11" t="s">
        <v>4</v>
      </c>
      <c r="F93" s="11">
        <v>2</v>
      </c>
      <c r="G93" s="11">
        <v>2</v>
      </c>
      <c r="H93" s="11">
        <f t="shared" si="70"/>
        <v>3</v>
      </c>
      <c r="I93" s="11"/>
      <c r="J93" s="11"/>
      <c r="K93" s="11"/>
      <c r="L93" s="11"/>
      <c r="M93" s="11" t="s">
        <v>750</v>
      </c>
      <c r="N93" s="11" t="s">
        <v>763</v>
      </c>
      <c r="O93" s="11" t="s">
        <v>696</v>
      </c>
      <c r="P93" s="11" t="s">
        <v>867</v>
      </c>
      <c r="Q93" s="11" t="s">
        <v>61</v>
      </c>
      <c r="R93" s="11" t="str">
        <f t="shared" si="57"/>
        <v/>
      </c>
      <c r="S93" s="11" t="str">
        <f t="shared" si="58"/>
        <v/>
      </c>
      <c r="T93" s="11" t="str">
        <f t="shared" si="59"/>
        <v/>
      </c>
      <c r="U93" s="11" t="str">
        <f t="shared" si="60"/>
        <v/>
      </c>
      <c r="V93" s="11" t="str">
        <f t="shared" si="61"/>
        <v/>
      </c>
      <c r="W93" s="11" t="str">
        <f t="shared" si="72"/>
        <v/>
      </c>
      <c r="X93" s="11" t="s">
        <v>759</v>
      </c>
      <c r="Y93" s="11" t="str">
        <f>HLOOKUP($X93,Tables_Cat!$B$6:$P$7,2,FALSE)</f>
        <v>Information</v>
      </c>
      <c r="Z93" s="24" t="s">
        <v>793</v>
      </c>
      <c r="AA93" s="11" t="s">
        <v>701</v>
      </c>
      <c r="AB93" s="13" t="str">
        <f t="shared" si="14"/>
        <v/>
      </c>
      <c r="AC93" s="11" t="s">
        <v>702</v>
      </c>
      <c r="AD93" s="11" t="str">
        <f t="shared" si="7"/>
        <v/>
      </c>
      <c r="AE93" s="11" t="s">
        <v>878</v>
      </c>
      <c r="AF93" s="11" t="str">
        <f t="shared" si="8"/>
        <v/>
      </c>
      <c r="AG93" s="11" t="str">
        <f t="shared" si="9"/>
        <v/>
      </c>
      <c r="AH93" s="11" t="str">
        <f t="shared" si="15"/>
        <v/>
      </c>
      <c r="AI93" s="11" t="str">
        <f t="shared" si="10"/>
        <v/>
      </c>
      <c r="AJ93" s="11" t="str">
        <f t="shared" si="11"/>
        <v/>
      </c>
      <c r="AK93" s="11" t="str">
        <f t="shared" si="12"/>
        <v/>
      </c>
      <c r="AN93" s="11" t="s">
        <v>879</v>
      </c>
      <c r="AO93" s="11" t="s">
        <v>872</v>
      </c>
    </row>
    <row r="94" spans="1:41" ht="47.25">
      <c r="A94" s="11">
        <v>88</v>
      </c>
      <c r="B94" s="11" t="s">
        <v>876</v>
      </c>
      <c r="C94" s="11" t="s">
        <v>880</v>
      </c>
      <c r="D94" s="32"/>
      <c r="E94" s="11" t="s">
        <v>4</v>
      </c>
      <c r="F94" s="11">
        <v>2</v>
      </c>
      <c r="G94" s="11">
        <v>2</v>
      </c>
      <c r="H94" s="11">
        <f t="shared" si="70"/>
        <v>4</v>
      </c>
      <c r="I94" s="11"/>
      <c r="J94" s="11"/>
      <c r="K94" s="11"/>
      <c r="L94" s="11"/>
      <c r="M94" s="11" t="s">
        <v>750</v>
      </c>
      <c r="N94" s="11" t="s">
        <v>763</v>
      </c>
      <c r="O94" s="11" t="s">
        <v>696</v>
      </c>
      <c r="P94" s="11" t="s">
        <v>867</v>
      </c>
      <c r="Q94" s="11" t="s">
        <v>61</v>
      </c>
      <c r="R94" s="11" t="str">
        <f t="shared" si="57"/>
        <v/>
      </c>
      <c r="S94" s="11" t="str">
        <f t="shared" si="58"/>
        <v/>
      </c>
      <c r="T94" s="11" t="str">
        <f t="shared" si="59"/>
        <v/>
      </c>
      <c r="U94" s="11" t="str">
        <f t="shared" si="60"/>
        <v/>
      </c>
      <c r="V94" s="11" t="str">
        <f t="shared" si="61"/>
        <v/>
      </c>
      <c r="W94" s="11" t="str">
        <f t="shared" ref="W94" si="73">IF($E94="Yes",MAX(R94:V94),"")</f>
        <v/>
      </c>
      <c r="X94" s="11" t="s">
        <v>881</v>
      </c>
      <c r="Y94" s="11" t="str">
        <f>HLOOKUP($X94,Tables_Cat!$B$6:$P$7,2,FALSE)</f>
        <v>Material</v>
      </c>
      <c r="Z94" s="24" t="s">
        <v>793</v>
      </c>
      <c r="AA94" s="11" t="s">
        <v>765</v>
      </c>
      <c r="AB94" s="13" t="str">
        <f t="shared" si="14"/>
        <v/>
      </c>
      <c r="AC94" s="11" t="s">
        <v>702</v>
      </c>
      <c r="AD94" s="11" t="str">
        <f t="shared" si="7"/>
        <v/>
      </c>
      <c r="AE94" s="11" t="s">
        <v>878</v>
      </c>
      <c r="AF94" s="11" t="str">
        <f t="shared" si="8"/>
        <v/>
      </c>
      <c r="AG94" s="11" t="str">
        <f t="shared" si="9"/>
        <v/>
      </c>
      <c r="AH94" s="11" t="str">
        <f t="shared" si="15"/>
        <v/>
      </c>
      <c r="AI94" s="11" t="str">
        <f t="shared" si="10"/>
        <v/>
      </c>
      <c r="AJ94" s="11" t="str">
        <f t="shared" si="11"/>
        <v/>
      </c>
      <c r="AK94" s="11" t="str">
        <f t="shared" si="12"/>
        <v/>
      </c>
      <c r="AN94" s="11" t="s">
        <v>879</v>
      </c>
      <c r="AO94" s="11" t="s">
        <v>872</v>
      </c>
    </row>
    <row r="95" spans="1:41" ht="47.25">
      <c r="A95" s="11">
        <v>89</v>
      </c>
      <c r="B95" s="11" t="s">
        <v>876</v>
      </c>
      <c r="C95" s="11" t="s">
        <v>882</v>
      </c>
      <c r="D95" s="32"/>
      <c r="E95" s="11" t="s">
        <v>4</v>
      </c>
      <c r="F95" s="11">
        <v>2</v>
      </c>
      <c r="G95" s="11">
        <v>2</v>
      </c>
      <c r="H95" s="11">
        <f t="shared" si="70"/>
        <v>5</v>
      </c>
      <c r="I95" s="11"/>
      <c r="J95" s="11"/>
      <c r="K95" s="11"/>
      <c r="L95" s="11"/>
      <c r="M95" s="11" t="s">
        <v>750</v>
      </c>
      <c r="N95" s="11" t="s">
        <v>763</v>
      </c>
      <c r="O95" s="11" t="s">
        <v>696</v>
      </c>
      <c r="P95" s="11" t="s">
        <v>867</v>
      </c>
      <c r="Q95" s="11" t="s">
        <v>61</v>
      </c>
      <c r="R95" s="11" t="str">
        <f t="shared" si="57"/>
        <v/>
      </c>
      <c r="S95" s="11" t="str">
        <f t="shared" si="58"/>
        <v/>
      </c>
      <c r="T95" s="11" t="str">
        <f t="shared" si="59"/>
        <v/>
      </c>
      <c r="U95" s="11" t="str">
        <f t="shared" si="60"/>
        <v/>
      </c>
      <c r="V95" s="11" t="str">
        <f t="shared" si="61"/>
        <v/>
      </c>
      <c r="W95" s="11" t="str">
        <f t="shared" ref="W95" si="74">IF($E95="Yes",MAX(R95:V95),"")</f>
        <v/>
      </c>
      <c r="X95" s="11" t="s">
        <v>881</v>
      </c>
      <c r="Y95" s="11" t="str">
        <f>HLOOKUP($X95,Tables_Cat!$B$6:$P$7,2,FALSE)</f>
        <v>Material</v>
      </c>
      <c r="Z95" s="24" t="s">
        <v>793</v>
      </c>
      <c r="AA95" s="11" t="s">
        <v>765</v>
      </c>
      <c r="AB95" s="13" t="str">
        <f t="shared" si="14"/>
        <v/>
      </c>
      <c r="AC95" s="11" t="s">
        <v>702</v>
      </c>
      <c r="AD95" s="11" t="str">
        <f t="shared" si="7"/>
        <v/>
      </c>
      <c r="AE95" s="11" t="s">
        <v>878</v>
      </c>
      <c r="AF95" s="11" t="str">
        <f t="shared" si="8"/>
        <v/>
      </c>
      <c r="AG95" s="11" t="str">
        <f t="shared" si="9"/>
        <v/>
      </c>
      <c r="AH95" s="11" t="str">
        <f t="shared" si="15"/>
        <v/>
      </c>
      <c r="AI95" s="11" t="str">
        <f t="shared" si="10"/>
        <v/>
      </c>
      <c r="AJ95" s="11" t="str">
        <f t="shared" si="11"/>
        <v/>
      </c>
      <c r="AK95" s="11" t="str">
        <f t="shared" si="12"/>
        <v/>
      </c>
      <c r="AN95" s="11" t="s">
        <v>879</v>
      </c>
      <c r="AO95" s="11" t="s">
        <v>872</v>
      </c>
    </row>
    <row r="96" spans="1:41" ht="47.25">
      <c r="A96" s="11">
        <v>90</v>
      </c>
      <c r="B96" s="11" t="s">
        <v>876</v>
      </c>
      <c r="C96" s="11" t="s">
        <v>883</v>
      </c>
      <c r="D96" s="32"/>
      <c r="E96" s="11" t="s">
        <v>4</v>
      </c>
      <c r="F96" s="11">
        <v>2</v>
      </c>
      <c r="G96" s="11">
        <v>2</v>
      </c>
      <c r="H96" s="11">
        <f t="shared" si="70"/>
        <v>6</v>
      </c>
      <c r="I96" s="11"/>
      <c r="J96" s="11"/>
      <c r="K96" s="11"/>
      <c r="L96" s="11"/>
      <c r="M96" s="11" t="s">
        <v>750</v>
      </c>
      <c r="N96" s="11" t="s">
        <v>763</v>
      </c>
      <c r="O96" s="11" t="s">
        <v>696</v>
      </c>
      <c r="P96" s="11" t="s">
        <v>867</v>
      </c>
      <c r="Q96" s="11" t="s">
        <v>61</v>
      </c>
      <c r="R96" s="11" t="str">
        <f t="shared" si="57"/>
        <v/>
      </c>
      <c r="S96" s="11" t="str">
        <f t="shared" si="58"/>
        <v/>
      </c>
      <c r="T96" s="11" t="str">
        <f t="shared" si="59"/>
        <v/>
      </c>
      <c r="U96" s="11" t="str">
        <f t="shared" si="60"/>
        <v/>
      </c>
      <c r="V96" s="11" t="str">
        <f t="shared" si="61"/>
        <v/>
      </c>
      <c r="W96" s="11" t="str">
        <f t="shared" ref="W96" si="75">IF($E96="Yes",MAX(R96:V96),"")</f>
        <v/>
      </c>
      <c r="X96" s="11" t="s">
        <v>881</v>
      </c>
      <c r="Y96" s="11" t="str">
        <f>HLOOKUP($X96,Tables_Cat!$B$6:$P$7,2,FALSE)</f>
        <v>Material</v>
      </c>
      <c r="Z96" s="24" t="s">
        <v>793</v>
      </c>
      <c r="AA96" s="11" t="s">
        <v>765</v>
      </c>
      <c r="AB96" s="13" t="str">
        <f t="shared" si="14"/>
        <v/>
      </c>
      <c r="AC96" s="11" t="s">
        <v>702</v>
      </c>
      <c r="AD96" s="11" t="str">
        <f t="shared" si="7"/>
        <v/>
      </c>
      <c r="AE96" s="11" t="s">
        <v>878</v>
      </c>
      <c r="AF96" s="11" t="str">
        <f t="shared" si="8"/>
        <v/>
      </c>
      <c r="AG96" s="11" t="str">
        <f t="shared" si="9"/>
        <v/>
      </c>
      <c r="AH96" s="11" t="str">
        <f t="shared" si="15"/>
        <v/>
      </c>
      <c r="AI96" s="11" t="str">
        <f t="shared" si="10"/>
        <v/>
      </c>
      <c r="AJ96" s="11" t="str">
        <f t="shared" si="11"/>
        <v/>
      </c>
      <c r="AK96" s="11" t="str">
        <f t="shared" si="12"/>
        <v/>
      </c>
      <c r="AN96" s="11" t="s">
        <v>879</v>
      </c>
      <c r="AO96" s="11" t="s">
        <v>872</v>
      </c>
    </row>
    <row r="97" spans="1:41" ht="47.25">
      <c r="A97" s="11">
        <v>91</v>
      </c>
      <c r="B97" s="11" t="s">
        <v>692</v>
      </c>
      <c r="C97" s="11" t="s">
        <v>884</v>
      </c>
      <c r="D97" s="32"/>
      <c r="E97" s="11" t="s">
        <v>4</v>
      </c>
      <c r="F97" s="11">
        <v>1.5</v>
      </c>
      <c r="G97" s="11">
        <v>0.5</v>
      </c>
      <c r="H97" s="11">
        <f>A90</f>
        <v>84</v>
      </c>
      <c r="I97" s="11"/>
      <c r="J97" s="11"/>
      <c r="K97" s="11"/>
      <c r="L97" s="11"/>
      <c r="M97" s="11" t="s">
        <v>694</v>
      </c>
      <c r="N97" s="11" t="s">
        <v>769</v>
      </c>
      <c r="O97" s="11" t="s">
        <v>696</v>
      </c>
      <c r="P97" s="11" t="s">
        <v>791</v>
      </c>
      <c r="Q97" s="11" t="s">
        <v>792</v>
      </c>
      <c r="R97" s="11" t="str">
        <f t="shared" si="57"/>
        <v/>
      </c>
      <c r="S97" s="11" t="str">
        <f t="shared" si="58"/>
        <v/>
      </c>
      <c r="T97" s="11" t="str">
        <f t="shared" si="59"/>
        <v/>
      </c>
      <c r="U97" s="11" t="str">
        <f t="shared" si="60"/>
        <v/>
      </c>
      <c r="V97" s="11" t="str">
        <f t="shared" si="61"/>
        <v/>
      </c>
      <c r="W97" s="11" t="str">
        <f t="shared" si="72"/>
        <v/>
      </c>
      <c r="X97" s="11" t="s">
        <v>741</v>
      </c>
      <c r="Y97" s="11" t="str">
        <f>HLOOKUP($X97,Tables_Cat!$B$6:$P$7,2,FALSE)</f>
        <v>Material</v>
      </c>
      <c r="Z97" s="24" t="s">
        <v>793</v>
      </c>
      <c r="AA97" s="11" t="s">
        <v>728</v>
      </c>
      <c r="AB97" s="13" t="str">
        <f t="shared" si="14"/>
        <v/>
      </c>
      <c r="AC97" s="11" t="s">
        <v>702</v>
      </c>
      <c r="AD97" s="11" t="str">
        <f t="shared" si="7"/>
        <v/>
      </c>
      <c r="AE97" s="11" t="s">
        <v>794</v>
      </c>
      <c r="AF97" s="11" t="str">
        <f t="shared" si="8"/>
        <v/>
      </c>
      <c r="AG97" s="11" t="str">
        <f t="shared" si="9"/>
        <v/>
      </c>
      <c r="AH97" s="11" t="str">
        <f t="shared" si="15"/>
        <v/>
      </c>
      <c r="AI97" s="11" t="str">
        <f t="shared" si="10"/>
        <v/>
      </c>
      <c r="AJ97" s="11" t="str">
        <f t="shared" si="11"/>
        <v/>
      </c>
      <c r="AK97" s="11" t="str">
        <f t="shared" si="12"/>
        <v/>
      </c>
      <c r="AN97" s="11" t="s">
        <v>788</v>
      </c>
      <c r="AO97" s="11" t="s">
        <v>795</v>
      </c>
    </row>
    <row r="98" spans="1:41" ht="47.25">
      <c r="A98" s="11">
        <v>92</v>
      </c>
      <c r="B98" s="11" t="s">
        <v>692</v>
      </c>
      <c r="C98" s="11" t="s">
        <v>885</v>
      </c>
      <c r="D98" s="32"/>
      <c r="E98" s="11" t="s">
        <v>4</v>
      </c>
      <c r="F98" s="11">
        <v>3</v>
      </c>
      <c r="G98" s="11">
        <v>3</v>
      </c>
      <c r="H98" s="11">
        <f>A97</f>
        <v>91</v>
      </c>
      <c r="I98" s="11"/>
      <c r="J98" s="11"/>
      <c r="K98" s="11"/>
      <c r="L98" s="11"/>
      <c r="M98" s="11" t="s">
        <v>694</v>
      </c>
      <c r="N98" s="11" t="s">
        <v>748</v>
      </c>
      <c r="O98" s="11" t="s">
        <v>791</v>
      </c>
      <c r="P98" s="11" t="s">
        <v>791</v>
      </c>
      <c r="Q98" s="11" t="s">
        <v>792</v>
      </c>
      <c r="R98" s="11" t="str">
        <f t="shared" si="57"/>
        <v/>
      </c>
      <c r="S98" s="11" t="str">
        <f t="shared" si="58"/>
        <v/>
      </c>
      <c r="T98" s="11" t="str">
        <f t="shared" si="59"/>
        <v/>
      </c>
      <c r="U98" s="11" t="str">
        <f t="shared" si="60"/>
        <v/>
      </c>
      <c r="V98" s="11" t="str">
        <f t="shared" si="61"/>
        <v/>
      </c>
      <c r="W98" s="11" t="str">
        <f t="shared" si="72"/>
        <v/>
      </c>
      <c r="X98" s="11" t="s">
        <v>741</v>
      </c>
      <c r="Y98" s="11" t="str">
        <f>HLOOKUP($X98,Tables_Cat!$B$6:$P$7,2,FALSE)</f>
        <v>Material</v>
      </c>
      <c r="Z98" s="24" t="s">
        <v>700</v>
      </c>
      <c r="AA98" s="11" t="s">
        <v>751</v>
      </c>
      <c r="AB98" s="13" t="str">
        <f t="shared" si="14"/>
        <v/>
      </c>
      <c r="AC98" s="11" t="s">
        <v>702</v>
      </c>
      <c r="AD98" s="11" t="str">
        <f t="shared" si="7"/>
        <v/>
      </c>
      <c r="AE98" s="11" t="s">
        <v>794</v>
      </c>
      <c r="AF98" s="11" t="str">
        <f t="shared" si="8"/>
        <v/>
      </c>
      <c r="AG98" s="11" t="str">
        <f t="shared" si="9"/>
        <v/>
      </c>
      <c r="AH98" s="11" t="str">
        <f t="shared" si="15"/>
        <v/>
      </c>
      <c r="AI98" s="11" t="str">
        <f t="shared" si="10"/>
        <v/>
      </c>
      <c r="AJ98" s="11" t="str">
        <f t="shared" si="11"/>
        <v/>
      </c>
      <c r="AK98" s="11" t="str">
        <f t="shared" si="12"/>
        <v/>
      </c>
      <c r="AN98" s="11" t="s">
        <v>788</v>
      </c>
      <c r="AO98" s="11" t="s">
        <v>789</v>
      </c>
    </row>
    <row r="99" spans="1:41" ht="47.25">
      <c r="A99" s="11">
        <v>93</v>
      </c>
      <c r="B99" s="11" t="s">
        <v>692</v>
      </c>
      <c r="C99" s="11" t="s">
        <v>886</v>
      </c>
      <c r="D99" s="32"/>
      <c r="E99" s="11" t="str">
        <f t="shared" ref="E99" si="76">IF(D99="","Select ...")</f>
        <v>Select ...</v>
      </c>
      <c r="F99" s="11">
        <v>3</v>
      </c>
      <c r="G99" s="11">
        <v>3</v>
      </c>
      <c r="H99" s="11">
        <f>A91</f>
        <v>85</v>
      </c>
      <c r="I99" s="11">
        <f>A97</f>
        <v>91</v>
      </c>
      <c r="J99" s="11"/>
      <c r="K99" s="11"/>
      <c r="L99" s="11"/>
      <c r="M99" s="11" t="s">
        <v>694</v>
      </c>
      <c r="N99" s="11" t="s">
        <v>769</v>
      </c>
      <c r="O99" s="11" t="s">
        <v>791</v>
      </c>
      <c r="P99" s="11" t="s">
        <v>800</v>
      </c>
      <c r="Q99" s="11" t="s">
        <v>770</v>
      </c>
      <c r="R99" s="11" t="str">
        <f t="shared" si="57"/>
        <v/>
      </c>
      <c r="S99" s="11" t="str">
        <f t="shared" si="58"/>
        <v/>
      </c>
      <c r="T99" s="11" t="str">
        <f t="shared" si="59"/>
        <v/>
      </c>
      <c r="U99" s="11" t="str">
        <f t="shared" si="60"/>
        <v/>
      </c>
      <c r="V99" s="11" t="str">
        <f t="shared" si="61"/>
        <v/>
      </c>
      <c r="W99" s="11" t="str">
        <f t="shared" si="72"/>
        <v/>
      </c>
      <c r="X99" s="11" t="s">
        <v>801</v>
      </c>
      <c r="Y99" s="11" t="str">
        <f>HLOOKUP($X99,Tables_Cat!$B$6:$P$7,2,FALSE)</f>
        <v>Material</v>
      </c>
      <c r="Z99" s="24" t="s">
        <v>700</v>
      </c>
      <c r="AA99" s="11" t="s">
        <v>728</v>
      </c>
      <c r="AB99" s="13" t="str">
        <f t="shared" si="14"/>
        <v/>
      </c>
      <c r="AC99" s="11" t="s">
        <v>702</v>
      </c>
      <c r="AD99" s="11" t="str">
        <f t="shared" si="7"/>
        <v/>
      </c>
      <c r="AE99" s="11" t="s">
        <v>772</v>
      </c>
      <c r="AF99" s="11" t="str">
        <f t="shared" si="8"/>
        <v/>
      </c>
      <c r="AG99" s="11" t="str">
        <f t="shared" si="9"/>
        <v/>
      </c>
      <c r="AH99" s="11" t="str">
        <f t="shared" si="15"/>
        <v/>
      </c>
      <c r="AI99" s="11" t="str">
        <f t="shared" si="10"/>
        <v/>
      </c>
      <c r="AJ99" s="11" t="str">
        <f t="shared" si="11"/>
        <v/>
      </c>
      <c r="AK99" s="11" t="str">
        <f t="shared" si="12"/>
        <v/>
      </c>
      <c r="AN99" s="11" t="s">
        <v>800</v>
      </c>
      <c r="AO99" s="11" t="s">
        <v>795</v>
      </c>
    </row>
    <row r="100" spans="1:41" ht="47.25">
      <c r="A100" s="11">
        <v>94</v>
      </c>
      <c r="B100" s="11" t="s">
        <v>865</v>
      </c>
      <c r="C100" s="11" t="s">
        <v>887</v>
      </c>
      <c r="D100" s="32"/>
      <c r="E100" s="11" t="str">
        <f t="shared" si="37"/>
        <v>Select ...</v>
      </c>
      <c r="F100" s="11">
        <v>1</v>
      </c>
      <c r="G100" s="11">
        <v>1</v>
      </c>
      <c r="H100" s="11">
        <f>A90</f>
        <v>84</v>
      </c>
      <c r="I100" s="11"/>
      <c r="J100" s="11"/>
      <c r="K100" s="11"/>
      <c r="L100" s="11"/>
      <c r="M100" s="11" t="s">
        <v>694</v>
      </c>
      <c r="N100" s="11" t="s">
        <v>769</v>
      </c>
      <c r="O100" s="11" t="s">
        <v>696</v>
      </c>
      <c r="P100" s="11" t="s">
        <v>888</v>
      </c>
      <c r="Q100" s="11" t="s">
        <v>770</v>
      </c>
      <c r="R100" s="11" t="str">
        <f t="shared" si="57"/>
        <v/>
      </c>
      <c r="S100" s="11" t="str">
        <f t="shared" si="58"/>
        <v/>
      </c>
      <c r="T100" s="11" t="str">
        <f t="shared" si="59"/>
        <v/>
      </c>
      <c r="U100" s="11" t="str">
        <f t="shared" si="60"/>
        <v/>
      </c>
      <c r="V100" s="11" t="str">
        <f t="shared" si="61"/>
        <v/>
      </c>
      <c r="W100" s="11" t="str">
        <f t="shared" si="29"/>
        <v/>
      </c>
      <c r="X100" s="11" t="s">
        <v>741</v>
      </c>
      <c r="Y100" s="11" t="str">
        <f>HLOOKUP($X100,Tables_Cat!$B$6:$P$7,2,FALSE)</f>
        <v>Material</v>
      </c>
      <c r="Z100" s="24" t="s">
        <v>869</v>
      </c>
      <c r="AA100" s="11" t="s">
        <v>765</v>
      </c>
      <c r="AB100" s="13" t="str">
        <f t="shared" si="14"/>
        <v/>
      </c>
      <c r="AC100" s="11" t="s">
        <v>702</v>
      </c>
      <c r="AD100" s="11" t="str">
        <f t="shared" si="7"/>
        <v/>
      </c>
      <c r="AE100" s="11" t="s">
        <v>772</v>
      </c>
      <c r="AF100" s="11" t="str">
        <f t="shared" si="8"/>
        <v/>
      </c>
      <c r="AG100" s="11" t="str">
        <f t="shared" si="9"/>
        <v/>
      </c>
      <c r="AH100" s="11" t="str">
        <f t="shared" si="15"/>
        <v/>
      </c>
      <c r="AI100" s="11" t="str">
        <f t="shared" si="10"/>
        <v/>
      </c>
      <c r="AJ100" s="11" t="str">
        <f t="shared" si="11"/>
        <v/>
      </c>
      <c r="AK100" s="11" t="str">
        <f t="shared" si="12"/>
        <v/>
      </c>
      <c r="AN100" s="11" t="s">
        <v>871</v>
      </c>
      <c r="AO100" s="11" t="s">
        <v>889</v>
      </c>
    </row>
    <row r="101" spans="1:41" ht="47.25">
      <c r="A101" s="11">
        <v>95</v>
      </c>
      <c r="B101" s="11" t="s">
        <v>865</v>
      </c>
      <c r="C101" s="11" t="s">
        <v>890</v>
      </c>
      <c r="D101" s="32"/>
      <c r="E101" s="11" t="str">
        <f t="shared" ref="E101" si="77">IF(D101="","Select ...")</f>
        <v>Select ...</v>
      </c>
      <c r="F101" s="11">
        <v>1</v>
      </c>
      <c r="G101" s="11">
        <v>1</v>
      </c>
      <c r="H101" s="11">
        <f>A100</f>
        <v>94</v>
      </c>
      <c r="I101" s="11"/>
      <c r="J101" s="11"/>
      <c r="K101" s="11"/>
      <c r="L101" s="11"/>
      <c r="M101" s="11" t="s">
        <v>694</v>
      </c>
      <c r="N101" s="11" t="s">
        <v>769</v>
      </c>
      <c r="O101" s="11" t="s">
        <v>696</v>
      </c>
      <c r="P101" s="11" t="s">
        <v>888</v>
      </c>
      <c r="Q101" s="11" t="s">
        <v>770</v>
      </c>
      <c r="R101" s="11" t="str">
        <f t="shared" si="57"/>
        <v/>
      </c>
      <c r="S101" s="11" t="str">
        <f t="shared" si="58"/>
        <v/>
      </c>
      <c r="T101" s="11" t="str">
        <f t="shared" si="59"/>
        <v/>
      </c>
      <c r="U101" s="11" t="str">
        <f t="shared" si="60"/>
        <v/>
      </c>
      <c r="V101" s="11" t="str">
        <f t="shared" si="61"/>
        <v/>
      </c>
      <c r="W101" s="11" t="str">
        <f t="shared" ref="W101" si="78">IF($E101="Yes",MAX(R101:V101),"")</f>
        <v/>
      </c>
      <c r="X101" s="11" t="s">
        <v>741</v>
      </c>
      <c r="Y101" s="11" t="str">
        <f>HLOOKUP($X101,Tables_Cat!$B$6:$P$7,2,FALSE)</f>
        <v>Material</v>
      </c>
      <c r="Z101" s="24" t="s">
        <v>869</v>
      </c>
      <c r="AA101" s="11" t="s">
        <v>765</v>
      </c>
      <c r="AB101" s="13" t="str">
        <f t="shared" si="14"/>
        <v/>
      </c>
      <c r="AC101" s="11" t="s">
        <v>702</v>
      </c>
      <c r="AD101" s="11" t="str">
        <f t="shared" si="7"/>
        <v/>
      </c>
      <c r="AE101" s="11" t="s">
        <v>772</v>
      </c>
      <c r="AF101" s="11" t="str">
        <f t="shared" si="8"/>
        <v/>
      </c>
      <c r="AG101" s="11" t="str">
        <f t="shared" si="9"/>
        <v/>
      </c>
      <c r="AH101" s="11" t="str">
        <f t="shared" si="15"/>
        <v/>
      </c>
      <c r="AI101" s="11" t="str">
        <f t="shared" si="10"/>
        <v/>
      </c>
      <c r="AJ101" s="11" t="str">
        <f t="shared" si="11"/>
        <v/>
      </c>
      <c r="AK101" s="11" t="str">
        <f t="shared" si="12"/>
        <v/>
      </c>
      <c r="AN101" s="11" t="s">
        <v>891</v>
      </c>
      <c r="AO101" s="11" t="s">
        <v>889</v>
      </c>
    </row>
    <row r="102" spans="1:41" ht="47.25">
      <c r="A102" s="11">
        <v>96</v>
      </c>
      <c r="B102" s="11" t="s">
        <v>865</v>
      </c>
      <c r="C102" s="11" t="s">
        <v>892</v>
      </c>
      <c r="D102" s="32"/>
      <c r="E102" s="11" t="str">
        <f t="shared" si="37"/>
        <v>Select ...</v>
      </c>
      <c r="F102" s="11">
        <v>1</v>
      </c>
      <c r="G102" s="11">
        <v>1</v>
      </c>
      <c r="H102" s="11">
        <f>A90</f>
        <v>84</v>
      </c>
      <c r="I102" s="11"/>
      <c r="J102" s="11"/>
      <c r="K102" s="11"/>
      <c r="L102" s="11"/>
      <c r="M102" s="11" t="s">
        <v>694</v>
      </c>
      <c r="N102" s="11" t="s">
        <v>769</v>
      </c>
      <c r="O102" s="11" t="s">
        <v>696</v>
      </c>
      <c r="P102" s="11" t="s">
        <v>888</v>
      </c>
      <c r="Q102" s="11" t="s">
        <v>770</v>
      </c>
      <c r="R102" s="11" t="str">
        <f t="shared" si="57"/>
        <v/>
      </c>
      <c r="S102" s="11" t="str">
        <f t="shared" si="58"/>
        <v/>
      </c>
      <c r="T102" s="11" t="str">
        <f t="shared" si="59"/>
        <v/>
      </c>
      <c r="U102" s="11" t="str">
        <f t="shared" si="60"/>
        <v/>
      </c>
      <c r="V102" s="11" t="str">
        <f t="shared" si="61"/>
        <v/>
      </c>
      <c r="W102" s="11" t="str">
        <f t="shared" si="29"/>
        <v/>
      </c>
      <c r="X102" s="11" t="s">
        <v>741</v>
      </c>
      <c r="Y102" s="11" t="str">
        <f>HLOOKUP($X102,Tables_Cat!$B$6:$P$7,2,FALSE)</f>
        <v>Material</v>
      </c>
      <c r="Z102" s="24" t="s">
        <v>869</v>
      </c>
      <c r="AA102" s="11" t="s">
        <v>765</v>
      </c>
      <c r="AB102" s="13" t="str">
        <f t="shared" si="14"/>
        <v/>
      </c>
      <c r="AC102" s="11" t="s">
        <v>702</v>
      </c>
      <c r="AD102" s="11" t="str">
        <f t="shared" si="7"/>
        <v/>
      </c>
      <c r="AE102" s="11" t="s">
        <v>772</v>
      </c>
      <c r="AF102" s="11" t="str">
        <f t="shared" si="8"/>
        <v/>
      </c>
      <c r="AG102" s="11" t="str">
        <f t="shared" si="9"/>
        <v/>
      </c>
      <c r="AH102" s="11" t="str">
        <f t="shared" si="15"/>
        <v/>
      </c>
      <c r="AI102" s="11" t="str">
        <f t="shared" si="10"/>
        <v/>
      </c>
      <c r="AJ102" s="11" t="str">
        <f t="shared" si="11"/>
        <v/>
      </c>
      <c r="AK102" s="11" t="str">
        <f t="shared" si="12"/>
        <v/>
      </c>
      <c r="AN102" s="11" t="s">
        <v>871</v>
      </c>
      <c r="AO102" s="11" t="s">
        <v>889</v>
      </c>
    </row>
    <row r="103" spans="1:41" ht="47.25">
      <c r="A103" s="11">
        <v>97</v>
      </c>
      <c r="B103" s="11" t="s">
        <v>865</v>
      </c>
      <c r="C103" s="11" t="s">
        <v>893</v>
      </c>
      <c r="D103" s="32"/>
      <c r="E103" s="11" t="str">
        <f t="shared" si="37"/>
        <v>Select ...</v>
      </c>
      <c r="F103" s="11">
        <v>1</v>
      </c>
      <c r="G103" s="11">
        <v>1</v>
      </c>
      <c r="H103" s="11">
        <f>A90</f>
        <v>84</v>
      </c>
      <c r="I103" s="11"/>
      <c r="J103" s="11"/>
      <c r="K103" s="11"/>
      <c r="L103" s="11"/>
      <c r="M103" s="11" t="s">
        <v>694</v>
      </c>
      <c r="N103" s="11" t="s">
        <v>769</v>
      </c>
      <c r="O103" s="11" t="s">
        <v>696</v>
      </c>
      <c r="P103" s="11" t="s">
        <v>888</v>
      </c>
      <c r="Q103" s="11" t="s">
        <v>770</v>
      </c>
      <c r="R103" s="11" t="str">
        <f t="shared" si="57"/>
        <v/>
      </c>
      <c r="S103" s="11" t="str">
        <f t="shared" si="58"/>
        <v/>
      </c>
      <c r="T103" s="11" t="str">
        <f t="shared" si="59"/>
        <v/>
      </c>
      <c r="U103" s="11" t="str">
        <f t="shared" si="60"/>
        <v/>
      </c>
      <c r="V103" s="11" t="str">
        <f t="shared" si="61"/>
        <v/>
      </c>
      <c r="W103" s="11" t="str">
        <f t="shared" si="29"/>
        <v/>
      </c>
      <c r="X103" s="11" t="s">
        <v>741</v>
      </c>
      <c r="Y103" s="11" t="str">
        <f>HLOOKUP($X103,Tables_Cat!$B$6:$P$7,2,FALSE)</f>
        <v>Material</v>
      </c>
      <c r="Z103" s="24" t="s">
        <v>869</v>
      </c>
      <c r="AA103" s="11" t="s">
        <v>765</v>
      </c>
      <c r="AB103" s="13" t="str">
        <f t="shared" si="14"/>
        <v/>
      </c>
      <c r="AC103" s="11" t="s">
        <v>702</v>
      </c>
      <c r="AD103" s="11" t="str">
        <f t="shared" ref="AD103:AD217" si="79">IF($E103="Yes",$AB103+$AI103,"")</f>
        <v/>
      </c>
      <c r="AE103" s="11" t="s">
        <v>772</v>
      </c>
      <c r="AF103" s="11" t="str">
        <f t="shared" ref="AF103:AF217" si="80">IF($E103="Yes",$F103*$W103,"")</f>
        <v/>
      </c>
      <c r="AG103" s="11" t="str">
        <f t="shared" ref="AG103:AG217" si="81">IF($E103="Yes",$F103*$W103^2,"")</f>
        <v/>
      </c>
      <c r="AH103" s="11" t="str">
        <f t="shared" si="15"/>
        <v/>
      </c>
      <c r="AI103" s="11" t="str">
        <f t="shared" ref="AI103:AI208" si="82">IF(AND($E103="Yes",$Z103&lt;&gt;"Not applicable"),IF($Z103="Manual/ None",0,IF($Z103="Other",2,4)),"")</f>
        <v/>
      </c>
      <c r="AJ103" s="11" t="str">
        <f t="shared" ref="AJ103:AJ217" si="83">IF($E103="Yes",$G103*$W103,"")</f>
        <v/>
      </c>
      <c r="AK103" s="11" t="str">
        <f t="shared" ref="AK103:AK217" si="84">IF($E103="Yes",$G103*$W103^2,"")</f>
        <v/>
      </c>
      <c r="AN103" s="11" t="s">
        <v>871</v>
      </c>
      <c r="AO103" s="11" t="s">
        <v>889</v>
      </c>
    </row>
    <row r="104" spans="1:41" ht="47.25">
      <c r="A104" s="11">
        <v>98</v>
      </c>
      <c r="B104" s="11" t="s">
        <v>865</v>
      </c>
      <c r="C104" s="11" t="s">
        <v>894</v>
      </c>
      <c r="D104" s="32"/>
      <c r="E104" s="11" t="s">
        <v>3</v>
      </c>
      <c r="F104" s="11">
        <v>1</v>
      </c>
      <c r="G104" s="11">
        <v>1</v>
      </c>
      <c r="H104" s="11">
        <f>A8</f>
        <v>2</v>
      </c>
      <c r="I104" s="11">
        <f>A10</f>
        <v>4</v>
      </c>
      <c r="J104" s="11"/>
      <c r="K104" s="11"/>
      <c r="L104" s="11"/>
      <c r="M104" s="11" t="s">
        <v>694</v>
      </c>
      <c r="N104" s="11" t="s">
        <v>735</v>
      </c>
      <c r="O104" s="11" t="s">
        <v>696</v>
      </c>
      <c r="P104" s="11" t="s">
        <v>888</v>
      </c>
      <c r="Q104" s="11" t="s">
        <v>770</v>
      </c>
      <c r="R104" s="11">
        <f t="shared" si="57"/>
        <v>8</v>
      </c>
      <c r="S104" s="11">
        <f t="shared" si="58"/>
        <v>7</v>
      </c>
      <c r="T104" s="11" t="str">
        <f t="shared" si="59"/>
        <v/>
      </c>
      <c r="U104" s="11" t="str">
        <f t="shared" si="60"/>
        <v/>
      </c>
      <c r="V104" s="11" t="str">
        <f t="shared" si="61"/>
        <v/>
      </c>
      <c r="W104" s="11">
        <f t="shared" si="29"/>
        <v>8</v>
      </c>
      <c r="X104" s="11" t="s">
        <v>741</v>
      </c>
      <c r="Y104" s="11" t="str">
        <f>HLOOKUP($X104,Tables_Cat!$B$6:$P$7,2,FALSE)</f>
        <v>Material</v>
      </c>
      <c r="Z104" s="24" t="s">
        <v>869</v>
      </c>
      <c r="AA104" s="11" t="s">
        <v>765</v>
      </c>
      <c r="AB104" s="13">
        <f t="shared" ref="AB104:AB218" si="85">IF($E104="Yes",($F104-$G104)/$F104,"")</f>
        <v>0</v>
      </c>
      <c r="AC104" s="11" t="s">
        <v>702</v>
      </c>
      <c r="AD104" s="11">
        <f t="shared" si="79"/>
        <v>4</v>
      </c>
      <c r="AE104" s="11" t="s">
        <v>772</v>
      </c>
      <c r="AF104" s="11">
        <f t="shared" si="80"/>
        <v>8</v>
      </c>
      <c r="AG104" s="11">
        <f t="shared" si="81"/>
        <v>64</v>
      </c>
      <c r="AH104" s="11">
        <f t="shared" ref="AH104:AH218" si="86">IF($E104="Yes",IF($AA104="Engineer",5,IF($AA104="Implement",4,IF($AA104="Manage",3,IF($AA104="Validate",2,1)))),"")</f>
        <v>5</v>
      </c>
      <c r="AI104" s="11">
        <f t="shared" si="82"/>
        <v>4</v>
      </c>
      <c r="AJ104" s="11">
        <f t="shared" si="83"/>
        <v>8</v>
      </c>
      <c r="AK104" s="11">
        <f t="shared" si="84"/>
        <v>64</v>
      </c>
      <c r="AN104" s="11" t="s">
        <v>879</v>
      </c>
      <c r="AO104" s="11" t="s">
        <v>895</v>
      </c>
    </row>
    <row r="105" spans="1:41" ht="47.25">
      <c r="A105" s="11">
        <v>99</v>
      </c>
      <c r="B105" s="11" t="s">
        <v>865</v>
      </c>
      <c r="C105" s="11" t="s">
        <v>896</v>
      </c>
      <c r="D105" s="32"/>
      <c r="E105" s="11" t="str">
        <f t="shared" si="37"/>
        <v>Select ...</v>
      </c>
      <c r="F105" s="11">
        <v>1</v>
      </c>
      <c r="G105" s="11">
        <v>1</v>
      </c>
      <c r="H105" s="11">
        <f>A90</f>
        <v>84</v>
      </c>
      <c r="I105" s="11"/>
      <c r="J105" s="11"/>
      <c r="K105" s="11"/>
      <c r="L105" s="11"/>
      <c r="M105" s="11" t="s">
        <v>694</v>
      </c>
      <c r="N105" s="11" t="s">
        <v>735</v>
      </c>
      <c r="O105" s="11" t="s">
        <v>696</v>
      </c>
      <c r="P105" s="11" t="s">
        <v>888</v>
      </c>
      <c r="Q105" s="11" t="s">
        <v>770</v>
      </c>
      <c r="R105" s="11" t="str">
        <f t="shared" si="57"/>
        <v/>
      </c>
      <c r="S105" s="11" t="str">
        <f t="shared" si="58"/>
        <v/>
      </c>
      <c r="T105" s="11" t="str">
        <f t="shared" si="59"/>
        <v/>
      </c>
      <c r="U105" s="11" t="str">
        <f t="shared" si="60"/>
        <v/>
      </c>
      <c r="V105" s="11" t="str">
        <f t="shared" si="61"/>
        <v/>
      </c>
      <c r="W105" s="11" t="str">
        <f t="shared" si="29"/>
        <v/>
      </c>
      <c r="X105" s="11" t="s">
        <v>741</v>
      </c>
      <c r="Y105" s="11" t="str">
        <f>HLOOKUP($X105,Tables_Cat!$B$6:$P$7,2,FALSE)</f>
        <v>Material</v>
      </c>
      <c r="Z105" s="24" t="s">
        <v>869</v>
      </c>
      <c r="AA105" s="11" t="s">
        <v>765</v>
      </c>
      <c r="AB105" s="13" t="str">
        <f t="shared" si="85"/>
        <v/>
      </c>
      <c r="AC105" s="11" t="s">
        <v>702</v>
      </c>
      <c r="AD105" s="11" t="str">
        <f t="shared" si="79"/>
        <v/>
      </c>
      <c r="AE105" s="11" t="s">
        <v>772</v>
      </c>
      <c r="AF105" s="11" t="str">
        <f t="shared" si="80"/>
        <v/>
      </c>
      <c r="AG105" s="11" t="str">
        <f t="shared" si="81"/>
        <v/>
      </c>
      <c r="AH105" s="11" t="str">
        <f t="shared" si="86"/>
        <v/>
      </c>
      <c r="AI105" s="11" t="str">
        <f t="shared" si="82"/>
        <v/>
      </c>
      <c r="AJ105" s="11" t="str">
        <f t="shared" si="83"/>
        <v/>
      </c>
      <c r="AK105" s="11" t="str">
        <f t="shared" si="84"/>
        <v/>
      </c>
      <c r="AN105" s="11" t="s">
        <v>879</v>
      </c>
      <c r="AO105" s="11" t="s">
        <v>895</v>
      </c>
    </row>
    <row r="106" spans="1:41" ht="47.25">
      <c r="A106" s="11">
        <v>100</v>
      </c>
      <c r="B106" s="11" t="s">
        <v>865</v>
      </c>
      <c r="C106" s="11" t="s">
        <v>897</v>
      </c>
      <c r="D106" s="32"/>
      <c r="E106" s="11" t="s">
        <v>4</v>
      </c>
      <c r="F106" s="11">
        <v>0.5</v>
      </c>
      <c r="G106" s="11">
        <v>0.5</v>
      </c>
      <c r="H106" s="11">
        <f>A104</f>
        <v>98</v>
      </c>
      <c r="I106" s="11"/>
      <c r="J106" s="11"/>
      <c r="K106" s="11"/>
      <c r="L106" s="11"/>
      <c r="M106" s="11" t="s">
        <v>694</v>
      </c>
      <c r="N106" s="11" t="s">
        <v>763</v>
      </c>
      <c r="O106" s="11" t="s">
        <v>696</v>
      </c>
      <c r="P106" s="11" t="s">
        <v>888</v>
      </c>
      <c r="Q106" s="11" t="s">
        <v>770</v>
      </c>
      <c r="R106" s="11" t="str">
        <f t="shared" si="57"/>
        <v/>
      </c>
      <c r="S106" s="11" t="str">
        <f t="shared" si="58"/>
        <v/>
      </c>
      <c r="T106" s="11" t="str">
        <f t="shared" si="59"/>
        <v/>
      </c>
      <c r="U106" s="11" t="str">
        <f t="shared" si="60"/>
        <v/>
      </c>
      <c r="V106" s="11" t="str">
        <f t="shared" si="61"/>
        <v/>
      </c>
      <c r="W106" s="11" t="str">
        <f t="shared" si="29"/>
        <v/>
      </c>
      <c r="X106" s="11" t="s">
        <v>741</v>
      </c>
      <c r="Y106" s="11" t="str">
        <f>HLOOKUP($X106,Tables_Cat!$B$6:$P$7,2,FALSE)</f>
        <v>Material</v>
      </c>
      <c r="Z106" s="24" t="s">
        <v>869</v>
      </c>
      <c r="AA106" s="11" t="s">
        <v>765</v>
      </c>
      <c r="AB106" s="13" t="str">
        <f t="shared" si="85"/>
        <v/>
      </c>
      <c r="AC106" s="11" t="s">
        <v>702</v>
      </c>
      <c r="AD106" s="11" t="str">
        <f t="shared" si="79"/>
        <v/>
      </c>
      <c r="AE106" s="11" t="s">
        <v>772</v>
      </c>
      <c r="AF106" s="11" t="str">
        <f t="shared" si="80"/>
        <v/>
      </c>
      <c r="AG106" s="11" t="str">
        <f t="shared" si="81"/>
        <v/>
      </c>
      <c r="AH106" s="11" t="str">
        <f t="shared" si="86"/>
        <v/>
      </c>
      <c r="AI106" s="11" t="str">
        <f t="shared" si="82"/>
        <v/>
      </c>
      <c r="AJ106" s="11" t="str">
        <f t="shared" si="83"/>
        <v/>
      </c>
      <c r="AK106" s="11" t="str">
        <f t="shared" si="84"/>
        <v/>
      </c>
      <c r="AN106" s="11" t="s">
        <v>879</v>
      </c>
      <c r="AO106" s="11" t="s">
        <v>895</v>
      </c>
    </row>
    <row r="107" spans="1:41" ht="47.25">
      <c r="A107" s="11">
        <v>101</v>
      </c>
      <c r="B107" s="11" t="s">
        <v>865</v>
      </c>
      <c r="C107" s="11" t="s">
        <v>898</v>
      </c>
      <c r="D107" s="32"/>
      <c r="E107" s="11" t="s">
        <v>4</v>
      </c>
      <c r="F107" s="11">
        <v>0.5</v>
      </c>
      <c r="G107" s="11">
        <v>0.5</v>
      </c>
      <c r="H107" s="11">
        <f>A104</f>
        <v>98</v>
      </c>
      <c r="I107" s="11"/>
      <c r="J107" s="11"/>
      <c r="K107" s="11"/>
      <c r="L107" s="11"/>
      <c r="M107" s="11" t="s">
        <v>694</v>
      </c>
      <c r="N107" s="11" t="s">
        <v>763</v>
      </c>
      <c r="O107" s="11" t="s">
        <v>696</v>
      </c>
      <c r="P107" s="11" t="s">
        <v>888</v>
      </c>
      <c r="Q107" s="11" t="s">
        <v>770</v>
      </c>
      <c r="R107" s="11" t="str">
        <f t="shared" si="57"/>
        <v/>
      </c>
      <c r="S107" s="11" t="str">
        <f t="shared" si="58"/>
        <v/>
      </c>
      <c r="T107" s="11" t="str">
        <f t="shared" si="59"/>
        <v/>
      </c>
      <c r="U107" s="11" t="str">
        <f t="shared" si="60"/>
        <v/>
      </c>
      <c r="V107" s="11" t="str">
        <f t="shared" si="61"/>
        <v/>
      </c>
      <c r="W107" s="11" t="str">
        <f t="shared" si="29"/>
        <v/>
      </c>
      <c r="X107" s="11" t="s">
        <v>741</v>
      </c>
      <c r="Y107" s="11" t="str">
        <f>HLOOKUP($X107,Tables_Cat!$B$6:$P$7,2,FALSE)</f>
        <v>Material</v>
      </c>
      <c r="Z107" s="24" t="s">
        <v>869</v>
      </c>
      <c r="AA107" s="11" t="s">
        <v>765</v>
      </c>
      <c r="AB107" s="13" t="str">
        <f t="shared" si="85"/>
        <v/>
      </c>
      <c r="AC107" s="11" t="s">
        <v>702</v>
      </c>
      <c r="AD107" s="11" t="str">
        <f t="shared" si="79"/>
        <v/>
      </c>
      <c r="AE107" s="11" t="s">
        <v>772</v>
      </c>
      <c r="AF107" s="11" t="str">
        <f t="shared" si="80"/>
        <v/>
      </c>
      <c r="AG107" s="11" t="str">
        <f t="shared" si="81"/>
        <v/>
      </c>
      <c r="AH107" s="11" t="str">
        <f t="shared" si="86"/>
        <v/>
      </c>
      <c r="AI107" s="11" t="str">
        <f t="shared" si="82"/>
        <v/>
      </c>
      <c r="AJ107" s="11" t="str">
        <f t="shared" si="83"/>
        <v/>
      </c>
      <c r="AK107" s="11" t="str">
        <f t="shared" si="84"/>
        <v/>
      </c>
      <c r="AN107" s="11" t="s">
        <v>879</v>
      </c>
      <c r="AO107" s="11" t="s">
        <v>895</v>
      </c>
    </row>
    <row r="108" spans="1:41" ht="47.25">
      <c r="A108" s="11">
        <v>102</v>
      </c>
      <c r="B108" s="11" t="s">
        <v>865</v>
      </c>
      <c r="C108" s="11" t="s">
        <v>899</v>
      </c>
      <c r="D108" s="32"/>
      <c r="E108" s="11" t="str">
        <f t="shared" si="37"/>
        <v>Select ...</v>
      </c>
      <c r="F108" s="11">
        <v>0.5</v>
      </c>
      <c r="G108" s="11">
        <v>0.5</v>
      </c>
      <c r="H108" s="11">
        <f>A104</f>
        <v>98</v>
      </c>
      <c r="I108" s="11"/>
      <c r="J108" s="11"/>
      <c r="K108" s="11"/>
      <c r="L108" s="11"/>
      <c r="M108" s="11" t="s">
        <v>694</v>
      </c>
      <c r="N108" s="11" t="s">
        <v>763</v>
      </c>
      <c r="O108" s="11" t="s">
        <v>696</v>
      </c>
      <c r="P108" s="11" t="s">
        <v>888</v>
      </c>
      <c r="Q108" s="11" t="s">
        <v>770</v>
      </c>
      <c r="R108" s="11" t="str">
        <f t="shared" si="57"/>
        <v/>
      </c>
      <c r="S108" s="11" t="str">
        <f t="shared" si="58"/>
        <v/>
      </c>
      <c r="T108" s="11" t="str">
        <f t="shared" si="59"/>
        <v/>
      </c>
      <c r="U108" s="11" t="str">
        <f t="shared" si="60"/>
        <v/>
      </c>
      <c r="V108" s="11" t="str">
        <f t="shared" si="61"/>
        <v/>
      </c>
      <c r="W108" s="11" t="str">
        <f t="shared" si="29"/>
        <v/>
      </c>
      <c r="X108" s="11" t="s">
        <v>741</v>
      </c>
      <c r="Y108" s="11" t="str">
        <f>HLOOKUP($X108,Tables_Cat!$B$6:$P$7,2,FALSE)</f>
        <v>Material</v>
      </c>
      <c r="Z108" s="24" t="s">
        <v>869</v>
      </c>
      <c r="AA108" s="11" t="s">
        <v>765</v>
      </c>
      <c r="AB108" s="13" t="str">
        <f t="shared" si="85"/>
        <v/>
      </c>
      <c r="AC108" s="11" t="s">
        <v>702</v>
      </c>
      <c r="AD108" s="11" t="str">
        <f t="shared" si="79"/>
        <v/>
      </c>
      <c r="AE108" s="11" t="s">
        <v>772</v>
      </c>
      <c r="AF108" s="11" t="str">
        <f t="shared" si="80"/>
        <v/>
      </c>
      <c r="AG108" s="11" t="str">
        <f t="shared" si="81"/>
        <v/>
      </c>
      <c r="AH108" s="11" t="str">
        <f t="shared" si="86"/>
        <v/>
      </c>
      <c r="AI108" s="11" t="str">
        <f t="shared" si="82"/>
        <v/>
      </c>
      <c r="AJ108" s="11" t="str">
        <f t="shared" si="83"/>
        <v/>
      </c>
      <c r="AK108" s="11" t="str">
        <f t="shared" si="84"/>
        <v/>
      </c>
      <c r="AN108" s="11" t="s">
        <v>879</v>
      </c>
      <c r="AO108" s="11" t="s">
        <v>895</v>
      </c>
    </row>
    <row r="109" spans="1:41" ht="47.25">
      <c r="A109" s="11">
        <v>103</v>
      </c>
      <c r="B109" s="11" t="s">
        <v>865</v>
      </c>
      <c r="C109" s="11" t="s">
        <v>900</v>
      </c>
      <c r="D109" s="32"/>
      <c r="E109" s="11" t="str">
        <f t="shared" si="37"/>
        <v>Select ...</v>
      </c>
      <c r="F109" s="11">
        <v>0.5</v>
      </c>
      <c r="G109" s="11">
        <v>0.5</v>
      </c>
      <c r="H109" s="11">
        <f>A104</f>
        <v>98</v>
      </c>
      <c r="I109" s="11"/>
      <c r="J109" s="11"/>
      <c r="K109" s="11"/>
      <c r="L109" s="11"/>
      <c r="M109" s="11" t="s">
        <v>694</v>
      </c>
      <c r="N109" s="11" t="s">
        <v>763</v>
      </c>
      <c r="O109" s="11" t="s">
        <v>696</v>
      </c>
      <c r="P109" s="11" t="s">
        <v>888</v>
      </c>
      <c r="Q109" s="11" t="s">
        <v>770</v>
      </c>
      <c r="R109" s="11" t="str">
        <f t="shared" si="57"/>
        <v/>
      </c>
      <c r="S109" s="11" t="str">
        <f t="shared" si="58"/>
        <v/>
      </c>
      <c r="T109" s="11" t="str">
        <f t="shared" si="59"/>
        <v/>
      </c>
      <c r="U109" s="11" t="str">
        <f t="shared" si="60"/>
        <v/>
      </c>
      <c r="V109" s="11" t="str">
        <f t="shared" si="61"/>
        <v/>
      </c>
      <c r="W109" s="11" t="str">
        <f t="shared" si="29"/>
        <v/>
      </c>
      <c r="X109" s="11" t="s">
        <v>741</v>
      </c>
      <c r="Y109" s="11" t="str">
        <f>HLOOKUP($X109,Tables_Cat!$B$6:$P$7,2,FALSE)</f>
        <v>Material</v>
      </c>
      <c r="Z109" s="24" t="s">
        <v>869</v>
      </c>
      <c r="AA109" s="11" t="s">
        <v>765</v>
      </c>
      <c r="AB109" s="13" t="str">
        <f t="shared" si="85"/>
        <v/>
      </c>
      <c r="AC109" s="11" t="s">
        <v>702</v>
      </c>
      <c r="AD109" s="11" t="str">
        <f t="shared" si="79"/>
        <v/>
      </c>
      <c r="AE109" s="11" t="s">
        <v>772</v>
      </c>
      <c r="AF109" s="11" t="str">
        <f t="shared" si="80"/>
        <v/>
      </c>
      <c r="AG109" s="11" t="str">
        <f t="shared" si="81"/>
        <v/>
      </c>
      <c r="AH109" s="11" t="str">
        <f t="shared" si="86"/>
        <v/>
      </c>
      <c r="AI109" s="11" t="str">
        <f t="shared" si="82"/>
        <v/>
      </c>
      <c r="AJ109" s="11" t="str">
        <f t="shared" si="83"/>
        <v/>
      </c>
      <c r="AK109" s="11" t="str">
        <f t="shared" si="84"/>
        <v/>
      </c>
      <c r="AN109" s="11" t="s">
        <v>879</v>
      </c>
      <c r="AO109" s="11" t="s">
        <v>895</v>
      </c>
    </row>
    <row r="110" spans="1:41" ht="31.5">
      <c r="A110" s="11">
        <v>104</v>
      </c>
      <c r="B110" s="11" t="s">
        <v>865</v>
      </c>
      <c r="C110" s="11" t="s">
        <v>901</v>
      </c>
      <c r="D110" s="32"/>
      <c r="E110" s="11" t="str">
        <f t="shared" si="37"/>
        <v>Select ...</v>
      </c>
      <c r="F110" s="11">
        <v>0.5</v>
      </c>
      <c r="G110" s="11">
        <v>0.5</v>
      </c>
      <c r="H110" s="11">
        <f>A90</f>
        <v>84</v>
      </c>
      <c r="I110" s="11"/>
      <c r="J110" s="11"/>
      <c r="K110" s="11"/>
      <c r="L110" s="11"/>
      <c r="M110" s="11" t="s">
        <v>694</v>
      </c>
      <c r="N110" s="11" t="s">
        <v>781</v>
      </c>
      <c r="O110" s="11" t="s">
        <v>696</v>
      </c>
      <c r="P110" s="11" t="s">
        <v>888</v>
      </c>
      <c r="Q110" s="11" t="s">
        <v>770</v>
      </c>
      <c r="R110" s="11" t="str">
        <f t="shared" si="57"/>
        <v/>
      </c>
      <c r="S110" s="11" t="str">
        <f t="shared" si="58"/>
        <v/>
      </c>
      <c r="T110" s="11" t="str">
        <f t="shared" si="59"/>
        <v/>
      </c>
      <c r="U110" s="11" t="str">
        <f t="shared" si="60"/>
        <v/>
      </c>
      <c r="V110" s="11" t="str">
        <f t="shared" si="61"/>
        <v/>
      </c>
      <c r="W110" s="11" t="str">
        <f t="shared" si="29"/>
        <v/>
      </c>
      <c r="X110" s="11" t="s">
        <v>741</v>
      </c>
      <c r="Y110" s="11" t="str">
        <f>HLOOKUP($X110,Tables_Cat!$B$6:$P$7,2,FALSE)</f>
        <v>Material</v>
      </c>
      <c r="Z110" s="24" t="s">
        <v>869</v>
      </c>
      <c r="AA110" s="11" t="s">
        <v>765</v>
      </c>
      <c r="AB110" s="13" t="str">
        <f t="shared" si="85"/>
        <v/>
      </c>
      <c r="AC110" s="11" t="s">
        <v>702</v>
      </c>
      <c r="AD110" s="11" t="str">
        <f t="shared" si="79"/>
        <v/>
      </c>
      <c r="AE110" s="11" t="s">
        <v>772</v>
      </c>
      <c r="AF110" s="11" t="str">
        <f t="shared" si="80"/>
        <v/>
      </c>
      <c r="AG110" s="11" t="str">
        <f t="shared" si="81"/>
        <v/>
      </c>
      <c r="AH110" s="11" t="str">
        <f t="shared" si="86"/>
        <v/>
      </c>
      <c r="AI110" s="11" t="str">
        <f t="shared" si="82"/>
        <v/>
      </c>
      <c r="AJ110" s="11" t="str">
        <f t="shared" si="83"/>
        <v/>
      </c>
      <c r="AK110" s="11" t="str">
        <f t="shared" si="84"/>
        <v/>
      </c>
      <c r="AN110" s="11" t="s">
        <v>778</v>
      </c>
      <c r="AO110" s="11" t="s">
        <v>872</v>
      </c>
    </row>
    <row r="111" spans="1:41" ht="47.25">
      <c r="A111" s="11">
        <v>105</v>
      </c>
      <c r="B111" s="11" t="s">
        <v>865</v>
      </c>
      <c r="C111" s="11" t="s">
        <v>902</v>
      </c>
      <c r="D111" s="32"/>
      <c r="E111" s="11" t="str">
        <f t="shared" si="37"/>
        <v>Select ...</v>
      </c>
      <c r="F111" s="11">
        <v>1</v>
      </c>
      <c r="G111" s="11">
        <v>1</v>
      </c>
      <c r="H111" s="11">
        <f>A106</f>
        <v>100</v>
      </c>
      <c r="I111" s="11"/>
      <c r="J111" s="11"/>
      <c r="K111" s="11"/>
      <c r="L111" s="11"/>
      <c r="M111" s="11" t="s">
        <v>694</v>
      </c>
      <c r="N111" s="11" t="s">
        <v>781</v>
      </c>
      <c r="O111" s="11" t="s">
        <v>696</v>
      </c>
      <c r="P111" s="11" t="s">
        <v>888</v>
      </c>
      <c r="Q111" s="11" t="s">
        <v>770</v>
      </c>
      <c r="R111" s="11" t="str">
        <f t="shared" si="57"/>
        <v/>
      </c>
      <c r="S111" s="11" t="str">
        <f t="shared" si="58"/>
        <v/>
      </c>
      <c r="T111" s="11" t="str">
        <f t="shared" si="59"/>
        <v/>
      </c>
      <c r="U111" s="11" t="str">
        <f t="shared" si="60"/>
        <v/>
      </c>
      <c r="V111" s="11" t="str">
        <f t="shared" si="61"/>
        <v/>
      </c>
      <c r="W111" s="11" t="str">
        <f t="shared" si="29"/>
        <v/>
      </c>
      <c r="X111" s="11" t="s">
        <v>741</v>
      </c>
      <c r="Y111" s="11" t="str">
        <f>HLOOKUP($X111,Tables_Cat!$B$6:$P$7,2,FALSE)</f>
        <v>Material</v>
      </c>
      <c r="Z111" s="24" t="s">
        <v>869</v>
      </c>
      <c r="AA111" s="11" t="s">
        <v>765</v>
      </c>
      <c r="AB111" s="13" t="str">
        <f t="shared" si="85"/>
        <v/>
      </c>
      <c r="AC111" s="11" t="s">
        <v>702</v>
      </c>
      <c r="AD111" s="11" t="str">
        <f t="shared" si="79"/>
        <v/>
      </c>
      <c r="AE111" s="11" t="s">
        <v>772</v>
      </c>
      <c r="AF111" s="11" t="str">
        <f t="shared" si="80"/>
        <v/>
      </c>
      <c r="AG111" s="11" t="str">
        <f t="shared" si="81"/>
        <v/>
      </c>
      <c r="AH111" s="11" t="str">
        <f t="shared" si="86"/>
        <v/>
      </c>
      <c r="AI111" s="11" t="str">
        <f t="shared" si="82"/>
        <v/>
      </c>
      <c r="AJ111" s="11" t="str">
        <f t="shared" si="83"/>
        <v/>
      </c>
      <c r="AK111" s="11" t="str">
        <f t="shared" si="84"/>
        <v/>
      </c>
      <c r="AN111" s="11" t="s">
        <v>778</v>
      </c>
      <c r="AO111" s="11" t="s">
        <v>872</v>
      </c>
    </row>
    <row r="112" spans="1:41" ht="31.5">
      <c r="A112" s="11">
        <v>106</v>
      </c>
      <c r="B112" s="11" t="s">
        <v>865</v>
      </c>
      <c r="C112" s="11" t="s">
        <v>903</v>
      </c>
      <c r="D112" s="32"/>
      <c r="E112" s="11" t="s">
        <v>3</v>
      </c>
      <c r="F112" s="11">
        <v>0.5</v>
      </c>
      <c r="G112" s="11">
        <v>0.5</v>
      </c>
      <c r="H112" s="11">
        <f>A104</f>
        <v>98</v>
      </c>
      <c r="I112" s="11"/>
      <c r="J112" s="11"/>
      <c r="K112" s="11"/>
      <c r="L112" s="11"/>
      <c r="M112" s="11" t="s">
        <v>694</v>
      </c>
      <c r="N112" s="11" t="s">
        <v>763</v>
      </c>
      <c r="O112" s="11" t="s">
        <v>696</v>
      </c>
      <c r="P112" s="11" t="s">
        <v>888</v>
      </c>
      <c r="Q112" s="11" t="s">
        <v>770</v>
      </c>
      <c r="R112" s="11">
        <f t="shared" si="57"/>
        <v>9</v>
      </c>
      <c r="S112" s="11" t="str">
        <f t="shared" si="58"/>
        <v/>
      </c>
      <c r="T112" s="11" t="str">
        <f t="shared" si="59"/>
        <v/>
      </c>
      <c r="U112" s="11" t="str">
        <f t="shared" si="60"/>
        <v/>
      </c>
      <c r="V112" s="11" t="str">
        <f t="shared" si="61"/>
        <v/>
      </c>
      <c r="W112" s="11">
        <f t="shared" si="29"/>
        <v>9</v>
      </c>
      <c r="X112" s="11" t="s">
        <v>741</v>
      </c>
      <c r="Y112" s="11" t="str">
        <f>HLOOKUP($X112,Tables_Cat!$B$6:$P$7,2,FALSE)</f>
        <v>Material</v>
      </c>
      <c r="Z112" s="24" t="s">
        <v>869</v>
      </c>
      <c r="AA112" s="11" t="s">
        <v>765</v>
      </c>
      <c r="AB112" s="13">
        <f t="shared" si="85"/>
        <v>0</v>
      </c>
      <c r="AC112" s="11" t="s">
        <v>702</v>
      </c>
      <c r="AD112" s="11">
        <f t="shared" si="79"/>
        <v>4</v>
      </c>
      <c r="AE112" s="11" t="s">
        <v>772</v>
      </c>
      <c r="AF112" s="11">
        <f t="shared" si="80"/>
        <v>4.5</v>
      </c>
      <c r="AG112" s="11">
        <f t="shared" si="81"/>
        <v>40.5</v>
      </c>
      <c r="AH112" s="11">
        <f t="shared" si="86"/>
        <v>5</v>
      </c>
      <c r="AI112" s="11">
        <f t="shared" si="82"/>
        <v>4</v>
      </c>
      <c r="AJ112" s="11">
        <f t="shared" si="83"/>
        <v>4.5</v>
      </c>
      <c r="AK112" s="11">
        <f t="shared" si="84"/>
        <v>40.5</v>
      </c>
      <c r="AN112" s="11" t="s">
        <v>904</v>
      </c>
      <c r="AO112" s="11" t="s">
        <v>872</v>
      </c>
    </row>
    <row r="113" spans="1:41" ht="31.5">
      <c r="A113" s="11">
        <v>107</v>
      </c>
      <c r="B113" s="11" t="s">
        <v>865</v>
      </c>
      <c r="C113" s="11" t="s">
        <v>905</v>
      </c>
      <c r="D113" s="32"/>
      <c r="E113" s="11" t="str">
        <f t="shared" si="37"/>
        <v>Select ...</v>
      </c>
      <c r="F113" s="11">
        <v>0.5</v>
      </c>
      <c r="G113" s="11">
        <v>0.5</v>
      </c>
      <c r="H113" s="11">
        <f>A105</f>
        <v>99</v>
      </c>
      <c r="I113" s="11"/>
      <c r="J113" s="11"/>
      <c r="K113" s="11"/>
      <c r="L113" s="11"/>
      <c r="M113" s="11" t="s">
        <v>694</v>
      </c>
      <c r="N113" s="11" t="s">
        <v>763</v>
      </c>
      <c r="O113" s="11" t="s">
        <v>696</v>
      </c>
      <c r="P113" s="11" t="s">
        <v>888</v>
      </c>
      <c r="Q113" s="11" t="s">
        <v>770</v>
      </c>
      <c r="R113" s="11" t="str">
        <f t="shared" si="57"/>
        <v/>
      </c>
      <c r="S113" s="11" t="str">
        <f t="shared" si="58"/>
        <v/>
      </c>
      <c r="T113" s="11" t="str">
        <f t="shared" si="59"/>
        <v/>
      </c>
      <c r="U113" s="11" t="str">
        <f t="shared" si="60"/>
        <v/>
      </c>
      <c r="V113" s="11" t="str">
        <f t="shared" si="61"/>
        <v/>
      </c>
      <c r="W113" s="11" t="str">
        <f t="shared" si="29"/>
        <v/>
      </c>
      <c r="X113" s="11" t="s">
        <v>741</v>
      </c>
      <c r="Y113" s="11" t="str">
        <f>HLOOKUP($X113,Tables_Cat!$B$6:$P$7,2,FALSE)</f>
        <v>Material</v>
      </c>
      <c r="Z113" s="24" t="s">
        <v>869</v>
      </c>
      <c r="AA113" s="11" t="s">
        <v>765</v>
      </c>
      <c r="AB113" s="13" t="str">
        <f t="shared" si="85"/>
        <v/>
      </c>
      <c r="AC113" s="11" t="s">
        <v>702</v>
      </c>
      <c r="AD113" s="11" t="str">
        <f t="shared" si="79"/>
        <v/>
      </c>
      <c r="AE113" s="11" t="s">
        <v>772</v>
      </c>
      <c r="AF113" s="11" t="str">
        <f t="shared" si="80"/>
        <v/>
      </c>
      <c r="AG113" s="11" t="str">
        <f t="shared" si="81"/>
        <v/>
      </c>
      <c r="AH113" s="11" t="str">
        <f t="shared" si="86"/>
        <v/>
      </c>
      <c r="AI113" s="11" t="str">
        <f t="shared" si="82"/>
        <v/>
      </c>
      <c r="AJ113" s="11" t="str">
        <f t="shared" si="83"/>
        <v/>
      </c>
      <c r="AK113" s="11" t="str">
        <f t="shared" si="84"/>
        <v/>
      </c>
      <c r="AN113" s="11" t="s">
        <v>904</v>
      </c>
      <c r="AO113" s="11" t="s">
        <v>872</v>
      </c>
    </row>
    <row r="114" spans="1:41" ht="47.25">
      <c r="A114" s="11">
        <v>108</v>
      </c>
      <c r="B114" s="11" t="s">
        <v>767</v>
      </c>
      <c r="C114" s="11" t="s">
        <v>906</v>
      </c>
      <c r="D114" s="32"/>
      <c r="E114" s="11" t="s">
        <v>4</v>
      </c>
      <c r="F114" s="11">
        <v>1.5</v>
      </c>
      <c r="G114" s="11">
        <v>1</v>
      </c>
      <c r="H114" s="11">
        <f>A113</f>
        <v>107</v>
      </c>
      <c r="I114" s="11"/>
      <c r="J114" s="11"/>
      <c r="K114" s="11"/>
      <c r="L114" s="11"/>
      <c r="M114" s="11" t="s">
        <v>694</v>
      </c>
      <c r="N114" s="11" t="s">
        <v>769</v>
      </c>
      <c r="O114" s="11" t="s">
        <v>464</v>
      </c>
      <c r="P114" s="11" t="s">
        <v>764</v>
      </c>
      <c r="Q114" s="11" t="s">
        <v>770</v>
      </c>
      <c r="R114" s="11" t="str">
        <f t="shared" si="57"/>
        <v/>
      </c>
      <c r="S114" s="11" t="str">
        <f t="shared" si="58"/>
        <v/>
      </c>
      <c r="T114" s="11" t="str">
        <f t="shared" si="59"/>
        <v/>
      </c>
      <c r="U114" s="11" t="str">
        <f t="shared" si="60"/>
        <v/>
      </c>
      <c r="V114" s="11" t="str">
        <f t="shared" si="61"/>
        <v/>
      </c>
      <c r="W114" s="11" t="str">
        <f t="shared" si="29"/>
        <v/>
      </c>
      <c r="X114" s="11" t="s">
        <v>771</v>
      </c>
      <c r="Y114" s="11" t="str">
        <f>HLOOKUP($X114,Tables_Cat!$B$6:$P$7,2,FALSE)</f>
        <v>Material</v>
      </c>
      <c r="Z114" s="24" t="s">
        <v>709</v>
      </c>
      <c r="AA114" s="11" t="s">
        <v>765</v>
      </c>
      <c r="AB114" s="13" t="str">
        <f t="shared" si="85"/>
        <v/>
      </c>
      <c r="AC114" s="11" t="s">
        <v>702</v>
      </c>
      <c r="AD114" s="11" t="str">
        <f t="shared" si="79"/>
        <v/>
      </c>
      <c r="AE114" s="11" t="s">
        <v>772</v>
      </c>
      <c r="AF114" s="11" t="str">
        <f t="shared" si="80"/>
        <v/>
      </c>
      <c r="AG114" s="11" t="str">
        <f t="shared" si="81"/>
        <v/>
      </c>
      <c r="AH114" s="11" t="str">
        <f t="shared" si="86"/>
        <v/>
      </c>
      <c r="AI114" s="11" t="str">
        <f t="shared" si="82"/>
        <v/>
      </c>
      <c r="AJ114" s="11" t="str">
        <f t="shared" si="83"/>
        <v/>
      </c>
      <c r="AK114" s="11" t="str">
        <f t="shared" si="84"/>
        <v/>
      </c>
      <c r="AN114" s="11" t="s">
        <v>92</v>
      </c>
      <c r="AO114" s="11" t="s">
        <v>766</v>
      </c>
    </row>
    <row r="115" spans="1:41" ht="47.25">
      <c r="A115" s="11">
        <v>109</v>
      </c>
      <c r="B115" s="11" t="s">
        <v>876</v>
      </c>
      <c r="C115" s="11" t="s">
        <v>907</v>
      </c>
      <c r="D115" s="32"/>
      <c r="E115" s="11" t="s">
        <v>4</v>
      </c>
      <c r="F115" s="11">
        <v>2</v>
      </c>
      <c r="G115" s="11">
        <v>2</v>
      </c>
      <c r="H115" s="11">
        <f>A37</f>
        <v>31</v>
      </c>
      <c r="I115" s="11"/>
      <c r="J115" s="11"/>
      <c r="K115" s="11"/>
      <c r="L115" s="11"/>
      <c r="M115" s="11" t="s">
        <v>750</v>
      </c>
      <c r="N115" s="11" t="s">
        <v>763</v>
      </c>
      <c r="O115" s="11" t="s">
        <v>908</v>
      </c>
      <c r="P115" s="11" t="s">
        <v>909</v>
      </c>
      <c r="Q115" s="11" t="s">
        <v>910</v>
      </c>
      <c r="R115" s="11" t="str">
        <f t="shared" si="57"/>
        <v/>
      </c>
      <c r="S115" s="11" t="str">
        <f t="shared" si="58"/>
        <v/>
      </c>
      <c r="T115" s="11" t="str">
        <f t="shared" si="59"/>
        <v/>
      </c>
      <c r="U115" s="11" t="str">
        <f t="shared" si="60"/>
        <v/>
      </c>
      <c r="V115" s="11" t="str">
        <f t="shared" si="61"/>
        <v/>
      </c>
      <c r="W115" s="11" t="str">
        <f t="shared" si="29"/>
        <v/>
      </c>
      <c r="X115" s="11" t="s">
        <v>911</v>
      </c>
      <c r="Y115" s="11" t="str">
        <f>HLOOKUP($X115,Tables_Cat!$B$6:$P$7,2,FALSE)</f>
        <v>Material</v>
      </c>
      <c r="Z115" s="24" t="s">
        <v>793</v>
      </c>
      <c r="AA115" s="11" t="s">
        <v>765</v>
      </c>
      <c r="AB115" s="13" t="str">
        <f t="shared" si="85"/>
        <v/>
      </c>
      <c r="AC115" s="11" t="s">
        <v>912</v>
      </c>
      <c r="AD115" s="11" t="str">
        <f t="shared" si="79"/>
        <v/>
      </c>
      <c r="AE115" s="11" t="s">
        <v>878</v>
      </c>
      <c r="AF115" s="11" t="str">
        <f t="shared" si="80"/>
        <v/>
      </c>
      <c r="AG115" s="11" t="str">
        <f t="shared" si="81"/>
        <v/>
      </c>
      <c r="AH115" s="11" t="str">
        <f t="shared" si="86"/>
        <v/>
      </c>
      <c r="AI115" s="11" t="str">
        <f t="shared" si="82"/>
        <v/>
      </c>
      <c r="AJ115" s="11" t="str">
        <f t="shared" si="83"/>
        <v/>
      </c>
      <c r="AK115" s="11" t="str">
        <f t="shared" si="84"/>
        <v/>
      </c>
      <c r="AN115" s="11" t="s">
        <v>879</v>
      </c>
      <c r="AO115" s="11" t="s">
        <v>895</v>
      </c>
    </row>
    <row r="116" spans="1:41" ht="47.25">
      <c r="A116" s="11">
        <v>110</v>
      </c>
      <c r="B116" s="11" t="s">
        <v>876</v>
      </c>
      <c r="C116" s="11" t="s">
        <v>913</v>
      </c>
      <c r="D116" s="32"/>
      <c r="E116" s="11" t="s">
        <v>4</v>
      </c>
      <c r="F116" s="11">
        <v>2</v>
      </c>
      <c r="G116" s="11">
        <v>2</v>
      </c>
      <c r="H116" s="11">
        <f>A40</f>
        <v>34</v>
      </c>
      <c r="I116" s="11"/>
      <c r="J116" s="11"/>
      <c r="K116" s="11"/>
      <c r="L116" s="11"/>
      <c r="M116" s="11" t="s">
        <v>750</v>
      </c>
      <c r="N116" s="11" t="s">
        <v>781</v>
      </c>
      <c r="O116" s="11" t="s">
        <v>909</v>
      </c>
      <c r="P116" s="11" t="s">
        <v>909</v>
      </c>
      <c r="Q116" s="11" t="s">
        <v>758</v>
      </c>
      <c r="R116" s="11" t="str">
        <f t="shared" si="57"/>
        <v/>
      </c>
      <c r="S116" s="11" t="str">
        <f t="shared" si="58"/>
        <v/>
      </c>
      <c r="T116" s="11" t="str">
        <f t="shared" si="59"/>
        <v/>
      </c>
      <c r="U116" s="11" t="str">
        <f t="shared" si="60"/>
        <v/>
      </c>
      <c r="V116" s="11" t="str">
        <f t="shared" si="61"/>
        <v/>
      </c>
      <c r="W116" s="11" t="str">
        <f t="shared" ref="W116" si="87">IF($E116="Yes",MAX(R116:V116),"")</f>
        <v/>
      </c>
      <c r="X116" s="11" t="s">
        <v>914</v>
      </c>
      <c r="Y116" s="11" t="str">
        <f>HLOOKUP($X116,Tables_Cat!$B$6:$P$7,2,FALSE)</f>
        <v>Information</v>
      </c>
      <c r="Z116" s="24" t="s">
        <v>709</v>
      </c>
      <c r="AA116" s="11" t="s">
        <v>751</v>
      </c>
      <c r="AB116" s="13" t="str">
        <f t="shared" si="85"/>
        <v/>
      </c>
      <c r="AC116" s="11" t="s">
        <v>912</v>
      </c>
      <c r="AD116" s="11" t="str">
        <f t="shared" si="79"/>
        <v/>
      </c>
      <c r="AE116" s="11" t="s">
        <v>760</v>
      </c>
      <c r="AF116" s="11" t="str">
        <f t="shared" si="80"/>
        <v/>
      </c>
      <c r="AG116" s="11" t="str">
        <f t="shared" si="81"/>
        <v/>
      </c>
      <c r="AH116" s="11" t="str">
        <f t="shared" si="86"/>
        <v/>
      </c>
      <c r="AI116" s="11" t="str">
        <f t="shared" si="82"/>
        <v/>
      </c>
      <c r="AJ116" s="11" t="str">
        <f t="shared" si="83"/>
        <v/>
      </c>
      <c r="AK116" s="11" t="str">
        <f t="shared" si="84"/>
        <v/>
      </c>
      <c r="AN116" s="11" t="s">
        <v>909</v>
      </c>
      <c r="AO116" s="11" t="s">
        <v>895</v>
      </c>
    </row>
    <row r="117" spans="1:41" ht="47.25">
      <c r="A117" s="11">
        <v>111</v>
      </c>
      <c r="B117" s="11" t="s">
        <v>876</v>
      </c>
      <c r="C117" s="11" t="s">
        <v>915</v>
      </c>
      <c r="D117" s="32"/>
      <c r="E117" s="11" t="s">
        <v>4</v>
      </c>
      <c r="F117" s="11">
        <v>2</v>
      </c>
      <c r="G117" s="11">
        <v>2</v>
      </c>
      <c r="H117" s="11">
        <f>A41</f>
        <v>35</v>
      </c>
      <c r="I117" s="11"/>
      <c r="J117" s="11"/>
      <c r="K117" s="11"/>
      <c r="L117" s="11"/>
      <c r="M117" s="11" t="s">
        <v>750</v>
      </c>
      <c r="N117" s="11" t="s">
        <v>720</v>
      </c>
      <c r="O117" s="11" t="s">
        <v>909</v>
      </c>
      <c r="P117" s="11" t="s">
        <v>909</v>
      </c>
      <c r="Q117" s="11" t="s">
        <v>758</v>
      </c>
      <c r="R117" s="11" t="str">
        <f t="shared" si="57"/>
        <v/>
      </c>
      <c r="S117" s="11" t="str">
        <f t="shared" si="58"/>
        <v/>
      </c>
      <c r="T117" s="11" t="str">
        <f t="shared" si="59"/>
        <v/>
      </c>
      <c r="U117" s="11" t="str">
        <f t="shared" si="60"/>
        <v/>
      </c>
      <c r="V117" s="11" t="str">
        <f t="shared" si="61"/>
        <v/>
      </c>
      <c r="W117" s="11" t="str">
        <f t="shared" ref="W117" si="88">IF($E117="Yes",MAX(R117:V117),"")</f>
        <v/>
      </c>
      <c r="X117" s="11" t="s">
        <v>914</v>
      </c>
      <c r="Y117" s="11" t="str">
        <f>HLOOKUP($X117,Tables_Cat!$B$6:$P$7,2,FALSE)</f>
        <v>Information</v>
      </c>
      <c r="Z117" s="24" t="s">
        <v>709</v>
      </c>
      <c r="AA117" s="11" t="s">
        <v>751</v>
      </c>
      <c r="AB117" s="13" t="str">
        <f t="shared" si="85"/>
        <v/>
      </c>
      <c r="AC117" s="11" t="s">
        <v>912</v>
      </c>
      <c r="AD117" s="11" t="str">
        <f t="shared" si="79"/>
        <v/>
      </c>
      <c r="AE117" s="11" t="s">
        <v>760</v>
      </c>
      <c r="AF117" s="11" t="str">
        <f t="shared" si="80"/>
        <v/>
      </c>
      <c r="AG117" s="11" t="str">
        <f t="shared" si="81"/>
        <v/>
      </c>
      <c r="AH117" s="11" t="str">
        <f t="shared" si="86"/>
        <v/>
      </c>
      <c r="AI117" s="11" t="str">
        <f t="shared" si="82"/>
        <v/>
      </c>
      <c r="AJ117" s="11" t="str">
        <f t="shared" si="83"/>
        <v/>
      </c>
      <c r="AK117" s="11" t="str">
        <f t="shared" si="84"/>
        <v/>
      </c>
      <c r="AN117" s="11" t="s">
        <v>909</v>
      </c>
      <c r="AO117" s="11" t="s">
        <v>895</v>
      </c>
    </row>
    <row r="118" spans="1:41" ht="47.25">
      <c r="A118" s="11">
        <v>112</v>
      </c>
      <c r="B118" s="11" t="s">
        <v>876</v>
      </c>
      <c r="C118" s="11" t="s">
        <v>916</v>
      </c>
      <c r="D118" s="32"/>
      <c r="E118" s="11" t="s">
        <v>4</v>
      </c>
      <c r="F118" s="11">
        <v>2</v>
      </c>
      <c r="G118" s="11">
        <v>2</v>
      </c>
      <c r="H118" s="11">
        <f>A42</f>
        <v>36</v>
      </c>
      <c r="I118" s="11"/>
      <c r="J118" s="11"/>
      <c r="K118" s="11"/>
      <c r="L118" s="11"/>
      <c r="M118" s="11" t="s">
        <v>750</v>
      </c>
      <c r="N118" s="11" t="s">
        <v>769</v>
      </c>
      <c r="O118" s="11" t="s">
        <v>909</v>
      </c>
      <c r="P118" s="11" t="s">
        <v>909</v>
      </c>
      <c r="Q118" s="11" t="s">
        <v>758</v>
      </c>
      <c r="R118" s="11" t="str">
        <f t="shared" si="57"/>
        <v/>
      </c>
      <c r="S118" s="11" t="str">
        <f t="shared" si="58"/>
        <v/>
      </c>
      <c r="T118" s="11" t="str">
        <f t="shared" si="59"/>
        <v/>
      </c>
      <c r="U118" s="11" t="str">
        <f t="shared" si="60"/>
        <v/>
      </c>
      <c r="V118" s="11" t="str">
        <f t="shared" si="61"/>
        <v/>
      </c>
      <c r="W118" s="11" t="str">
        <f t="shared" ref="W118" si="89">IF($E118="Yes",MAX(R118:V118),"")</f>
        <v/>
      </c>
      <c r="X118" s="11" t="s">
        <v>914</v>
      </c>
      <c r="Y118" s="11" t="str">
        <f>HLOOKUP($X118,Tables_Cat!$B$6:$P$7,2,FALSE)</f>
        <v>Information</v>
      </c>
      <c r="Z118" s="24" t="s">
        <v>709</v>
      </c>
      <c r="AA118" s="11" t="s">
        <v>751</v>
      </c>
      <c r="AB118" s="13" t="str">
        <f t="shared" si="85"/>
        <v/>
      </c>
      <c r="AC118" s="11" t="s">
        <v>912</v>
      </c>
      <c r="AD118" s="11" t="str">
        <f t="shared" si="79"/>
        <v/>
      </c>
      <c r="AE118" s="11" t="s">
        <v>760</v>
      </c>
      <c r="AF118" s="11" t="str">
        <f t="shared" si="80"/>
        <v/>
      </c>
      <c r="AG118" s="11" t="str">
        <f t="shared" si="81"/>
        <v/>
      </c>
      <c r="AH118" s="11" t="str">
        <f t="shared" si="86"/>
        <v/>
      </c>
      <c r="AI118" s="11" t="str">
        <f t="shared" si="82"/>
        <v/>
      </c>
      <c r="AJ118" s="11" t="str">
        <f t="shared" si="83"/>
        <v/>
      </c>
      <c r="AK118" s="11" t="str">
        <f t="shared" si="84"/>
        <v/>
      </c>
      <c r="AN118" s="11" t="s">
        <v>909</v>
      </c>
      <c r="AO118" s="11" t="s">
        <v>895</v>
      </c>
    </row>
    <row r="119" spans="1:41" ht="31.5">
      <c r="A119" s="11">
        <v>113</v>
      </c>
      <c r="B119" s="11" t="s">
        <v>865</v>
      </c>
      <c r="C119" s="11" t="s">
        <v>917</v>
      </c>
      <c r="D119" s="32"/>
      <c r="E119" s="11" t="s">
        <v>3</v>
      </c>
      <c r="F119" s="11">
        <v>0.01</v>
      </c>
      <c r="G119" s="11">
        <v>0.01</v>
      </c>
      <c r="H119" s="11">
        <f>A134</f>
        <v>128</v>
      </c>
      <c r="I119" s="11"/>
      <c r="J119" s="11"/>
      <c r="K119" s="11"/>
      <c r="L119" s="11"/>
      <c r="M119" s="11" t="s">
        <v>694</v>
      </c>
      <c r="N119" s="11" t="s">
        <v>769</v>
      </c>
      <c r="O119" s="11" t="s">
        <v>867</v>
      </c>
      <c r="P119" s="11" t="s">
        <v>92</v>
      </c>
      <c r="Q119" s="11" t="s">
        <v>770</v>
      </c>
      <c r="R119" s="11">
        <f t="shared" si="57"/>
        <v>10.25</v>
      </c>
      <c r="S119" s="11" t="str">
        <f t="shared" si="58"/>
        <v/>
      </c>
      <c r="T119" s="11" t="str">
        <f t="shared" si="59"/>
        <v/>
      </c>
      <c r="U119" s="11" t="str">
        <f t="shared" si="60"/>
        <v/>
      </c>
      <c r="V119" s="11" t="str">
        <f t="shared" si="61"/>
        <v/>
      </c>
      <c r="W119" s="11">
        <f t="shared" ref="W119" si="90">IF($E119="Yes",MAX(R119:V119),"")</f>
        <v>10.25</v>
      </c>
      <c r="X119" s="11" t="s">
        <v>92</v>
      </c>
      <c r="Y119" s="11" t="str">
        <f>HLOOKUP($X119,Tables_Cat!$B$6:$P$7,2,FALSE)</f>
        <v>Material</v>
      </c>
      <c r="Z119" s="24" t="s">
        <v>869</v>
      </c>
      <c r="AA119" s="11" t="s">
        <v>728</v>
      </c>
      <c r="AB119" s="13">
        <f t="shared" si="85"/>
        <v>0</v>
      </c>
      <c r="AC119" s="11" t="s">
        <v>912</v>
      </c>
      <c r="AD119" s="11">
        <f t="shared" si="79"/>
        <v>4</v>
      </c>
      <c r="AE119" s="11" t="s">
        <v>772</v>
      </c>
      <c r="AF119" s="11">
        <f t="shared" si="80"/>
        <v>0.10250000000000001</v>
      </c>
      <c r="AG119" s="11">
        <f t="shared" si="81"/>
        <v>1.0506249999999999</v>
      </c>
      <c r="AH119" s="11">
        <f t="shared" si="86"/>
        <v>4</v>
      </c>
      <c r="AI119" s="11">
        <f t="shared" si="82"/>
        <v>4</v>
      </c>
      <c r="AJ119" s="11">
        <f t="shared" si="83"/>
        <v>0.10250000000000001</v>
      </c>
      <c r="AK119" s="11">
        <f t="shared" si="84"/>
        <v>1.0506249999999999</v>
      </c>
      <c r="AN119" s="11" t="s">
        <v>871</v>
      </c>
      <c r="AO119" s="11" t="s">
        <v>918</v>
      </c>
    </row>
    <row r="120" spans="1:41" ht="31.5">
      <c r="A120" s="11">
        <v>114</v>
      </c>
      <c r="B120" s="11" t="s">
        <v>919</v>
      </c>
      <c r="C120" s="11" t="s">
        <v>920</v>
      </c>
      <c r="D120" s="32"/>
      <c r="E120" s="11" t="s">
        <v>4</v>
      </c>
      <c r="F120" s="11">
        <v>0.01</v>
      </c>
      <c r="G120" s="11">
        <v>0.01</v>
      </c>
      <c r="H120" s="11">
        <f>A135</f>
        <v>129</v>
      </c>
      <c r="I120" s="11"/>
      <c r="J120" s="11"/>
      <c r="K120" s="11"/>
      <c r="L120" s="11"/>
      <c r="M120" s="11" t="s">
        <v>694</v>
      </c>
      <c r="N120" s="11" t="s">
        <v>769</v>
      </c>
      <c r="O120" s="11" t="s">
        <v>92</v>
      </c>
      <c r="P120" s="11" t="s">
        <v>92</v>
      </c>
      <c r="Q120" s="11" t="s">
        <v>921</v>
      </c>
      <c r="R120" s="11" t="str">
        <f t="shared" si="57"/>
        <v/>
      </c>
      <c r="S120" s="11" t="str">
        <f t="shared" si="58"/>
        <v/>
      </c>
      <c r="T120" s="11" t="str">
        <f t="shared" si="59"/>
        <v/>
      </c>
      <c r="U120" s="11" t="str">
        <f t="shared" si="60"/>
        <v/>
      </c>
      <c r="V120" s="11" t="str">
        <f t="shared" si="61"/>
        <v/>
      </c>
      <c r="W120" s="11" t="str">
        <f t="shared" ref="W120" si="91">IF($E120="Yes",MAX(R120:V120),"")</f>
        <v/>
      </c>
      <c r="X120" s="11" t="s">
        <v>92</v>
      </c>
      <c r="Y120" s="11" t="str">
        <f>HLOOKUP($X120,Tables_Cat!$B$6:$P$7,2,FALSE)</f>
        <v>Material</v>
      </c>
      <c r="Z120" s="24" t="s">
        <v>904</v>
      </c>
      <c r="AA120" s="11" t="s">
        <v>728</v>
      </c>
      <c r="AB120" s="13" t="str">
        <f t="shared" si="85"/>
        <v/>
      </c>
      <c r="AC120" s="11" t="s">
        <v>922</v>
      </c>
      <c r="AD120" s="11" t="str">
        <f t="shared" si="79"/>
        <v/>
      </c>
      <c r="AE120" s="11" t="s">
        <v>923</v>
      </c>
      <c r="AF120" s="11" t="str">
        <f t="shared" si="80"/>
        <v/>
      </c>
      <c r="AG120" s="11" t="str">
        <f t="shared" si="81"/>
        <v/>
      </c>
      <c r="AH120" s="11" t="str">
        <f t="shared" si="86"/>
        <v/>
      </c>
      <c r="AI120" s="11" t="str">
        <f t="shared" si="82"/>
        <v/>
      </c>
      <c r="AJ120" s="11" t="str">
        <f t="shared" si="83"/>
        <v/>
      </c>
      <c r="AK120" s="11" t="str">
        <f t="shared" si="84"/>
        <v/>
      </c>
      <c r="AN120" s="11" t="s">
        <v>871</v>
      </c>
      <c r="AO120" s="11" t="s">
        <v>924</v>
      </c>
    </row>
    <row r="121" spans="1:41" ht="47.25">
      <c r="A121" s="11">
        <v>115</v>
      </c>
      <c r="B121" s="11" t="s">
        <v>865</v>
      </c>
      <c r="C121" s="11" t="s">
        <v>925</v>
      </c>
      <c r="D121" s="32"/>
      <c r="E121" s="11" t="s">
        <v>3</v>
      </c>
      <c r="F121" s="11">
        <v>0.5</v>
      </c>
      <c r="G121" s="11">
        <v>0.5</v>
      </c>
      <c r="H121" s="11">
        <f>A104</f>
        <v>98</v>
      </c>
      <c r="I121" s="11"/>
      <c r="J121" s="11"/>
      <c r="K121" s="11"/>
      <c r="L121" s="11"/>
      <c r="M121" s="11" t="s">
        <v>750</v>
      </c>
      <c r="N121" s="11" t="s">
        <v>735</v>
      </c>
      <c r="O121" s="11" t="s">
        <v>867</v>
      </c>
      <c r="P121" s="11" t="s">
        <v>888</v>
      </c>
      <c r="Q121" s="11" t="s">
        <v>770</v>
      </c>
      <c r="R121" s="11">
        <f t="shared" si="57"/>
        <v>9</v>
      </c>
      <c r="S121" s="11" t="str">
        <f t="shared" si="58"/>
        <v/>
      </c>
      <c r="T121" s="11" t="str">
        <f t="shared" si="59"/>
        <v/>
      </c>
      <c r="U121" s="11" t="str">
        <f t="shared" si="60"/>
        <v/>
      </c>
      <c r="V121" s="11" t="str">
        <f t="shared" si="61"/>
        <v/>
      </c>
      <c r="W121" s="11">
        <f t="shared" si="29"/>
        <v>9</v>
      </c>
      <c r="X121" s="11" t="s">
        <v>741</v>
      </c>
      <c r="Y121" s="11" t="str">
        <f>HLOOKUP($X121,Tables_Cat!$B$6:$P$7,2,FALSE)</f>
        <v>Material</v>
      </c>
      <c r="Z121" s="24" t="s">
        <v>869</v>
      </c>
      <c r="AA121" s="11" t="s">
        <v>728</v>
      </c>
      <c r="AB121" s="13">
        <f t="shared" si="85"/>
        <v>0</v>
      </c>
      <c r="AC121" s="11" t="s">
        <v>702</v>
      </c>
      <c r="AD121" s="11">
        <f t="shared" si="79"/>
        <v>4</v>
      </c>
      <c r="AE121" s="11" t="s">
        <v>772</v>
      </c>
      <c r="AF121" s="11">
        <f t="shared" si="80"/>
        <v>4.5</v>
      </c>
      <c r="AG121" s="11">
        <f t="shared" si="81"/>
        <v>40.5</v>
      </c>
      <c r="AH121" s="11">
        <f t="shared" si="86"/>
        <v>4</v>
      </c>
      <c r="AI121" s="11">
        <f t="shared" si="82"/>
        <v>4</v>
      </c>
      <c r="AJ121" s="11">
        <f t="shared" si="83"/>
        <v>4.5</v>
      </c>
      <c r="AK121" s="11">
        <f t="shared" si="84"/>
        <v>40.5</v>
      </c>
      <c r="AN121" s="11" t="s">
        <v>871</v>
      </c>
      <c r="AO121" s="11" t="s">
        <v>889</v>
      </c>
    </row>
    <row r="122" spans="1:41" ht="47.25">
      <c r="A122" s="11">
        <v>116</v>
      </c>
      <c r="B122" s="11" t="s">
        <v>865</v>
      </c>
      <c r="C122" s="11" t="s">
        <v>926</v>
      </c>
      <c r="D122" s="32"/>
      <c r="E122" s="11" t="s">
        <v>4</v>
      </c>
      <c r="F122" s="11">
        <v>1</v>
      </c>
      <c r="G122" s="11">
        <v>1</v>
      </c>
      <c r="H122" s="11">
        <f>A100</f>
        <v>94</v>
      </c>
      <c r="I122" s="11"/>
      <c r="J122" s="11"/>
      <c r="K122" s="11"/>
      <c r="L122" s="11"/>
      <c r="M122" s="11" t="s">
        <v>750</v>
      </c>
      <c r="N122" s="11" t="s">
        <v>735</v>
      </c>
      <c r="O122" s="11" t="s">
        <v>867</v>
      </c>
      <c r="P122" s="11" t="s">
        <v>888</v>
      </c>
      <c r="Q122" s="11" t="s">
        <v>770</v>
      </c>
      <c r="R122" s="11" t="str">
        <f t="shared" si="57"/>
        <v/>
      </c>
      <c r="S122" s="11" t="str">
        <f t="shared" si="58"/>
        <v/>
      </c>
      <c r="T122" s="11" t="str">
        <f t="shared" si="59"/>
        <v/>
      </c>
      <c r="U122" s="11" t="str">
        <f t="shared" si="60"/>
        <v/>
      </c>
      <c r="V122" s="11" t="str">
        <f t="shared" si="61"/>
        <v/>
      </c>
      <c r="W122" s="11" t="str">
        <f t="shared" ref="W122" si="92">IF($E122="Yes",MAX(R122:V122),"")</f>
        <v/>
      </c>
      <c r="X122" s="11" t="s">
        <v>741</v>
      </c>
      <c r="Y122" s="11" t="str">
        <f>HLOOKUP($X122,Tables_Cat!$B$6:$P$7,2,FALSE)</f>
        <v>Material</v>
      </c>
      <c r="Z122" s="24" t="s">
        <v>869</v>
      </c>
      <c r="AA122" s="11" t="s">
        <v>765</v>
      </c>
      <c r="AB122" s="13" t="str">
        <f t="shared" si="85"/>
        <v/>
      </c>
      <c r="AC122" s="11" t="s">
        <v>702</v>
      </c>
      <c r="AD122" s="11" t="str">
        <f t="shared" si="79"/>
        <v/>
      </c>
      <c r="AE122" s="11" t="s">
        <v>772</v>
      </c>
      <c r="AF122" s="11" t="str">
        <f t="shared" si="80"/>
        <v/>
      </c>
      <c r="AG122" s="11" t="str">
        <f t="shared" si="81"/>
        <v/>
      </c>
      <c r="AH122" s="11" t="str">
        <f t="shared" si="86"/>
        <v/>
      </c>
      <c r="AI122" s="11" t="str">
        <f t="shared" si="82"/>
        <v/>
      </c>
      <c r="AJ122" s="11" t="str">
        <f t="shared" si="83"/>
        <v/>
      </c>
      <c r="AK122" s="11" t="str">
        <f t="shared" si="84"/>
        <v/>
      </c>
      <c r="AN122" s="11" t="s">
        <v>742</v>
      </c>
      <c r="AO122" s="11" t="s">
        <v>889</v>
      </c>
    </row>
    <row r="123" spans="1:41" ht="31.5">
      <c r="A123" s="11">
        <v>117</v>
      </c>
      <c r="B123" s="11" t="s">
        <v>865</v>
      </c>
      <c r="C123" s="11" t="s">
        <v>927</v>
      </c>
      <c r="D123" s="32"/>
      <c r="E123" s="11" t="s">
        <v>4</v>
      </c>
      <c r="F123" s="11">
        <v>0.25</v>
      </c>
      <c r="G123" s="11">
        <v>0.25</v>
      </c>
      <c r="H123" s="11">
        <f>A119</f>
        <v>113</v>
      </c>
      <c r="I123" s="11"/>
      <c r="J123" s="11"/>
      <c r="K123" s="11"/>
      <c r="L123" s="11"/>
      <c r="M123" s="11" t="s">
        <v>750</v>
      </c>
      <c r="N123" s="11" t="s">
        <v>735</v>
      </c>
      <c r="O123" s="11" t="s">
        <v>92</v>
      </c>
      <c r="P123" s="11" t="s">
        <v>928</v>
      </c>
      <c r="Q123" s="11" t="s">
        <v>770</v>
      </c>
      <c r="R123" s="11" t="str">
        <f t="shared" si="57"/>
        <v/>
      </c>
      <c r="S123" s="11" t="str">
        <f t="shared" si="58"/>
        <v/>
      </c>
      <c r="T123" s="11" t="str">
        <f t="shared" si="59"/>
        <v/>
      </c>
      <c r="U123" s="11" t="str">
        <f t="shared" si="60"/>
        <v/>
      </c>
      <c r="V123" s="11" t="str">
        <f t="shared" si="61"/>
        <v/>
      </c>
      <c r="W123" s="11" t="str">
        <f t="shared" ref="W123:W126" si="93">IF($E123="Yes",MAX(R123:V123),"")</f>
        <v/>
      </c>
      <c r="X123" s="11" t="s">
        <v>92</v>
      </c>
      <c r="Y123" s="11" t="str">
        <f>HLOOKUP($X123,Tables_Cat!$B$6:$P$7,2,FALSE)</f>
        <v>Material</v>
      </c>
      <c r="Z123" s="24" t="s">
        <v>869</v>
      </c>
      <c r="AA123" s="11" t="s">
        <v>751</v>
      </c>
      <c r="AB123" s="13" t="str">
        <f t="shared" si="85"/>
        <v/>
      </c>
      <c r="AC123" s="11" t="s">
        <v>702</v>
      </c>
      <c r="AD123" s="11" t="str">
        <f t="shared" si="79"/>
        <v/>
      </c>
      <c r="AE123" s="11" t="s">
        <v>772</v>
      </c>
      <c r="AF123" s="11" t="str">
        <f t="shared" si="80"/>
        <v/>
      </c>
      <c r="AG123" s="11" t="str">
        <f t="shared" si="81"/>
        <v/>
      </c>
      <c r="AH123" s="11" t="str">
        <f t="shared" si="86"/>
        <v/>
      </c>
      <c r="AI123" s="11" t="str">
        <f t="shared" si="82"/>
        <v/>
      </c>
      <c r="AJ123" s="11" t="str">
        <f t="shared" si="83"/>
        <v/>
      </c>
      <c r="AK123" s="11" t="str">
        <f t="shared" si="84"/>
        <v/>
      </c>
      <c r="AN123" s="11" t="s">
        <v>871</v>
      </c>
      <c r="AO123" s="11" t="s">
        <v>918</v>
      </c>
    </row>
    <row r="124" spans="1:41" ht="31.5">
      <c r="A124" s="11">
        <v>118</v>
      </c>
      <c r="B124" s="11" t="s">
        <v>919</v>
      </c>
      <c r="C124" s="11" t="s">
        <v>929</v>
      </c>
      <c r="D124" s="32"/>
      <c r="E124" s="11" t="s">
        <v>4</v>
      </c>
      <c r="F124" s="11">
        <v>0.01</v>
      </c>
      <c r="G124" s="11">
        <v>0.01</v>
      </c>
      <c r="H124" s="11">
        <f>A139</f>
        <v>133</v>
      </c>
      <c r="I124" s="11"/>
      <c r="J124" s="11"/>
      <c r="K124" s="11"/>
      <c r="L124" s="11"/>
      <c r="M124" s="11" t="s">
        <v>694</v>
      </c>
      <c r="N124" s="11" t="s">
        <v>769</v>
      </c>
      <c r="O124" s="11" t="s">
        <v>92</v>
      </c>
      <c r="P124" s="11" t="s">
        <v>92</v>
      </c>
      <c r="Q124" s="11" t="s">
        <v>921</v>
      </c>
      <c r="R124" s="11" t="str">
        <f t="shared" si="57"/>
        <v/>
      </c>
      <c r="S124" s="11" t="str">
        <f t="shared" si="58"/>
        <v/>
      </c>
      <c r="T124" s="11" t="str">
        <f t="shared" si="59"/>
        <v/>
      </c>
      <c r="U124" s="11" t="str">
        <f t="shared" si="60"/>
        <v/>
      </c>
      <c r="V124" s="11" t="str">
        <f t="shared" si="61"/>
        <v/>
      </c>
      <c r="W124" s="11" t="str">
        <f t="shared" si="93"/>
        <v/>
      </c>
      <c r="X124" s="11" t="s">
        <v>92</v>
      </c>
      <c r="Y124" s="11" t="str">
        <f>HLOOKUP($X124,Tables_Cat!$B$6:$P$7,2,FALSE)</f>
        <v>Material</v>
      </c>
      <c r="Z124" s="24" t="s">
        <v>904</v>
      </c>
      <c r="AA124" s="11" t="s">
        <v>728</v>
      </c>
      <c r="AB124" s="13" t="str">
        <f t="shared" si="85"/>
        <v/>
      </c>
      <c r="AC124" s="11" t="s">
        <v>922</v>
      </c>
      <c r="AD124" s="11" t="str">
        <f t="shared" si="79"/>
        <v/>
      </c>
      <c r="AE124" s="11" t="s">
        <v>923</v>
      </c>
      <c r="AF124" s="11" t="str">
        <f t="shared" si="80"/>
        <v/>
      </c>
      <c r="AG124" s="11" t="str">
        <f t="shared" si="81"/>
        <v/>
      </c>
      <c r="AH124" s="11" t="str">
        <f t="shared" si="86"/>
        <v/>
      </c>
      <c r="AI124" s="11" t="str">
        <f t="shared" si="82"/>
        <v/>
      </c>
      <c r="AJ124" s="11" t="str">
        <f t="shared" si="83"/>
        <v/>
      </c>
      <c r="AK124" s="11" t="str">
        <f t="shared" si="84"/>
        <v/>
      </c>
      <c r="AN124" s="11" t="s">
        <v>871</v>
      </c>
      <c r="AO124" s="11" t="s">
        <v>924</v>
      </c>
    </row>
    <row r="125" spans="1:41" ht="47.25">
      <c r="A125" s="11">
        <v>119</v>
      </c>
      <c r="B125" s="11" t="s">
        <v>919</v>
      </c>
      <c r="C125" s="11" t="s">
        <v>930</v>
      </c>
      <c r="D125" s="32"/>
      <c r="E125" s="11" t="s">
        <v>4</v>
      </c>
      <c r="F125" s="11">
        <v>0.01</v>
      </c>
      <c r="G125" s="11">
        <v>0.01</v>
      </c>
      <c r="H125" s="11">
        <f>A136</f>
        <v>130</v>
      </c>
      <c r="I125" s="11"/>
      <c r="J125" s="11"/>
      <c r="K125" s="11"/>
      <c r="L125" s="11"/>
      <c r="M125" s="11" t="s">
        <v>750</v>
      </c>
      <c r="N125" s="11" t="s">
        <v>735</v>
      </c>
      <c r="O125" s="11" t="s">
        <v>696</v>
      </c>
      <c r="P125" s="11" t="s">
        <v>931</v>
      </c>
      <c r="Q125" s="11" t="s">
        <v>758</v>
      </c>
      <c r="R125" s="11" t="str">
        <f t="shared" si="57"/>
        <v/>
      </c>
      <c r="S125" s="11" t="str">
        <f t="shared" si="58"/>
        <v/>
      </c>
      <c r="T125" s="11" t="str">
        <f t="shared" si="59"/>
        <v/>
      </c>
      <c r="U125" s="11" t="str">
        <f t="shared" si="60"/>
        <v/>
      </c>
      <c r="V125" s="11" t="str">
        <f t="shared" si="61"/>
        <v/>
      </c>
      <c r="W125" s="11" t="str">
        <f>IF($E125="Yes",MAX(R125:V125),"")</f>
        <v/>
      </c>
      <c r="X125" s="11" t="s">
        <v>914</v>
      </c>
      <c r="Y125" s="11" t="str">
        <f>HLOOKUP($X125,Tables_Cat!$B$6:$P$7,2,FALSE)</f>
        <v>Information</v>
      </c>
      <c r="Z125" s="24" t="s">
        <v>709</v>
      </c>
      <c r="AA125" s="11" t="s">
        <v>701</v>
      </c>
      <c r="AB125" s="13" t="str">
        <f>IF($E125="Yes",($F125-$G125)/$F125,"")</f>
        <v/>
      </c>
      <c r="AC125" s="11" t="s">
        <v>932</v>
      </c>
      <c r="AD125" s="11" t="str">
        <f>IF($E125="Yes",$AB125+$AI125,"")</f>
        <v/>
      </c>
      <c r="AE125" s="11" t="s">
        <v>760</v>
      </c>
      <c r="AF125" s="11" t="str">
        <f>IF($E125="Yes",$F125*$W125,"")</f>
        <v/>
      </c>
      <c r="AG125" s="11" t="str">
        <f>IF($E125="Yes",$F125*$W125^2,"")</f>
        <v/>
      </c>
      <c r="AH125" s="11" t="str">
        <f>IF($E125="Yes",IF($AA125="Engineer",5,IF($AA125="Implement",4,IF($AA125="Manage",3,IF($AA125="Validate",2,1)))),"")</f>
        <v/>
      </c>
      <c r="AI125" s="11" t="str">
        <f>IF(AND($E125="Yes",$Z125&lt;&gt;"Not applicable"),IF($Z125="Manual/ None",0,IF($Z125="Other",2,4)),"")</f>
        <v/>
      </c>
      <c r="AJ125" s="11" t="str">
        <f>IF($E125="Yes",$G125*$W125,"")</f>
        <v/>
      </c>
      <c r="AK125" s="11" t="str">
        <f>IF($E125="Yes",$G125*$W125^2,"")</f>
        <v/>
      </c>
      <c r="AN125" s="11" t="s">
        <v>871</v>
      </c>
      <c r="AO125" s="11" t="s">
        <v>933</v>
      </c>
    </row>
    <row r="126" spans="1:41" ht="31.5">
      <c r="A126" s="11">
        <v>120</v>
      </c>
      <c r="B126" s="11" t="s">
        <v>865</v>
      </c>
      <c r="C126" s="11" t="s">
        <v>934</v>
      </c>
      <c r="D126" s="32"/>
      <c r="E126" s="11" t="s">
        <v>4</v>
      </c>
      <c r="F126" s="11">
        <v>1</v>
      </c>
      <c r="G126" s="11">
        <v>1</v>
      </c>
      <c r="H126" s="11">
        <f t="shared" ref="H126:H131" si="94">A102</f>
        <v>96</v>
      </c>
      <c r="I126" s="11"/>
      <c r="J126" s="11"/>
      <c r="K126" s="11"/>
      <c r="L126" s="11"/>
      <c r="M126" s="11" t="s">
        <v>750</v>
      </c>
      <c r="N126" s="11" t="s">
        <v>781</v>
      </c>
      <c r="O126" s="11" t="s">
        <v>867</v>
      </c>
      <c r="P126" s="11" t="s">
        <v>931</v>
      </c>
      <c r="Q126" s="11" t="s">
        <v>770</v>
      </c>
      <c r="R126" s="11" t="str">
        <f t="shared" si="57"/>
        <v/>
      </c>
      <c r="S126" s="11" t="str">
        <f t="shared" si="58"/>
        <v/>
      </c>
      <c r="T126" s="11" t="str">
        <f t="shared" si="59"/>
        <v/>
      </c>
      <c r="U126" s="11" t="str">
        <f t="shared" si="60"/>
        <v/>
      </c>
      <c r="V126" s="11" t="str">
        <f t="shared" si="61"/>
        <v/>
      </c>
      <c r="W126" s="11" t="str">
        <f t="shared" si="93"/>
        <v/>
      </c>
      <c r="X126" s="11" t="s">
        <v>914</v>
      </c>
      <c r="Y126" s="11" t="str">
        <f>HLOOKUP($X126,Tables_Cat!$B$6:$P$7,2,FALSE)</f>
        <v>Information</v>
      </c>
      <c r="Z126" s="24" t="s">
        <v>869</v>
      </c>
      <c r="AA126" s="11" t="s">
        <v>701</v>
      </c>
      <c r="AB126" s="13" t="str">
        <f t="shared" si="85"/>
        <v/>
      </c>
      <c r="AC126" s="11" t="s">
        <v>702</v>
      </c>
      <c r="AD126" s="11" t="str">
        <f t="shared" si="79"/>
        <v/>
      </c>
      <c r="AE126" s="11" t="s">
        <v>772</v>
      </c>
      <c r="AF126" s="11" t="str">
        <f t="shared" si="80"/>
        <v/>
      </c>
      <c r="AG126" s="11" t="str">
        <f t="shared" si="81"/>
        <v/>
      </c>
      <c r="AH126" s="11" t="str">
        <f t="shared" si="86"/>
        <v/>
      </c>
      <c r="AI126" s="11" t="str">
        <f t="shared" si="82"/>
        <v/>
      </c>
      <c r="AJ126" s="11" t="str">
        <f t="shared" si="83"/>
        <v/>
      </c>
      <c r="AK126" s="11" t="str">
        <f t="shared" si="84"/>
        <v/>
      </c>
      <c r="AN126" s="11" t="s">
        <v>935</v>
      </c>
      <c r="AO126" s="11" t="s">
        <v>918</v>
      </c>
    </row>
    <row r="127" spans="1:41" ht="31.5">
      <c r="A127" s="11">
        <v>121</v>
      </c>
      <c r="B127" s="11" t="s">
        <v>865</v>
      </c>
      <c r="C127" s="11" t="s">
        <v>936</v>
      </c>
      <c r="D127" s="32"/>
      <c r="E127" s="11" t="s">
        <v>4</v>
      </c>
      <c r="F127" s="11">
        <v>1</v>
      </c>
      <c r="G127" s="11">
        <v>1</v>
      </c>
      <c r="H127" s="11">
        <f t="shared" si="94"/>
        <v>97</v>
      </c>
      <c r="I127" s="11"/>
      <c r="J127" s="11"/>
      <c r="K127" s="11"/>
      <c r="L127" s="11"/>
      <c r="M127" s="11" t="s">
        <v>750</v>
      </c>
      <c r="N127" s="11" t="s">
        <v>937</v>
      </c>
      <c r="O127" s="11" t="s">
        <v>931</v>
      </c>
      <c r="P127" s="11" t="s">
        <v>931</v>
      </c>
      <c r="Q127" s="11" t="s">
        <v>770</v>
      </c>
      <c r="R127" s="11" t="str">
        <f t="shared" si="57"/>
        <v/>
      </c>
      <c r="S127" s="11" t="str">
        <f t="shared" si="58"/>
        <v/>
      </c>
      <c r="T127" s="11" t="str">
        <f t="shared" si="59"/>
        <v/>
      </c>
      <c r="U127" s="11" t="str">
        <f t="shared" si="60"/>
        <v/>
      </c>
      <c r="V127" s="11" t="str">
        <f t="shared" si="61"/>
        <v/>
      </c>
      <c r="W127" s="11" t="str">
        <f t="shared" ref="W127:W128" si="95">IF($E127="Yes",MAX(R127:V127),"")</f>
        <v/>
      </c>
      <c r="X127" s="11" t="s">
        <v>914</v>
      </c>
      <c r="Y127" s="11" t="str">
        <f>HLOOKUP($X127,Tables_Cat!$B$6:$P$7,2,FALSE)</f>
        <v>Information</v>
      </c>
      <c r="Z127" s="24" t="s">
        <v>869</v>
      </c>
      <c r="AA127" s="11" t="s">
        <v>751</v>
      </c>
      <c r="AB127" s="13" t="str">
        <f t="shared" si="85"/>
        <v/>
      </c>
      <c r="AC127" s="11" t="s">
        <v>702</v>
      </c>
      <c r="AD127" s="11" t="str">
        <f t="shared" si="79"/>
        <v/>
      </c>
      <c r="AE127" s="11" t="s">
        <v>772</v>
      </c>
      <c r="AF127" s="11" t="str">
        <f t="shared" si="80"/>
        <v/>
      </c>
      <c r="AG127" s="11" t="str">
        <f t="shared" si="81"/>
        <v/>
      </c>
      <c r="AH127" s="11" t="str">
        <f t="shared" si="86"/>
        <v/>
      </c>
      <c r="AI127" s="11" t="str">
        <f t="shared" si="82"/>
        <v/>
      </c>
      <c r="AJ127" s="11" t="str">
        <f t="shared" si="83"/>
        <v/>
      </c>
      <c r="AK127" s="11" t="str">
        <f t="shared" si="84"/>
        <v/>
      </c>
      <c r="AN127" s="11" t="s">
        <v>935</v>
      </c>
      <c r="AO127" s="11" t="s">
        <v>918</v>
      </c>
    </row>
    <row r="128" spans="1:41" ht="31.5">
      <c r="A128" s="11">
        <v>122</v>
      </c>
      <c r="B128" s="11" t="s">
        <v>865</v>
      </c>
      <c r="C128" s="11" t="s">
        <v>938</v>
      </c>
      <c r="D128" s="32"/>
      <c r="E128" s="11" t="s">
        <v>4</v>
      </c>
      <c r="F128" s="11">
        <v>1</v>
      </c>
      <c r="G128" s="11">
        <v>1</v>
      </c>
      <c r="H128" s="11">
        <f t="shared" si="94"/>
        <v>98</v>
      </c>
      <c r="I128" s="11"/>
      <c r="J128" s="11"/>
      <c r="K128" s="11"/>
      <c r="L128" s="11"/>
      <c r="M128" s="11" t="s">
        <v>750</v>
      </c>
      <c r="N128" s="11" t="s">
        <v>769</v>
      </c>
      <c r="O128" s="11" t="s">
        <v>931</v>
      </c>
      <c r="P128" s="11" t="s">
        <v>92</v>
      </c>
      <c r="Q128" s="11" t="s">
        <v>770</v>
      </c>
      <c r="R128" s="11" t="str">
        <f t="shared" si="57"/>
        <v/>
      </c>
      <c r="S128" s="11" t="str">
        <f t="shared" si="58"/>
        <v/>
      </c>
      <c r="T128" s="11" t="str">
        <f t="shared" si="59"/>
        <v/>
      </c>
      <c r="U128" s="11" t="str">
        <f t="shared" si="60"/>
        <v/>
      </c>
      <c r="V128" s="11" t="str">
        <f t="shared" si="61"/>
        <v/>
      </c>
      <c r="W128" s="11" t="str">
        <f t="shared" si="95"/>
        <v/>
      </c>
      <c r="X128" s="11" t="s">
        <v>741</v>
      </c>
      <c r="Y128" s="11" t="str">
        <f>HLOOKUP($X128,Tables_Cat!$B$6:$P$7,2,FALSE)</f>
        <v>Material</v>
      </c>
      <c r="Z128" s="24" t="s">
        <v>869</v>
      </c>
      <c r="AA128" s="11" t="s">
        <v>728</v>
      </c>
      <c r="AB128" s="13" t="str">
        <f t="shared" si="85"/>
        <v/>
      </c>
      <c r="AC128" s="11" t="s">
        <v>912</v>
      </c>
      <c r="AD128" s="11" t="str">
        <f t="shared" si="79"/>
        <v/>
      </c>
      <c r="AE128" s="11" t="s">
        <v>772</v>
      </c>
      <c r="AF128" s="11" t="str">
        <f t="shared" si="80"/>
        <v/>
      </c>
      <c r="AG128" s="11" t="str">
        <f t="shared" si="81"/>
        <v/>
      </c>
      <c r="AH128" s="11" t="str">
        <f t="shared" si="86"/>
        <v/>
      </c>
      <c r="AI128" s="11" t="str">
        <f t="shared" si="82"/>
        <v/>
      </c>
      <c r="AJ128" s="11" t="str">
        <f t="shared" si="83"/>
        <v/>
      </c>
      <c r="AK128" s="11" t="str">
        <f t="shared" si="84"/>
        <v/>
      </c>
      <c r="AN128" s="11" t="s">
        <v>935</v>
      </c>
      <c r="AO128" s="11" t="s">
        <v>918</v>
      </c>
    </row>
    <row r="129" spans="1:41" ht="47.25">
      <c r="A129" s="11">
        <v>123</v>
      </c>
      <c r="B129" s="11" t="s">
        <v>865</v>
      </c>
      <c r="C129" s="11" t="s">
        <v>939</v>
      </c>
      <c r="D129" s="32"/>
      <c r="E129" s="11" t="s">
        <v>4</v>
      </c>
      <c r="F129" s="11">
        <v>1</v>
      </c>
      <c r="G129" s="11">
        <v>1</v>
      </c>
      <c r="H129" s="11">
        <f t="shared" si="94"/>
        <v>99</v>
      </c>
      <c r="I129" s="11"/>
      <c r="J129" s="11"/>
      <c r="K129" s="11"/>
      <c r="L129" s="11"/>
      <c r="M129" s="11" t="s">
        <v>750</v>
      </c>
      <c r="N129" s="11" t="s">
        <v>781</v>
      </c>
      <c r="O129" s="11" t="s">
        <v>867</v>
      </c>
      <c r="P129" s="11" t="s">
        <v>931</v>
      </c>
      <c r="Q129" s="11" t="s">
        <v>770</v>
      </c>
      <c r="R129" s="11" t="str">
        <f t="shared" si="57"/>
        <v/>
      </c>
      <c r="S129" s="11" t="str">
        <f t="shared" si="58"/>
        <v/>
      </c>
      <c r="T129" s="11" t="str">
        <f t="shared" si="59"/>
        <v/>
      </c>
      <c r="U129" s="11" t="str">
        <f t="shared" si="60"/>
        <v/>
      </c>
      <c r="V129" s="11" t="str">
        <f t="shared" si="61"/>
        <v/>
      </c>
      <c r="W129" s="11" t="str">
        <f t="shared" ref="W129:W131" si="96">IF($E129="Yes",MAX(R129:V129),"")</f>
        <v/>
      </c>
      <c r="X129" s="11" t="s">
        <v>914</v>
      </c>
      <c r="Y129" s="11" t="str">
        <f>HLOOKUP($X129,Tables_Cat!$B$6:$P$7,2,FALSE)</f>
        <v>Information</v>
      </c>
      <c r="Z129" s="24" t="s">
        <v>869</v>
      </c>
      <c r="AA129" s="11" t="s">
        <v>701</v>
      </c>
      <c r="AB129" s="13" t="str">
        <f t="shared" si="85"/>
        <v/>
      </c>
      <c r="AC129" s="11" t="s">
        <v>702</v>
      </c>
      <c r="AD129" s="11" t="str">
        <f t="shared" si="79"/>
        <v/>
      </c>
      <c r="AE129" s="11" t="s">
        <v>772</v>
      </c>
      <c r="AF129" s="11" t="str">
        <f t="shared" si="80"/>
        <v/>
      </c>
      <c r="AG129" s="11" t="str">
        <f t="shared" si="81"/>
        <v/>
      </c>
      <c r="AH129" s="11" t="str">
        <f t="shared" si="86"/>
        <v/>
      </c>
      <c r="AI129" s="11" t="str">
        <f t="shared" si="82"/>
        <v/>
      </c>
      <c r="AJ129" s="11" t="str">
        <f t="shared" si="83"/>
        <v/>
      </c>
      <c r="AK129" s="11" t="str">
        <f t="shared" si="84"/>
        <v/>
      </c>
      <c r="AN129" s="11" t="s">
        <v>940</v>
      </c>
      <c r="AO129" s="11" t="s">
        <v>918</v>
      </c>
    </row>
    <row r="130" spans="1:41" ht="31.5">
      <c r="A130" s="11">
        <v>124</v>
      </c>
      <c r="B130" s="11" t="s">
        <v>865</v>
      </c>
      <c r="C130" s="11" t="s">
        <v>941</v>
      </c>
      <c r="D130" s="32"/>
      <c r="E130" s="11" t="s">
        <v>4</v>
      </c>
      <c r="F130" s="11">
        <v>1</v>
      </c>
      <c r="G130" s="11">
        <v>1</v>
      </c>
      <c r="H130" s="11">
        <f t="shared" si="94"/>
        <v>100</v>
      </c>
      <c r="I130" s="11"/>
      <c r="J130" s="11"/>
      <c r="K130" s="11"/>
      <c r="L130" s="11"/>
      <c r="M130" s="11" t="s">
        <v>750</v>
      </c>
      <c r="N130" s="11" t="s">
        <v>748</v>
      </c>
      <c r="O130" s="11" t="s">
        <v>931</v>
      </c>
      <c r="P130" s="11" t="s">
        <v>931</v>
      </c>
      <c r="Q130" s="11" t="s">
        <v>770</v>
      </c>
      <c r="R130" s="11" t="str">
        <f t="shared" si="57"/>
        <v/>
      </c>
      <c r="S130" s="11" t="str">
        <f t="shared" si="58"/>
        <v/>
      </c>
      <c r="T130" s="11" t="str">
        <f t="shared" si="59"/>
        <v/>
      </c>
      <c r="U130" s="11" t="str">
        <f t="shared" si="60"/>
        <v/>
      </c>
      <c r="V130" s="11" t="str">
        <f t="shared" si="61"/>
        <v/>
      </c>
      <c r="W130" s="11" t="str">
        <f t="shared" si="96"/>
        <v/>
      </c>
      <c r="X130" s="11" t="s">
        <v>914</v>
      </c>
      <c r="Y130" s="11" t="str">
        <f>HLOOKUP($X130,Tables_Cat!$B$6:$P$7,2,FALSE)</f>
        <v>Information</v>
      </c>
      <c r="Z130" s="24" t="s">
        <v>869</v>
      </c>
      <c r="AA130" s="11" t="s">
        <v>751</v>
      </c>
      <c r="AB130" s="13" t="str">
        <f t="shared" si="85"/>
        <v/>
      </c>
      <c r="AC130" s="11" t="s">
        <v>702</v>
      </c>
      <c r="AD130" s="11" t="str">
        <f t="shared" si="79"/>
        <v/>
      </c>
      <c r="AE130" s="11" t="s">
        <v>772</v>
      </c>
      <c r="AF130" s="11" t="str">
        <f t="shared" si="80"/>
        <v/>
      </c>
      <c r="AG130" s="11" t="str">
        <f t="shared" si="81"/>
        <v/>
      </c>
      <c r="AH130" s="11" t="str">
        <f t="shared" si="86"/>
        <v/>
      </c>
      <c r="AI130" s="11" t="str">
        <f t="shared" si="82"/>
        <v/>
      </c>
      <c r="AJ130" s="11" t="str">
        <f t="shared" si="83"/>
        <v/>
      </c>
      <c r="AK130" s="11" t="str">
        <f t="shared" si="84"/>
        <v/>
      </c>
      <c r="AN130" s="11" t="s">
        <v>940</v>
      </c>
      <c r="AO130" s="11" t="s">
        <v>918</v>
      </c>
    </row>
    <row r="131" spans="1:41" ht="31.5">
      <c r="A131" s="11">
        <v>125</v>
      </c>
      <c r="B131" s="11" t="s">
        <v>865</v>
      </c>
      <c r="C131" s="11" t="s">
        <v>942</v>
      </c>
      <c r="D131" s="32"/>
      <c r="E131" s="11" t="s">
        <v>4</v>
      </c>
      <c r="F131" s="11">
        <v>1</v>
      </c>
      <c r="G131" s="11">
        <v>1</v>
      </c>
      <c r="H131" s="11">
        <f t="shared" si="94"/>
        <v>101</v>
      </c>
      <c r="I131" s="11"/>
      <c r="J131" s="11"/>
      <c r="K131" s="11"/>
      <c r="L131" s="11"/>
      <c r="M131" s="11" t="s">
        <v>750</v>
      </c>
      <c r="N131" s="11" t="s">
        <v>769</v>
      </c>
      <c r="O131" s="11" t="s">
        <v>931</v>
      </c>
      <c r="P131" s="11" t="s">
        <v>92</v>
      </c>
      <c r="Q131" s="11" t="s">
        <v>770</v>
      </c>
      <c r="R131" s="11" t="str">
        <f t="shared" si="57"/>
        <v/>
      </c>
      <c r="S131" s="11" t="str">
        <f t="shared" si="58"/>
        <v/>
      </c>
      <c r="T131" s="11" t="str">
        <f t="shared" si="59"/>
        <v/>
      </c>
      <c r="U131" s="11" t="str">
        <f t="shared" si="60"/>
        <v/>
      </c>
      <c r="V131" s="11" t="str">
        <f t="shared" si="61"/>
        <v/>
      </c>
      <c r="W131" s="11" t="str">
        <f t="shared" si="96"/>
        <v/>
      </c>
      <c r="X131" s="11" t="s">
        <v>741</v>
      </c>
      <c r="Y131" s="11" t="str">
        <f>HLOOKUP($X131,Tables_Cat!$B$6:$P$7,2,FALSE)</f>
        <v>Material</v>
      </c>
      <c r="Z131" s="24" t="s">
        <v>869</v>
      </c>
      <c r="AA131" s="11" t="s">
        <v>728</v>
      </c>
      <c r="AB131" s="13" t="str">
        <f t="shared" si="85"/>
        <v/>
      </c>
      <c r="AC131" s="11" t="s">
        <v>912</v>
      </c>
      <c r="AD131" s="11" t="str">
        <f t="shared" si="79"/>
        <v/>
      </c>
      <c r="AE131" s="11" t="s">
        <v>772</v>
      </c>
      <c r="AF131" s="11" t="str">
        <f t="shared" si="80"/>
        <v/>
      </c>
      <c r="AG131" s="11" t="str">
        <f t="shared" si="81"/>
        <v/>
      </c>
      <c r="AH131" s="11" t="str">
        <f t="shared" si="86"/>
        <v/>
      </c>
      <c r="AI131" s="11" t="str">
        <f t="shared" si="82"/>
        <v/>
      </c>
      <c r="AJ131" s="11" t="str">
        <f t="shared" si="83"/>
        <v/>
      </c>
      <c r="AK131" s="11" t="str">
        <f t="shared" si="84"/>
        <v/>
      </c>
      <c r="AN131" s="11" t="s">
        <v>940</v>
      </c>
      <c r="AO131" s="11" t="s">
        <v>918</v>
      </c>
    </row>
    <row r="132" spans="1:41" ht="31.5">
      <c r="A132" s="11">
        <v>126</v>
      </c>
      <c r="B132" s="11" t="s">
        <v>865</v>
      </c>
      <c r="C132" s="11" t="s">
        <v>943</v>
      </c>
      <c r="D132" s="32"/>
      <c r="E132" s="11" t="str">
        <f t="shared" si="37"/>
        <v>Select ...</v>
      </c>
      <c r="F132" s="11">
        <v>0.5</v>
      </c>
      <c r="G132" s="11">
        <v>0.5</v>
      </c>
      <c r="H132" s="11">
        <f>A90</f>
        <v>84</v>
      </c>
      <c r="I132" s="11"/>
      <c r="J132" s="11"/>
      <c r="K132" s="11"/>
      <c r="L132" s="11"/>
      <c r="M132" s="11" t="s">
        <v>694</v>
      </c>
      <c r="N132" s="11" t="s">
        <v>781</v>
      </c>
      <c r="O132" s="11" t="s">
        <v>867</v>
      </c>
      <c r="P132" s="11" t="s">
        <v>931</v>
      </c>
      <c r="Q132" s="11" t="s">
        <v>868</v>
      </c>
      <c r="R132" s="11" t="str">
        <f t="shared" si="57"/>
        <v/>
      </c>
      <c r="S132" s="11" t="str">
        <f t="shared" si="58"/>
        <v/>
      </c>
      <c r="T132" s="11" t="str">
        <f t="shared" si="59"/>
        <v/>
      </c>
      <c r="U132" s="11" t="str">
        <f t="shared" si="60"/>
        <v/>
      </c>
      <c r="V132" s="11" t="str">
        <f t="shared" si="61"/>
        <v/>
      </c>
      <c r="W132" s="11" t="str">
        <f t="shared" si="29"/>
        <v/>
      </c>
      <c r="X132" s="11" t="s">
        <v>914</v>
      </c>
      <c r="Y132" s="11" t="str">
        <f>HLOOKUP($X132,Tables_Cat!$B$6:$P$7,2,FALSE)</f>
        <v>Information</v>
      </c>
      <c r="Z132" s="24" t="s">
        <v>869</v>
      </c>
      <c r="AA132" s="11" t="s">
        <v>701</v>
      </c>
      <c r="AB132" s="13" t="str">
        <f t="shared" si="85"/>
        <v/>
      </c>
      <c r="AC132" s="11" t="s">
        <v>702</v>
      </c>
      <c r="AD132" s="11" t="str">
        <f t="shared" si="79"/>
        <v/>
      </c>
      <c r="AE132" s="11" t="s">
        <v>870</v>
      </c>
      <c r="AF132" s="11" t="str">
        <f t="shared" si="80"/>
        <v/>
      </c>
      <c r="AG132" s="11" t="str">
        <f t="shared" si="81"/>
        <v/>
      </c>
      <c r="AH132" s="11" t="str">
        <f t="shared" si="86"/>
        <v/>
      </c>
      <c r="AI132" s="11" t="str">
        <f t="shared" si="82"/>
        <v/>
      </c>
      <c r="AJ132" s="11" t="str">
        <f t="shared" si="83"/>
        <v/>
      </c>
      <c r="AK132" s="11" t="str">
        <f t="shared" si="84"/>
        <v/>
      </c>
      <c r="AN132" s="11" t="s">
        <v>871</v>
      </c>
      <c r="AO132" s="11" t="s">
        <v>918</v>
      </c>
    </row>
    <row r="133" spans="1:41" ht="31.5">
      <c r="A133" s="11">
        <v>127</v>
      </c>
      <c r="B133" s="11" t="s">
        <v>865</v>
      </c>
      <c r="C133" s="11" t="s">
        <v>944</v>
      </c>
      <c r="D133" s="32"/>
      <c r="E133" s="11" t="s">
        <v>3</v>
      </c>
      <c r="F133" s="11">
        <v>0.25</v>
      </c>
      <c r="G133" s="11">
        <v>0</v>
      </c>
      <c r="H133" s="11">
        <f>A121</f>
        <v>115</v>
      </c>
      <c r="I133" s="11"/>
      <c r="J133" s="11"/>
      <c r="K133" s="11"/>
      <c r="L133" s="11"/>
      <c r="M133" s="11" t="s">
        <v>694</v>
      </c>
      <c r="N133" s="11" t="s">
        <v>781</v>
      </c>
      <c r="O133" s="11" t="s">
        <v>867</v>
      </c>
      <c r="P133" s="11" t="s">
        <v>931</v>
      </c>
      <c r="Q133" s="11" t="s">
        <v>868</v>
      </c>
      <c r="R133" s="11">
        <f t="shared" si="57"/>
        <v>9.5</v>
      </c>
      <c r="S133" s="11" t="str">
        <f t="shared" si="58"/>
        <v/>
      </c>
      <c r="T133" s="11" t="str">
        <f t="shared" si="59"/>
        <v/>
      </c>
      <c r="U133" s="11" t="str">
        <f t="shared" si="60"/>
        <v/>
      </c>
      <c r="V133" s="11" t="str">
        <f t="shared" si="61"/>
        <v/>
      </c>
      <c r="W133" s="11">
        <f t="shared" si="29"/>
        <v>9.5</v>
      </c>
      <c r="X133" s="11" t="s">
        <v>914</v>
      </c>
      <c r="Y133" s="11" t="str">
        <f>HLOOKUP($X133,Tables_Cat!$B$6:$P$7,2,FALSE)</f>
        <v>Information</v>
      </c>
      <c r="Z133" s="24" t="s">
        <v>869</v>
      </c>
      <c r="AA133" s="11" t="s">
        <v>701</v>
      </c>
      <c r="AB133" s="13">
        <f t="shared" si="85"/>
        <v>1</v>
      </c>
      <c r="AC133" s="11" t="s">
        <v>702</v>
      </c>
      <c r="AD133" s="11">
        <f t="shared" si="79"/>
        <v>5</v>
      </c>
      <c r="AE133" s="11" t="s">
        <v>870</v>
      </c>
      <c r="AF133" s="11">
        <f t="shared" si="80"/>
        <v>2.375</v>
      </c>
      <c r="AG133" s="11">
        <f t="shared" si="81"/>
        <v>22.5625</v>
      </c>
      <c r="AH133" s="11">
        <f t="shared" si="86"/>
        <v>3</v>
      </c>
      <c r="AI133" s="11">
        <f t="shared" si="82"/>
        <v>4</v>
      </c>
      <c r="AJ133" s="11">
        <f t="shared" si="83"/>
        <v>0</v>
      </c>
      <c r="AK133" s="11">
        <f t="shared" si="84"/>
        <v>0</v>
      </c>
      <c r="AN133" s="11" t="s">
        <v>871</v>
      </c>
      <c r="AO133" s="11" t="s">
        <v>918</v>
      </c>
    </row>
    <row r="134" spans="1:41" ht="31.5">
      <c r="A134" s="11">
        <v>128</v>
      </c>
      <c r="B134" s="11" t="s">
        <v>865</v>
      </c>
      <c r="C134" s="11" t="s">
        <v>945</v>
      </c>
      <c r="D134" s="32"/>
      <c r="E134" s="11" t="s">
        <v>3</v>
      </c>
      <c r="F134" s="11">
        <v>0.5</v>
      </c>
      <c r="G134" s="11">
        <v>0.5</v>
      </c>
      <c r="H134" s="11">
        <f>A133</f>
        <v>127</v>
      </c>
      <c r="I134" s="11"/>
      <c r="J134" s="11"/>
      <c r="K134" s="11"/>
      <c r="L134" s="11"/>
      <c r="M134" s="11" t="s">
        <v>750</v>
      </c>
      <c r="N134" s="11" t="s">
        <v>769</v>
      </c>
      <c r="O134" s="11" t="s">
        <v>931</v>
      </c>
      <c r="P134" s="11" t="s">
        <v>888</v>
      </c>
      <c r="Q134" s="11" t="s">
        <v>868</v>
      </c>
      <c r="R134" s="11">
        <f t="shared" si="57"/>
        <v>9.75</v>
      </c>
      <c r="S134" s="11" t="str">
        <f t="shared" si="58"/>
        <v/>
      </c>
      <c r="T134" s="11" t="str">
        <f t="shared" si="59"/>
        <v/>
      </c>
      <c r="U134" s="11" t="str">
        <f t="shared" si="60"/>
        <v/>
      </c>
      <c r="V134" s="11" t="str">
        <f t="shared" si="61"/>
        <v/>
      </c>
      <c r="W134" s="11">
        <f t="shared" si="29"/>
        <v>9.75</v>
      </c>
      <c r="X134" s="11" t="s">
        <v>860</v>
      </c>
      <c r="Y134" s="11" t="str">
        <f>HLOOKUP($X134,Tables_Cat!$B$6:$P$7,2,FALSE)</f>
        <v>Information</v>
      </c>
      <c r="Z134" s="24" t="s">
        <v>869</v>
      </c>
      <c r="AA134" s="11" t="s">
        <v>751</v>
      </c>
      <c r="AB134" s="13">
        <f t="shared" si="85"/>
        <v>0</v>
      </c>
      <c r="AC134" s="11" t="s">
        <v>702</v>
      </c>
      <c r="AD134" s="11">
        <f t="shared" si="79"/>
        <v>4</v>
      </c>
      <c r="AE134" s="11" t="s">
        <v>870</v>
      </c>
      <c r="AF134" s="11">
        <f t="shared" si="80"/>
        <v>4.875</v>
      </c>
      <c r="AG134" s="11">
        <f t="shared" si="81"/>
        <v>47.53125</v>
      </c>
      <c r="AH134" s="11">
        <f t="shared" si="86"/>
        <v>2</v>
      </c>
      <c r="AI134" s="11">
        <f t="shared" si="82"/>
        <v>4</v>
      </c>
      <c r="AJ134" s="11">
        <f t="shared" si="83"/>
        <v>4.875</v>
      </c>
      <c r="AK134" s="11">
        <f t="shared" si="84"/>
        <v>47.53125</v>
      </c>
      <c r="AN134" s="11" t="s">
        <v>871</v>
      </c>
      <c r="AO134" s="11" t="s">
        <v>918</v>
      </c>
    </row>
    <row r="135" spans="1:41" ht="47.25">
      <c r="A135" s="11">
        <v>129</v>
      </c>
      <c r="B135" s="11" t="s">
        <v>865</v>
      </c>
      <c r="C135" s="11" t="s">
        <v>946</v>
      </c>
      <c r="D135" s="32"/>
      <c r="E135" s="11" t="str">
        <f t="shared" si="37"/>
        <v>Select ...</v>
      </c>
      <c r="F135" s="11">
        <v>0.5</v>
      </c>
      <c r="G135" s="11">
        <v>0.5</v>
      </c>
      <c r="H135" s="11">
        <f>A132</f>
        <v>126</v>
      </c>
      <c r="I135" s="11">
        <f>A133</f>
        <v>127</v>
      </c>
      <c r="J135" s="11">
        <f>A134</f>
        <v>128</v>
      </c>
      <c r="K135" s="11"/>
      <c r="L135" s="11"/>
      <c r="M135" s="11" t="s">
        <v>750</v>
      </c>
      <c r="N135" s="11" t="s">
        <v>769</v>
      </c>
      <c r="O135" s="11" t="s">
        <v>931</v>
      </c>
      <c r="P135" s="11" t="s">
        <v>931</v>
      </c>
      <c r="Q135" s="11" t="s">
        <v>947</v>
      </c>
      <c r="R135" s="11" t="str">
        <f t="shared" ref="R135:R198" si="97">IF(OR(H135="INIT",H135&gt;0),IF(AND($E135="Yes",VLOOKUP(H135,$A$6:$E$461,5,FALSE)="Yes"),VLOOKUP(H135,$A$6:$W$461,23,FALSE)+VLOOKUP(H135,$A$6:$F$461,6,FALSE),""),"")</f>
        <v/>
      </c>
      <c r="S135" s="11" t="str">
        <f t="shared" ref="S135:S198" si="98">IF(OR(I135="INIT",I135&gt;0),IF(AND($E135="Yes",VLOOKUP(I135,$A$6:$E$461,5,FALSE)="Yes"),VLOOKUP(I135,$A$6:$W$461,23,FALSE)+VLOOKUP(I135,$A$6:$F$461,6,FALSE),""),"")</f>
        <v/>
      </c>
      <c r="T135" s="11" t="str">
        <f t="shared" ref="T135:T198" si="99">IF(OR(J135="INIT",J135&gt;0),IF(AND($E135="Yes",VLOOKUP(J135,$A$6:$E$461,5,FALSE)="Yes"),VLOOKUP(J135,$A$6:$W$461,23,FALSE)+VLOOKUP(J135,$A$6:$F$461,6,FALSE),""),"")</f>
        <v/>
      </c>
      <c r="U135" s="11" t="str">
        <f t="shared" ref="U135:U198" si="100">IF(OR(K135="INIT",K135&gt;0),IF(AND($E135="Yes",VLOOKUP(K135,$A$6:$E$461,5,FALSE)="Yes"),VLOOKUP(K135,$A$6:$W$461,23,FALSE)+VLOOKUP(K135,$A$6:$F$461,6,FALSE),""),"")</f>
        <v/>
      </c>
      <c r="V135" s="11" t="str">
        <f t="shared" ref="V135:V198" si="101">IF(OR(L135="INIT",L135&gt;0),IF(AND($E135="Yes",VLOOKUP(L135,$A$6:$E$461,5,FALSE)="Yes"),VLOOKUP(L135,$A$6:$W$461,23,FALSE)+VLOOKUP(L135,$A$6:$F$461,6,FALSE),""),"")</f>
        <v/>
      </c>
      <c r="W135" s="11" t="str">
        <f t="shared" si="29"/>
        <v/>
      </c>
      <c r="X135" s="11" t="s">
        <v>860</v>
      </c>
      <c r="Y135" s="11" t="str">
        <f>HLOOKUP($X135,Tables_Cat!$B$6:$P$7,2,FALSE)</f>
        <v>Information</v>
      </c>
      <c r="Z135" s="24" t="s">
        <v>869</v>
      </c>
      <c r="AA135" s="11" t="s">
        <v>751</v>
      </c>
      <c r="AB135" s="13" t="str">
        <f t="shared" si="85"/>
        <v/>
      </c>
      <c r="AC135" s="11" t="s">
        <v>702</v>
      </c>
      <c r="AD135" s="11" t="str">
        <f t="shared" si="79"/>
        <v/>
      </c>
      <c r="AE135" s="11" t="s">
        <v>948</v>
      </c>
      <c r="AF135" s="11" t="str">
        <f t="shared" si="80"/>
        <v/>
      </c>
      <c r="AG135" s="11" t="str">
        <f t="shared" si="81"/>
        <v/>
      </c>
      <c r="AH135" s="11" t="str">
        <f t="shared" si="86"/>
        <v/>
      </c>
      <c r="AI135" s="11" t="str">
        <f t="shared" si="82"/>
        <v/>
      </c>
      <c r="AJ135" s="11" t="str">
        <f t="shared" si="83"/>
        <v/>
      </c>
      <c r="AK135" s="11" t="str">
        <f t="shared" si="84"/>
        <v/>
      </c>
      <c r="AN135" s="11" t="s">
        <v>871</v>
      </c>
      <c r="AO135" s="11" t="s">
        <v>918</v>
      </c>
    </row>
    <row r="136" spans="1:41" ht="31.5">
      <c r="A136" s="11">
        <v>130</v>
      </c>
      <c r="B136" s="11" t="s">
        <v>865</v>
      </c>
      <c r="C136" s="11" t="s">
        <v>949</v>
      </c>
      <c r="D136" s="32"/>
      <c r="E136" s="11" t="s">
        <v>4</v>
      </c>
      <c r="F136" s="11">
        <v>0.5</v>
      </c>
      <c r="G136" s="11">
        <v>0.25</v>
      </c>
      <c r="H136" s="11">
        <f>A134</f>
        <v>128</v>
      </c>
      <c r="I136" s="11">
        <f>A135</f>
        <v>129</v>
      </c>
      <c r="J136" s="11"/>
      <c r="K136" s="11"/>
      <c r="L136" s="11"/>
      <c r="M136" s="11" t="s">
        <v>694</v>
      </c>
      <c r="N136" s="11" t="s">
        <v>769</v>
      </c>
      <c r="O136" s="11" t="s">
        <v>931</v>
      </c>
      <c r="P136" s="11" t="s">
        <v>931</v>
      </c>
      <c r="Q136" s="11" t="s">
        <v>868</v>
      </c>
      <c r="R136" s="11" t="str">
        <f t="shared" si="97"/>
        <v/>
      </c>
      <c r="S136" s="11" t="str">
        <f t="shared" si="98"/>
        <v/>
      </c>
      <c r="T136" s="11" t="str">
        <f t="shared" si="99"/>
        <v/>
      </c>
      <c r="U136" s="11" t="str">
        <f t="shared" si="100"/>
        <v/>
      </c>
      <c r="V136" s="11" t="str">
        <f t="shared" si="101"/>
        <v/>
      </c>
      <c r="W136" s="11" t="str">
        <f t="shared" si="29"/>
        <v/>
      </c>
      <c r="X136" s="11" t="s">
        <v>914</v>
      </c>
      <c r="Y136" s="11" t="str">
        <f>HLOOKUP($X136,Tables_Cat!$B$6:$P$7,2,FALSE)</f>
        <v>Information</v>
      </c>
      <c r="Z136" s="24" t="s">
        <v>869</v>
      </c>
      <c r="AA136" s="11" t="s">
        <v>950</v>
      </c>
      <c r="AB136" s="13" t="str">
        <f t="shared" si="85"/>
        <v/>
      </c>
      <c r="AC136" s="11" t="s">
        <v>702</v>
      </c>
      <c r="AD136" s="11" t="str">
        <f t="shared" si="79"/>
        <v/>
      </c>
      <c r="AE136" s="11" t="s">
        <v>870</v>
      </c>
      <c r="AF136" s="11" t="str">
        <f t="shared" si="80"/>
        <v/>
      </c>
      <c r="AG136" s="11" t="str">
        <f t="shared" si="81"/>
        <v/>
      </c>
      <c r="AH136" s="11" t="str">
        <f t="shared" si="86"/>
        <v/>
      </c>
      <c r="AI136" s="11" t="str">
        <f t="shared" si="82"/>
        <v/>
      </c>
      <c r="AJ136" s="11" t="str">
        <f t="shared" si="83"/>
        <v/>
      </c>
      <c r="AK136" s="11" t="str">
        <f t="shared" si="84"/>
        <v/>
      </c>
      <c r="AN136" s="11" t="s">
        <v>871</v>
      </c>
      <c r="AO136" s="11" t="s">
        <v>918</v>
      </c>
    </row>
    <row r="137" spans="1:41" ht="47.25">
      <c r="A137" s="11">
        <v>131</v>
      </c>
      <c r="B137" s="11" t="s">
        <v>865</v>
      </c>
      <c r="C137" s="11" t="s">
        <v>951</v>
      </c>
      <c r="D137" s="32"/>
      <c r="E137" s="11" t="str">
        <f t="shared" si="37"/>
        <v>Select ...</v>
      </c>
      <c r="F137" s="11">
        <v>0.5</v>
      </c>
      <c r="G137" s="11">
        <v>0.25</v>
      </c>
      <c r="H137" s="11">
        <f>A135</f>
        <v>129</v>
      </c>
      <c r="I137" s="11"/>
      <c r="J137" s="11"/>
      <c r="K137" s="11"/>
      <c r="L137" s="11"/>
      <c r="M137" s="11" t="s">
        <v>694</v>
      </c>
      <c r="N137" s="11" t="s">
        <v>769</v>
      </c>
      <c r="O137" s="11" t="s">
        <v>931</v>
      </c>
      <c r="P137" s="11" t="s">
        <v>931</v>
      </c>
      <c r="Q137" s="11" t="s">
        <v>868</v>
      </c>
      <c r="R137" s="11" t="str">
        <f t="shared" si="97"/>
        <v/>
      </c>
      <c r="S137" s="11" t="str">
        <f t="shared" si="98"/>
        <v/>
      </c>
      <c r="T137" s="11" t="str">
        <f t="shared" si="99"/>
        <v/>
      </c>
      <c r="U137" s="11" t="str">
        <f t="shared" si="100"/>
        <v/>
      </c>
      <c r="V137" s="11" t="str">
        <f t="shared" si="101"/>
        <v/>
      </c>
      <c r="W137" s="11" t="str">
        <f t="shared" si="29"/>
        <v/>
      </c>
      <c r="X137" s="11" t="s">
        <v>914</v>
      </c>
      <c r="Y137" s="11" t="str">
        <f>HLOOKUP($X137,Tables_Cat!$B$6:$P$7,2,FALSE)</f>
        <v>Information</v>
      </c>
      <c r="Z137" s="24" t="s">
        <v>869</v>
      </c>
      <c r="AA137" s="11" t="s">
        <v>950</v>
      </c>
      <c r="AB137" s="13" t="str">
        <f t="shared" si="85"/>
        <v/>
      </c>
      <c r="AC137" s="11" t="s">
        <v>702</v>
      </c>
      <c r="AD137" s="11" t="str">
        <f t="shared" si="79"/>
        <v/>
      </c>
      <c r="AE137" s="11" t="s">
        <v>870</v>
      </c>
      <c r="AF137" s="11" t="str">
        <f t="shared" si="80"/>
        <v/>
      </c>
      <c r="AG137" s="11" t="str">
        <f t="shared" si="81"/>
        <v/>
      </c>
      <c r="AH137" s="11" t="str">
        <f t="shared" si="86"/>
        <v/>
      </c>
      <c r="AI137" s="11" t="str">
        <f t="shared" si="82"/>
        <v/>
      </c>
      <c r="AJ137" s="11" t="str">
        <f t="shared" si="83"/>
        <v/>
      </c>
      <c r="AK137" s="11" t="str">
        <f t="shared" si="84"/>
        <v/>
      </c>
      <c r="AN137" s="11" t="s">
        <v>871</v>
      </c>
      <c r="AO137" s="11" t="s">
        <v>918</v>
      </c>
    </row>
    <row r="138" spans="1:41" ht="31.5">
      <c r="A138" s="11">
        <v>132</v>
      </c>
      <c r="B138" s="11" t="s">
        <v>865</v>
      </c>
      <c r="C138" s="11" t="s">
        <v>952</v>
      </c>
      <c r="D138" s="32"/>
      <c r="E138" s="11" t="str">
        <f t="shared" si="37"/>
        <v>Select ...</v>
      </c>
      <c r="F138" s="11">
        <v>0.5</v>
      </c>
      <c r="G138" s="11">
        <v>0.25</v>
      </c>
      <c r="H138" s="11">
        <f>A135</f>
        <v>129</v>
      </c>
      <c r="I138" s="11"/>
      <c r="J138" s="11"/>
      <c r="K138" s="11"/>
      <c r="L138" s="11"/>
      <c r="M138" s="11" t="s">
        <v>694</v>
      </c>
      <c r="N138" s="11" t="s">
        <v>769</v>
      </c>
      <c r="O138" s="11" t="s">
        <v>931</v>
      </c>
      <c r="P138" s="11" t="s">
        <v>931</v>
      </c>
      <c r="Q138" s="11" t="s">
        <v>868</v>
      </c>
      <c r="R138" s="11" t="str">
        <f t="shared" si="97"/>
        <v/>
      </c>
      <c r="S138" s="11" t="str">
        <f t="shared" si="98"/>
        <v/>
      </c>
      <c r="T138" s="11" t="str">
        <f t="shared" si="99"/>
        <v/>
      </c>
      <c r="U138" s="11" t="str">
        <f t="shared" si="100"/>
        <v/>
      </c>
      <c r="V138" s="11" t="str">
        <f t="shared" si="101"/>
        <v/>
      </c>
      <c r="W138" s="11" t="str">
        <f t="shared" si="29"/>
        <v/>
      </c>
      <c r="X138" s="11" t="s">
        <v>914</v>
      </c>
      <c r="Y138" s="11" t="str">
        <f>HLOOKUP($X138,Tables_Cat!$B$6:$P$7,2,FALSE)</f>
        <v>Information</v>
      </c>
      <c r="Z138" s="24" t="s">
        <v>869</v>
      </c>
      <c r="AA138" s="11" t="s">
        <v>950</v>
      </c>
      <c r="AB138" s="13" t="str">
        <f t="shared" si="85"/>
        <v/>
      </c>
      <c r="AC138" s="11" t="s">
        <v>702</v>
      </c>
      <c r="AD138" s="11" t="str">
        <f t="shared" si="79"/>
        <v/>
      </c>
      <c r="AE138" s="11" t="s">
        <v>870</v>
      </c>
      <c r="AF138" s="11" t="str">
        <f t="shared" si="80"/>
        <v/>
      </c>
      <c r="AG138" s="11" t="str">
        <f t="shared" si="81"/>
        <v/>
      </c>
      <c r="AH138" s="11" t="str">
        <f t="shared" si="86"/>
        <v/>
      </c>
      <c r="AI138" s="11" t="str">
        <f t="shared" si="82"/>
        <v/>
      </c>
      <c r="AJ138" s="11" t="str">
        <f t="shared" si="83"/>
        <v/>
      </c>
      <c r="AK138" s="11" t="str">
        <f t="shared" si="84"/>
        <v/>
      </c>
      <c r="AN138" s="11" t="s">
        <v>871</v>
      </c>
      <c r="AO138" s="11" t="s">
        <v>918</v>
      </c>
    </row>
    <row r="139" spans="1:41" ht="31.5">
      <c r="A139" s="11">
        <v>133</v>
      </c>
      <c r="B139" s="11" t="s">
        <v>865</v>
      </c>
      <c r="C139" s="11" t="s">
        <v>953</v>
      </c>
      <c r="D139" s="32"/>
      <c r="E139" s="11" t="str">
        <f t="shared" si="37"/>
        <v>Select ...</v>
      </c>
      <c r="F139" s="11">
        <v>2</v>
      </c>
      <c r="G139" s="11">
        <v>2</v>
      </c>
      <c r="H139" s="11">
        <f>A136</f>
        <v>130</v>
      </c>
      <c r="I139" s="11"/>
      <c r="J139" s="11"/>
      <c r="K139" s="11"/>
      <c r="L139" s="11"/>
      <c r="M139" s="11" t="s">
        <v>694</v>
      </c>
      <c r="N139" s="11" t="s">
        <v>769</v>
      </c>
      <c r="O139" s="11" t="s">
        <v>888</v>
      </c>
      <c r="P139" s="11" t="s">
        <v>92</v>
      </c>
      <c r="Q139" s="11" t="s">
        <v>770</v>
      </c>
      <c r="R139" s="11" t="str">
        <f t="shared" si="97"/>
        <v/>
      </c>
      <c r="S139" s="11" t="str">
        <f t="shared" si="98"/>
        <v/>
      </c>
      <c r="T139" s="11" t="str">
        <f t="shared" si="99"/>
        <v/>
      </c>
      <c r="U139" s="11" t="str">
        <f t="shared" si="100"/>
        <v/>
      </c>
      <c r="V139" s="11" t="str">
        <f t="shared" si="101"/>
        <v/>
      </c>
      <c r="W139" s="11" t="str">
        <f t="shared" si="29"/>
        <v/>
      </c>
      <c r="X139" s="11" t="s">
        <v>92</v>
      </c>
      <c r="Y139" s="11" t="str">
        <f>HLOOKUP($X139,Tables_Cat!$B$6:$P$7,2,FALSE)</f>
        <v>Material</v>
      </c>
      <c r="Z139" s="24" t="s">
        <v>700</v>
      </c>
      <c r="AA139" s="11" t="s">
        <v>728</v>
      </c>
      <c r="AB139" s="13" t="str">
        <f t="shared" si="85"/>
        <v/>
      </c>
      <c r="AC139" s="11" t="s">
        <v>912</v>
      </c>
      <c r="AD139" s="11" t="str">
        <f t="shared" si="79"/>
        <v/>
      </c>
      <c r="AE139" s="11" t="s">
        <v>772</v>
      </c>
      <c r="AF139" s="11" t="str">
        <f t="shared" si="80"/>
        <v/>
      </c>
      <c r="AG139" s="11" t="str">
        <f t="shared" si="81"/>
        <v/>
      </c>
      <c r="AH139" s="11" t="str">
        <f t="shared" si="86"/>
        <v/>
      </c>
      <c r="AI139" s="11" t="str">
        <f t="shared" si="82"/>
        <v/>
      </c>
      <c r="AJ139" s="11" t="str">
        <f t="shared" si="83"/>
        <v/>
      </c>
      <c r="AK139" s="11" t="str">
        <f t="shared" si="84"/>
        <v/>
      </c>
      <c r="AN139" s="11" t="s">
        <v>954</v>
      </c>
      <c r="AO139" s="11" t="s">
        <v>918</v>
      </c>
    </row>
    <row r="140" spans="1:41" ht="31.5">
      <c r="A140" s="11">
        <v>134</v>
      </c>
      <c r="B140" s="11" t="s">
        <v>865</v>
      </c>
      <c r="C140" s="11" t="s">
        <v>955</v>
      </c>
      <c r="D140" s="32"/>
      <c r="E140" s="11" t="s">
        <v>4</v>
      </c>
      <c r="F140" s="11">
        <v>0.5</v>
      </c>
      <c r="G140" s="11">
        <v>0.5</v>
      </c>
      <c r="H140" s="11">
        <f>A136</f>
        <v>130</v>
      </c>
      <c r="I140" s="11"/>
      <c r="J140" s="11"/>
      <c r="K140" s="11"/>
      <c r="L140" s="11"/>
      <c r="M140" s="11" t="s">
        <v>694</v>
      </c>
      <c r="N140" s="11" t="s">
        <v>769</v>
      </c>
      <c r="O140" s="11" t="s">
        <v>888</v>
      </c>
      <c r="P140" s="11" t="s">
        <v>92</v>
      </c>
      <c r="Q140" s="11" t="s">
        <v>770</v>
      </c>
      <c r="R140" s="11" t="str">
        <f t="shared" si="97"/>
        <v/>
      </c>
      <c r="S140" s="11" t="str">
        <f t="shared" si="98"/>
        <v/>
      </c>
      <c r="T140" s="11" t="str">
        <f t="shared" si="99"/>
        <v/>
      </c>
      <c r="U140" s="11" t="str">
        <f t="shared" si="100"/>
        <v/>
      </c>
      <c r="V140" s="11" t="str">
        <f t="shared" si="101"/>
        <v/>
      </c>
      <c r="W140" s="11" t="str">
        <f t="shared" si="29"/>
        <v/>
      </c>
      <c r="X140" s="11" t="s">
        <v>92</v>
      </c>
      <c r="Y140" s="11" t="str">
        <f>HLOOKUP($X140,Tables_Cat!$B$6:$P$7,2,FALSE)</f>
        <v>Material</v>
      </c>
      <c r="Z140" s="24" t="s">
        <v>700</v>
      </c>
      <c r="AA140" s="11" t="s">
        <v>728</v>
      </c>
      <c r="AB140" s="13" t="str">
        <f t="shared" si="85"/>
        <v/>
      </c>
      <c r="AC140" s="11" t="s">
        <v>912</v>
      </c>
      <c r="AD140" s="11" t="str">
        <f t="shared" si="79"/>
        <v/>
      </c>
      <c r="AE140" s="11" t="s">
        <v>772</v>
      </c>
      <c r="AF140" s="11" t="str">
        <f t="shared" si="80"/>
        <v/>
      </c>
      <c r="AG140" s="11" t="str">
        <f t="shared" si="81"/>
        <v/>
      </c>
      <c r="AH140" s="11" t="str">
        <f t="shared" si="86"/>
        <v/>
      </c>
      <c r="AI140" s="11" t="str">
        <f t="shared" si="82"/>
        <v/>
      </c>
      <c r="AJ140" s="11" t="str">
        <f t="shared" si="83"/>
        <v/>
      </c>
      <c r="AK140" s="11" t="str">
        <f t="shared" si="84"/>
        <v/>
      </c>
      <c r="AN140" s="11" t="s">
        <v>956</v>
      </c>
      <c r="AO140" s="11" t="s">
        <v>918</v>
      </c>
    </row>
    <row r="141" spans="1:41" ht="31.5">
      <c r="A141" s="11">
        <v>135</v>
      </c>
      <c r="B141" s="11" t="s">
        <v>865</v>
      </c>
      <c r="C141" s="11" t="s">
        <v>957</v>
      </c>
      <c r="D141" s="32"/>
      <c r="E141" s="11" t="str">
        <f t="shared" si="37"/>
        <v>Select ...</v>
      </c>
      <c r="F141" s="11">
        <v>0.5</v>
      </c>
      <c r="G141" s="11">
        <v>0.25</v>
      </c>
      <c r="H141" s="11">
        <f>A136</f>
        <v>130</v>
      </c>
      <c r="I141" s="11"/>
      <c r="J141" s="11"/>
      <c r="K141" s="11"/>
      <c r="L141" s="11"/>
      <c r="M141" s="11" t="s">
        <v>694</v>
      </c>
      <c r="N141" s="11" t="s">
        <v>769</v>
      </c>
      <c r="O141" s="11" t="s">
        <v>888</v>
      </c>
      <c r="P141" s="11" t="s">
        <v>92</v>
      </c>
      <c r="Q141" s="11" t="s">
        <v>770</v>
      </c>
      <c r="R141" s="11" t="str">
        <f t="shared" si="97"/>
        <v/>
      </c>
      <c r="S141" s="11" t="str">
        <f t="shared" si="98"/>
        <v/>
      </c>
      <c r="T141" s="11" t="str">
        <f t="shared" si="99"/>
        <v/>
      </c>
      <c r="U141" s="11" t="str">
        <f t="shared" si="100"/>
        <v/>
      </c>
      <c r="V141" s="11" t="str">
        <f t="shared" si="101"/>
        <v/>
      </c>
      <c r="W141" s="11" t="str">
        <f t="shared" si="29"/>
        <v/>
      </c>
      <c r="X141" s="11" t="s">
        <v>92</v>
      </c>
      <c r="Y141" s="11" t="str">
        <f>HLOOKUP($X141,Tables_Cat!$B$6:$P$7,2,FALSE)</f>
        <v>Material</v>
      </c>
      <c r="Z141" s="24" t="s">
        <v>700</v>
      </c>
      <c r="AA141" s="11" t="s">
        <v>728</v>
      </c>
      <c r="AB141" s="13" t="str">
        <f t="shared" si="85"/>
        <v/>
      </c>
      <c r="AC141" s="11" t="s">
        <v>912</v>
      </c>
      <c r="AD141" s="11" t="str">
        <f t="shared" si="79"/>
        <v/>
      </c>
      <c r="AE141" s="11" t="s">
        <v>772</v>
      </c>
      <c r="AF141" s="11" t="str">
        <f t="shared" si="80"/>
        <v/>
      </c>
      <c r="AG141" s="11" t="str">
        <f t="shared" si="81"/>
        <v/>
      </c>
      <c r="AH141" s="11" t="str">
        <f t="shared" si="86"/>
        <v/>
      </c>
      <c r="AI141" s="11" t="str">
        <f t="shared" si="82"/>
        <v/>
      </c>
      <c r="AJ141" s="11" t="str">
        <f t="shared" si="83"/>
        <v/>
      </c>
      <c r="AK141" s="11" t="str">
        <f t="shared" si="84"/>
        <v/>
      </c>
      <c r="AN141" s="11" t="s">
        <v>956</v>
      </c>
      <c r="AO141" s="11" t="s">
        <v>918</v>
      </c>
    </row>
    <row r="142" spans="1:41" ht="31.5">
      <c r="A142" s="11">
        <v>136</v>
      </c>
      <c r="B142" s="11" t="s">
        <v>865</v>
      </c>
      <c r="C142" s="11" t="s">
        <v>958</v>
      </c>
      <c r="D142" s="32"/>
      <c r="E142" s="11" t="s">
        <v>3</v>
      </c>
      <c r="F142" s="11">
        <v>0.01</v>
      </c>
      <c r="G142" s="11">
        <v>0</v>
      </c>
      <c r="H142" s="11">
        <f>A134</f>
        <v>128</v>
      </c>
      <c r="I142" s="11">
        <f>A279</f>
        <v>273</v>
      </c>
      <c r="J142" s="11"/>
      <c r="K142" s="11"/>
      <c r="L142" s="11"/>
      <c r="M142" s="11" t="s">
        <v>694</v>
      </c>
      <c r="N142" s="11" t="s">
        <v>769</v>
      </c>
      <c r="O142" s="11" t="s">
        <v>888</v>
      </c>
      <c r="P142" s="11" t="s">
        <v>92</v>
      </c>
      <c r="Q142" s="11" t="s">
        <v>770</v>
      </c>
      <c r="R142" s="11">
        <f t="shared" si="97"/>
        <v>10.25</v>
      </c>
      <c r="S142" s="11">
        <f t="shared" si="98"/>
        <v>10.25</v>
      </c>
      <c r="T142" s="11" t="str">
        <f t="shared" si="99"/>
        <v/>
      </c>
      <c r="U142" s="11" t="str">
        <f t="shared" si="100"/>
        <v/>
      </c>
      <c r="V142" s="11" t="str">
        <f t="shared" si="101"/>
        <v/>
      </c>
      <c r="W142" s="11">
        <f t="shared" si="29"/>
        <v>10.25</v>
      </c>
      <c r="X142" s="11" t="s">
        <v>92</v>
      </c>
      <c r="Y142" s="11" t="str">
        <f>HLOOKUP($X142,Tables_Cat!$B$6:$P$7,2,FALSE)</f>
        <v>Material</v>
      </c>
      <c r="Z142" s="24" t="s">
        <v>700</v>
      </c>
      <c r="AA142" s="11" t="s">
        <v>728</v>
      </c>
      <c r="AB142" s="13">
        <f t="shared" si="85"/>
        <v>1</v>
      </c>
      <c r="AC142" s="11" t="s">
        <v>912</v>
      </c>
      <c r="AD142" s="11">
        <f t="shared" si="79"/>
        <v>1</v>
      </c>
      <c r="AE142" s="11" t="s">
        <v>772</v>
      </c>
      <c r="AF142" s="11">
        <f t="shared" si="80"/>
        <v>0.10250000000000001</v>
      </c>
      <c r="AG142" s="11">
        <f t="shared" si="81"/>
        <v>1.0506249999999999</v>
      </c>
      <c r="AH142" s="11">
        <f t="shared" si="86"/>
        <v>4</v>
      </c>
      <c r="AI142" s="11">
        <f t="shared" si="82"/>
        <v>0</v>
      </c>
      <c r="AJ142" s="11">
        <f t="shared" si="83"/>
        <v>0</v>
      </c>
      <c r="AK142" s="11">
        <f t="shared" si="84"/>
        <v>0</v>
      </c>
      <c r="AN142" s="11" t="s">
        <v>959</v>
      </c>
      <c r="AO142" s="11" t="s">
        <v>918</v>
      </c>
    </row>
    <row r="143" spans="1:41" ht="31.5">
      <c r="A143" s="11">
        <v>137</v>
      </c>
      <c r="B143" s="11" t="s">
        <v>865</v>
      </c>
      <c r="C143" s="11" t="s">
        <v>960</v>
      </c>
      <c r="D143" s="32"/>
      <c r="E143" s="11" t="str">
        <f t="shared" si="37"/>
        <v>Select ...</v>
      </c>
      <c r="F143" s="11">
        <v>0.5</v>
      </c>
      <c r="G143" s="11">
        <v>0.25</v>
      </c>
      <c r="H143" s="11">
        <f>A136</f>
        <v>130</v>
      </c>
      <c r="I143" s="11"/>
      <c r="J143" s="11"/>
      <c r="K143" s="11"/>
      <c r="L143" s="11"/>
      <c r="M143" s="11" t="s">
        <v>694</v>
      </c>
      <c r="N143" s="11" t="s">
        <v>769</v>
      </c>
      <c r="O143" s="11" t="s">
        <v>888</v>
      </c>
      <c r="P143" s="11" t="s">
        <v>92</v>
      </c>
      <c r="Q143" s="11" t="s">
        <v>770</v>
      </c>
      <c r="R143" s="11" t="str">
        <f t="shared" si="97"/>
        <v/>
      </c>
      <c r="S143" s="11" t="str">
        <f t="shared" si="98"/>
        <v/>
      </c>
      <c r="T143" s="11" t="str">
        <f t="shared" si="99"/>
        <v/>
      </c>
      <c r="U143" s="11" t="str">
        <f t="shared" si="100"/>
        <v/>
      </c>
      <c r="V143" s="11" t="str">
        <f t="shared" si="101"/>
        <v/>
      </c>
      <c r="W143" s="11" t="str">
        <f t="shared" si="29"/>
        <v/>
      </c>
      <c r="X143" s="11" t="s">
        <v>92</v>
      </c>
      <c r="Y143" s="11" t="str">
        <f>HLOOKUP($X143,Tables_Cat!$B$6:$P$7,2,FALSE)</f>
        <v>Material</v>
      </c>
      <c r="Z143" s="24" t="s">
        <v>700</v>
      </c>
      <c r="AA143" s="11" t="s">
        <v>728</v>
      </c>
      <c r="AB143" s="13" t="str">
        <f t="shared" si="85"/>
        <v/>
      </c>
      <c r="AC143" s="11" t="s">
        <v>912</v>
      </c>
      <c r="AD143" s="11" t="str">
        <f t="shared" si="79"/>
        <v/>
      </c>
      <c r="AE143" s="11" t="s">
        <v>772</v>
      </c>
      <c r="AF143" s="11" t="str">
        <f t="shared" si="80"/>
        <v/>
      </c>
      <c r="AG143" s="11" t="str">
        <f t="shared" si="81"/>
        <v/>
      </c>
      <c r="AH143" s="11" t="str">
        <f t="shared" si="86"/>
        <v/>
      </c>
      <c r="AI143" s="11" t="str">
        <f t="shared" si="82"/>
        <v/>
      </c>
      <c r="AJ143" s="11" t="str">
        <f t="shared" si="83"/>
        <v/>
      </c>
      <c r="AK143" s="11" t="str">
        <f t="shared" si="84"/>
        <v/>
      </c>
      <c r="AN143" s="11" t="s">
        <v>959</v>
      </c>
      <c r="AO143" s="11" t="s">
        <v>918</v>
      </c>
    </row>
    <row r="144" spans="1:41" ht="31.5">
      <c r="A144" s="11">
        <v>138</v>
      </c>
      <c r="B144" s="11" t="s">
        <v>865</v>
      </c>
      <c r="C144" s="11" t="s">
        <v>961</v>
      </c>
      <c r="D144" s="32"/>
      <c r="E144" s="11" t="str">
        <f t="shared" si="37"/>
        <v>Select ...</v>
      </c>
      <c r="F144" s="11">
        <v>1</v>
      </c>
      <c r="G144" s="11">
        <v>1</v>
      </c>
      <c r="H144" s="11">
        <f>A136</f>
        <v>130</v>
      </c>
      <c r="I144" s="11"/>
      <c r="J144" s="11"/>
      <c r="K144" s="11"/>
      <c r="L144" s="11"/>
      <c r="M144" s="11" t="s">
        <v>694</v>
      </c>
      <c r="N144" s="11" t="s">
        <v>769</v>
      </c>
      <c r="O144" s="11" t="s">
        <v>888</v>
      </c>
      <c r="P144" s="11" t="s">
        <v>92</v>
      </c>
      <c r="Q144" s="11" t="s">
        <v>770</v>
      </c>
      <c r="R144" s="11" t="str">
        <f t="shared" si="97"/>
        <v/>
      </c>
      <c r="S144" s="11" t="str">
        <f t="shared" si="98"/>
        <v/>
      </c>
      <c r="T144" s="11" t="str">
        <f t="shared" si="99"/>
        <v/>
      </c>
      <c r="U144" s="11" t="str">
        <f t="shared" si="100"/>
        <v/>
      </c>
      <c r="V144" s="11" t="str">
        <f t="shared" si="101"/>
        <v/>
      </c>
      <c r="W144" s="11" t="str">
        <f t="shared" si="29"/>
        <v/>
      </c>
      <c r="X144" s="11" t="s">
        <v>92</v>
      </c>
      <c r="Y144" s="11" t="str">
        <f>HLOOKUP($X144,Tables_Cat!$B$6:$P$7,2,FALSE)</f>
        <v>Material</v>
      </c>
      <c r="Z144" s="24" t="s">
        <v>700</v>
      </c>
      <c r="AA144" s="11" t="s">
        <v>728</v>
      </c>
      <c r="AB144" s="13" t="str">
        <f t="shared" si="85"/>
        <v/>
      </c>
      <c r="AC144" s="11" t="s">
        <v>912</v>
      </c>
      <c r="AD144" s="11" t="str">
        <f t="shared" si="79"/>
        <v/>
      </c>
      <c r="AE144" s="11" t="s">
        <v>772</v>
      </c>
      <c r="AF144" s="11" t="str">
        <f t="shared" si="80"/>
        <v/>
      </c>
      <c r="AG144" s="11" t="str">
        <f t="shared" si="81"/>
        <v/>
      </c>
      <c r="AH144" s="11" t="str">
        <f t="shared" si="86"/>
        <v/>
      </c>
      <c r="AI144" s="11" t="str">
        <f t="shared" si="82"/>
        <v/>
      </c>
      <c r="AJ144" s="11" t="str">
        <f t="shared" si="83"/>
        <v/>
      </c>
      <c r="AK144" s="11" t="str">
        <f t="shared" si="84"/>
        <v/>
      </c>
      <c r="AN144" s="11" t="s">
        <v>956</v>
      </c>
      <c r="AO144" s="11" t="s">
        <v>918</v>
      </c>
    </row>
    <row r="145" spans="1:41" ht="31.5">
      <c r="A145" s="11">
        <v>139</v>
      </c>
      <c r="B145" s="11" t="s">
        <v>865</v>
      </c>
      <c r="C145" s="11" t="s">
        <v>962</v>
      </c>
      <c r="D145" s="32"/>
      <c r="E145" s="11" t="str">
        <f t="shared" si="37"/>
        <v>Select ...</v>
      </c>
      <c r="F145" s="11">
        <v>1</v>
      </c>
      <c r="G145" s="11">
        <v>0.5</v>
      </c>
      <c r="H145" s="11">
        <f>A136</f>
        <v>130</v>
      </c>
      <c r="I145" s="11"/>
      <c r="J145" s="11"/>
      <c r="K145" s="11"/>
      <c r="L145" s="11"/>
      <c r="M145" s="11" t="s">
        <v>694</v>
      </c>
      <c r="N145" s="11" t="s">
        <v>769</v>
      </c>
      <c r="O145" s="11" t="s">
        <v>888</v>
      </c>
      <c r="P145" s="11" t="s">
        <v>92</v>
      </c>
      <c r="Q145" s="11" t="s">
        <v>770</v>
      </c>
      <c r="R145" s="11" t="str">
        <f t="shared" si="97"/>
        <v/>
      </c>
      <c r="S145" s="11" t="str">
        <f t="shared" si="98"/>
        <v/>
      </c>
      <c r="T145" s="11" t="str">
        <f t="shared" si="99"/>
        <v/>
      </c>
      <c r="U145" s="11" t="str">
        <f t="shared" si="100"/>
        <v/>
      </c>
      <c r="V145" s="11" t="str">
        <f t="shared" si="101"/>
        <v/>
      </c>
      <c r="W145" s="11" t="str">
        <f t="shared" ref="W145:W315" si="102">IF($E145="Yes",MAX(R145:V145),"")</f>
        <v/>
      </c>
      <c r="X145" s="11" t="s">
        <v>92</v>
      </c>
      <c r="Y145" s="11" t="str">
        <f>HLOOKUP($X145,Tables_Cat!$B$6:$P$7,2,FALSE)</f>
        <v>Material</v>
      </c>
      <c r="Z145" s="24" t="s">
        <v>700</v>
      </c>
      <c r="AA145" s="11" t="s">
        <v>728</v>
      </c>
      <c r="AB145" s="13" t="str">
        <f t="shared" si="85"/>
        <v/>
      </c>
      <c r="AC145" s="11" t="s">
        <v>912</v>
      </c>
      <c r="AD145" s="11" t="str">
        <f t="shared" si="79"/>
        <v/>
      </c>
      <c r="AE145" s="11" t="s">
        <v>772</v>
      </c>
      <c r="AF145" s="11" t="str">
        <f t="shared" si="80"/>
        <v/>
      </c>
      <c r="AG145" s="11" t="str">
        <f t="shared" si="81"/>
        <v/>
      </c>
      <c r="AH145" s="11" t="str">
        <f t="shared" si="86"/>
        <v/>
      </c>
      <c r="AI145" s="11" t="str">
        <f t="shared" si="82"/>
        <v/>
      </c>
      <c r="AJ145" s="11" t="str">
        <f t="shared" si="83"/>
        <v/>
      </c>
      <c r="AK145" s="11" t="str">
        <f t="shared" si="84"/>
        <v/>
      </c>
      <c r="AN145" s="11" t="s">
        <v>956</v>
      </c>
      <c r="AO145" s="11" t="s">
        <v>918</v>
      </c>
    </row>
    <row r="146" spans="1:41" ht="47.25">
      <c r="A146" s="11">
        <v>140</v>
      </c>
      <c r="B146" s="11" t="s">
        <v>865</v>
      </c>
      <c r="C146" s="11" t="s">
        <v>963</v>
      </c>
      <c r="D146" s="32"/>
      <c r="E146" s="11" t="str">
        <f t="shared" si="37"/>
        <v>Select ...</v>
      </c>
      <c r="F146" s="11">
        <v>0.5</v>
      </c>
      <c r="G146" s="11">
        <v>0.25</v>
      </c>
      <c r="H146" s="11">
        <f>A136</f>
        <v>130</v>
      </c>
      <c r="I146" s="11"/>
      <c r="J146" s="11"/>
      <c r="K146" s="11"/>
      <c r="L146" s="11"/>
      <c r="M146" s="11" t="s">
        <v>694</v>
      </c>
      <c r="N146" s="11" t="s">
        <v>769</v>
      </c>
      <c r="O146" s="11" t="s">
        <v>888</v>
      </c>
      <c r="P146" s="11" t="s">
        <v>92</v>
      </c>
      <c r="Q146" s="11" t="s">
        <v>770</v>
      </c>
      <c r="R146" s="11" t="str">
        <f t="shared" si="97"/>
        <v/>
      </c>
      <c r="S146" s="11" t="str">
        <f t="shared" si="98"/>
        <v/>
      </c>
      <c r="T146" s="11" t="str">
        <f t="shared" si="99"/>
        <v/>
      </c>
      <c r="U146" s="11" t="str">
        <f t="shared" si="100"/>
        <v/>
      </c>
      <c r="V146" s="11" t="str">
        <f t="shared" si="101"/>
        <v/>
      </c>
      <c r="W146" s="11" t="str">
        <f t="shared" si="102"/>
        <v/>
      </c>
      <c r="X146" s="11" t="s">
        <v>92</v>
      </c>
      <c r="Y146" s="11" t="str">
        <f>HLOOKUP($X146,Tables_Cat!$B$6:$P$7,2,FALSE)</f>
        <v>Material</v>
      </c>
      <c r="Z146" s="24" t="s">
        <v>700</v>
      </c>
      <c r="AA146" s="11" t="s">
        <v>728</v>
      </c>
      <c r="AB146" s="13" t="str">
        <f t="shared" si="85"/>
        <v/>
      </c>
      <c r="AC146" s="11" t="s">
        <v>912</v>
      </c>
      <c r="AD146" s="11" t="str">
        <f t="shared" si="79"/>
        <v/>
      </c>
      <c r="AE146" s="11" t="s">
        <v>772</v>
      </c>
      <c r="AF146" s="11" t="str">
        <f t="shared" si="80"/>
        <v/>
      </c>
      <c r="AG146" s="11" t="str">
        <f t="shared" si="81"/>
        <v/>
      </c>
      <c r="AH146" s="11" t="str">
        <f t="shared" si="86"/>
        <v/>
      </c>
      <c r="AI146" s="11" t="str">
        <f t="shared" si="82"/>
        <v/>
      </c>
      <c r="AJ146" s="11" t="str">
        <f t="shared" si="83"/>
        <v/>
      </c>
      <c r="AK146" s="11" t="str">
        <f t="shared" si="84"/>
        <v/>
      </c>
      <c r="AN146" s="11" t="s">
        <v>959</v>
      </c>
      <c r="AO146" s="11" t="s">
        <v>918</v>
      </c>
    </row>
    <row r="147" spans="1:41" ht="31.5">
      <c r="A147" s="11">
        <v>141</v>
      </c>
      <c r="B147" s="11" t="s">
        <v>919</v>
      </c>
      <c r="C147" s="11" t="s">
        <v>964</v>
      </c>
      <c r="D147" s="32"/>
      <c r="E147" s="11" t="s">
        <v>4</v>
      </c>
      <c r="F147" s="11">
        <v>0.01</v>
      </c>
      <c r="G147" s="11">
        <v>0.01</v>
      </c>
      <c r="H147" s="11">
        <f>A171</f>
        <v>165</v>
      </c>
      <c r="I147" s="11"/>
      <c r="J147" s="11"/>
      <c r="K147" s="11"/>
      <c r="L147" s="11"/>
      <c r="M147" s="11" t="s">
        <v>694</v>
      </c>
      <c r="N147" s="11" t="s">
        <v>769</v>
      </c>
      <c r="O147" s="11" t="s">
        <v>92</v>
      </c>
      <c r="P147" s="11" t="s">
        <v>92</v>
      </c>
      <c r="Q147" s="11" t="s">
        <v>921</v>
      </c>
      <c r="R147" s="11" t="str">
        <f t="shared" si="97"/>
        <v/>
      </c>
      <c r="S147" s="11" t="str">
        <f t="shared" si="98"/>
        <v/>
      </c>
      <c r="T147" s="11" t="str">
        <f t="shared" si="99"/>
        <v/>
      </c>
      <c r="U147" s="11" t="str">
        <f t="shared" si="100"/>
        <v/>
      </c>
      <c r="V147" s="11" t="str">
        <f t="shared" si="101"/>
        <v/>
      </c>
      <c r="W147" s="11" t="str">
        <f t="shared" si="102"/>
        <v/>
      </c>
      <c r="X147" s="11" t="s">
        <v>92</v>
      </c>
      <c r="Y147" s="11" t="str">
        <f>HLOOKUP($X147,Tables_Cat!$B$6:$P$7,2,FALSE)</f>
        <v>Material</v>
      </c>
      <c r="Z147" s="24" t="s">
        <v>904</v>
      </c>
      <c r="AA147" s="11" t="s">
        <v>728</v>
      </c>
      <c r="AB147" s="13" t="str">
        <f t="shared" si="85"/>
        <v/>
      </c>
      <c r="AC147" s="11" t="s">
        <v>922</v>
      </c>
      <c r="AD147" s="11" t="str">
        <f t="shared" si="79"/>
        <v/>
      </c>
      <c r="AE147" s="11" t="s">
        <v>923</v>
      </c>
      <c r="AF147" s="11" t="str">
        <f t="shared" si="80"/>
        <v/>
      </c>
      <c r="AG147" s="11" t="str">
        <f t="shared" si="81"/>
        <v/>
      </c>
      <c r="AH147" s="11" t="str">
        <f t="shared" si="86"/>
        <v/>
      </c>
      <c r="AI147" s="11" t="str">
        <f t="shared" si="82"/>
        <v/>
      </c>
      <c r="AJ147" s="11" t="str">
        <f t="shared" si="83"/>
        <v/>
      </c>
      <c r="AK147" s="11" t="str">
        <f t="shared" si="84"/>
        <v/>
      </c>
      <c r="AN147" s="11" t="s">
        <v>871</v>
      </c>
      <c r="AO147" s="11" t="s">
        <v>924</v>
      </c>
    </row>
    <row r="148" spans="1:41" ht="47.25">
      <c r="A148" s="11">
        <v>142</v>
      </c>
      <c r="B148" s="11" t="s">
        <v>919</v>
      </c>
      <c r="C148" s="11" t="s">
        <v>965</v>
      </c>
      <c r="D148" s="32"/>
      <c r="E148" s="11" t="s">
        <v>4</v>
      </c>
      <c r="F148" s="11">
        <v>0.01</v>
      </c>
      <c r="G148" s="11">
        <v>0.01</v>
      </c>
      <c r="H148" s="11">
        <f>A160</f>
        <v>154</v>
      </c>
      <c r="I148" s="11"/>
      <c r="J148" s="11"/>
      <c r="K148" s="11"/>
      <c r="L148" s="11"/>
      <c r="M148" s="11" t="s">
        <v>750</v>
      </c>
      <c r="N148" s="11" t="s">
        <v>735</v>
      </c>
      <c r="O148" s="11" t="s">
        <v>696</v>
      </c>
      <c r="P148" s="11" t="s">
        <v>931</v>
      </c>
      <c r="Q148" s="11" t="s">
        <v>758</v>
      </c>
      <c r="R148" s="11" t="str">
        <f t="shared" si="97"/>
        <v/>
      </c>
      <c r="S148" s="11" t="str">
        <f t="shared" si="98"/>
        <v/>
      </c>
      <c r="T148" s="11" t="str">
        <f t="shared" si="99"/>
        <v/>
      </c>
      <c r="U148" s="11" t="str">
        <f t="shared" si="100"/>
        <v/>
      </c>
      <c r="V148" s="11" t="str">
        <f t="shared" si="101"/>
        <v/>
      </c>
      <c r="W148" s="11" t="str">
        <f>IF($E148="Yes",MAX(R148:V148),"")</f>
        <v/>
      </c>
      <c r="X148" s="11" t="s">
        <v>914</v>
      </c>
      <c r="Y148" s="11" t="str">
        <f>HLOOKUP($X148,Tables_Cat!$B$6:$P$7,2,FALSE)</f>
        <v>Information</v>
      </c>
      <c r="Z148" s="24" t="s">
        <v>709</v>
      </c>
      <c r="AA148" s="11" t="s">
        <v>701</v>
      </c>
      <c r="AB148" s="13" t="str">
        <f>IF($E148="Yes",($F148-$G148)/$F148,"")</f>
        <v/>
      </c>
      <c r="AC148" s="11" t="s">
        <v>932</v>
      </c>
      <c r="AD148" s="11" t="str">
        <f>IF($E148="Yes",$AB148+$AI148,"")</f>
        <v/>
      </c>
      <c r="AE148" s="11" t="s">
        <v>760</v>
      </c>
      <c r="AF148" s="11" t="str">
        <f>IF($E148="Yes",$F148*$W148,"")</f>
        <v/>
      </c>
      <c r="AG148" s="11" t="str">
        <f>IF($E148="Yes",$F148*$W148^2,"")</f>
        <v/>
      </c>
      <c r="AH148" s="11" t="str">
        <f>IF($E148="Yes",IF($AA148="Engineer",5,IF($AA148="Implement",4,IF($AA148="Manage",3,IF($AA148="Validate",2,1)))),"")</f>
        <v/>
      </c>
      <c r="AI148" s="11" t="str">
        <f>IF(AND($E148="Yes",$Z148&lt;&gt;"Not applicable"),IF($Z148="Manual/ None",0,IF($Z148="Other",2,4)),"")</f>
        <v/>
      </c>
      <c r="AJ148" s="11" t="str">
        <f>IF($E148="Yes",$G148*$W148,"")</f>
        <v/>
      </c>
      <c r="AK148" s="11" t="str">
        <f>IF($E148="Yes",$G148*$W148^2,"")</f>
        <v/>
      </c>
      <c r="AN148" s="11" t="s">
        <v>871</v>
      </c>
      <c r="AO148" s="11" t="s">
        <v>933</v>
      </c>
    </row>
    <row r="149" spans="1:41" ht="31.5">
      <c r="A149" s="11">
        <v>143</v>
      </c>
      <c r="B149" s="11" t="s">
        <v>865</v>
      </c>
      <c r="C149" s="11" t="s">
        <v>966</v>
      </c>
      <c r="D149" s="32"/>
      <c r="E149" s="11" t="str">
        <f t="shared" si="37"/>
        <v>Select ...</v>
      </c>
      <c r="F149" s="11">
        <v>0.5</v>
      </c>
      <c r="G149" s="11">
        <v>0.25</v>
      </c>
      <c r="H149" s="11">
        <f>A136</f>
        <v>130</v>
      </c>
      <c r="I149" s="11"/>
      <c r="J149" s="11"/>
      <c r="K149" s="11"/>
      <c r="L149" s="11"/>
      <c r="M149" s="11" t="s">
        <v>694</v>
      </c>
      <c r="N149" s="11" t="s">
        <v>769</v>
      </c>
      <c r="O149" s="11" t="s">
        <v>888</v>
      </c>
      <c r="P149" s="11" t="s">
        <v>92</v>
      </c>
      <c r="Q149" s="11" t="s">
        <v>770</v>
      </c>
      <c r="R149" s="11" t="str">
        <f t="shared" si="97"/>
        <v/>
      </c>
      <c r="S149" s="11" t="str">
        <f t="shared" si="98"/>
        <v/>
      </c>
      <c r="T149" s="11" t="str">
        <f t="shared" si="99"/>
        <v/>
      </c>
      <c r="U149" s="11" t="str">
        <f t="shared" si="100"/>
        <v/>
      </c>
      <c r="V149" s="11" t="str">
        <f t="shared" si="101"/>
        <v/>
      </c>
      <c r="W149" s="11" t="str">
        <f t="shared" si="102"/>
        <v/>
      </c>
      <c r="X149" s="11" t="s">
        <v>92</v>
      </c>
      <c r="Y149" s="11" t="str">
        <f>HLOOKUP($X149,Tables_Cat!$B$6:$P$7,2,FALSE)</f>
        <v>Material</v>
      </c>
      <c r="Z149" s="24" t="s">
        <v>700</v>
      </c>
      <c r="AA149" s="11" t="s">
        <v>728</v>
      </c>
      <c r="AB149" s="13" t="str">
        <f t="shared" si="85"/>
        <v/>
      </c>
      <c r="AC149" s="11" t="s">
        <v>912</v>
      </c>
      <c r="AD149" s="11" t="str">
        <f t="shared" si="79"/>
        <v/>
      </c>
      <c r="AE149" s="11" t="s">
        <v>772</v>
      </c>
      <c r="AF149" s="11" t="str">
        <f t="shared" si="80"/>
        <v/>
      </c>
      <c r="AG149" s="11" t="str">
        <f t="shared" si="81"/>
        <v/>
      </c>
      <c r="AH149" s="11" t="str">
        <f t="shared" si="86"/>
        <v/>
      </c>
      <c r="AI149" s="11" t="str">
        <f t="shared" si="82"/>
        <v/>
      </c>
      <c r="AJ149" s="11" t="str">
        <f t="shared" si="83"/>
        <v/>
      </c>
      <c r="AK149" s="11" t="str">
        <f t="shared" si="84"/>
        <v/>
      </c>
      <c r="AN149" s="11" t="s">
        <v>96</v>
      </c>
      <c r="AO149" s="11" t="s">
        <v>918</v>
      </c>
    </row>
    <row r="150" spans="1:41" ht="31.5">
      <c r="A150" s="11">
        <v>144</v>
      </c>
      <c r="B150" s="11" t="s">
        <v>865</v>
      </c>
      <c r="C150" s="11" t="s">
        <v>967</v>
      </c>
      <c r="D150" s="32"/>
      <c r="E150" s="11" t="str">
        <f t="shared" si="37"/>
        <v>Select ...</v>
      </c>
      <c r="F150" s="11">
        <v>0.5</v>
      </c>
      <c r="G150" s="11">
        <v>0.25</v>
      </c>
      <c r="H150" s="11">
        <f>A136</f>
        <v>130</v>
      </c>
      <c r="I150" s="11"/>
      <c r="J150" s="11"/>
      <c r="K150" s="11"/>
      <c r="L150" s="11"/>
      <c r="M150" s="11" t="s">
        <v>694</v>
      </c>
      <c r="N150" s="11" t="s">
        <v>769</v>
      </c>
      <c r="O150" s="11" t="s">
        <v>888</v>
      </c>
      <c r="P150" s="11" t="s">
        <v>92</v>
      </c>
      <c r="Q150" s="11" t="s">
        <v>770</v>
      </c>
      <c r="R150" s="11" t="str">
        <f t="shared" si="97"/>
        <v/>
      </c>
      <c r="S150" s="11" t="str">
        <f t="shared" si="98"/>
        <v/>
      </c>
      <c r="T150" s="11" t="str">
        <f t="shared" si="99"/>
        <v/>
      </c>
      <c r="U150" s="11" t="str">
        <f t="shared" si="100"/>
        <v/>
      </c>
      <c r="V150" s="11" t="str">
        <f t="shared" si="101"/>
        <v/>
      </c>
      <c r="W150" s="11" t="str">
        <f t="shared" si="102"/>
        <v/>
      </c>
      <c r="X150" s="11" t="s">
        <v>92</v>
      </c>
      <c r="Y150" s="11" t="str">
        <f>HLOOKUP($X150,Tables_Cat!$B$6:$P$7,2,FALSE)</f>
        <v>Material</v>
      </c>
      <c r="Z150" s="24" t="s">
        <v>700</v>
      </c>
      <c r="AA150" s="11" t="s">
        <v>728</v>
      </c>
      <c r="AB150" s="13" t="str">
        <f t="shared" si="85"/>
        <v/>
      </c>
      <c r="AC150" s="11" t="s">
        <v>912</v>
      </c>
      <c r="AD150" s="11" t="str">
        <f t="shared" si="79"/>
        <v/>
      </c>
      <c r="AE150" s="11" t="s">
        <v>772</v>
      </c>
      <c r="AF150" s="11" t="str">
        <f t="shared" si="80"/>
        <v/>
      </c>
      <c r="AG150" s="11" t="str">
        <f t="shared" si="81"/>
        <v/>
      </c>
      <c r="AH150" s="11" t="str">
        <f t="shared" si="86"/>
        <v/>
      </c>
      <c r="AI150" s="11" t="str">
        <f t="shared" si="82"/>
        <v/>
      </c>
      <c r="AJ150" s="11" t="str">
        <f t="shared" si="83"/>
        <v/>
      </c>
      <c r="AK150" s="11" t="str">
        <f t="shared" si="84"/>
        <v/>
      </c>
      <c r="AN150" s="11" t="s">
        <v>96</v>
      </c>
      <c r="AO150" s="11" t="s">
        <v>918</v>
      </c>
    </row>
    <row r="151" spans="1:41" ht="31.5">
      <c r="A151" s="11">
        <v>145</v>
      </c>
      <c r="B151" s="11" t="s">
        <v>919</v>
      </c>
      <c r="C151" s="11" t="s">
        <v>968</v>
      </c>
      <c r="D151" s="32"/>
      <c r="E151" s="11" t="s">
        <v>4</v>
      </c>
      <c r="F151" s="11">
        <v>0.01</v>
      </c>
      <c r="G151" s="11">
        <v>0.01</v>
      </c>
      <c r="H151" s="11">
        <f>A174</f>
        <v>168</v>
      </c>
      <c r="I151" s="11"/>
      <c r="J151" s="11"/>
      <c r="K151" s="11"/>
      <c r="L151" s="11"/>
      <c r="M151" s="11" t="s">
        <v>694</v>
      </c>
      <c r="N151" s="11" t="s">
        <v>769</v>
      </c>
      <c r="O151" s="11" t="s">
        <v>92</v>
      </c>
      <c r="P151" s="11" t="s">
        <v>92</v>
      </c>
      <c r="Q151" s="11" t="s">
        <v>921</v>
      </c>
      <c r="R151" s="11" t="str">
        <f t="shared" si="97"/>
        <v/>
      </c>
      <c r="S151" s="11" t="str">
        <f t="shared" si="98"/>
        <v/>
      </c>
      <c r="T151" s="11" t="str">
        <f t="shared" si="99"/>
        <v/>
      </c>
      <c r="U151" s="11" t="str">
        <f t="shared" si="100"/>
        <v/>
      </c>
      <c r="V151" s="11" t="str">
        <f t="shared" si="101"/>
        <v/>
      </c>
      <c r="W151" s="11" t="str">
        <f t="shared" ref="W151" si="103">IF($E151="Yes",MAX(R151:V151),"")</f>
        <v/>
      </c>
      <c r="X151" s="11" t="s">
        <v>92</v>
      </c>
      <c r="Y151" s="11" t="str">
        <f>HLOOKUP($X151,Tables_Cat!$B$6:$P$7,2,FALSE)</f>
        <v>Material</v>
      </c>
      <c r="Z151" s="24" t="s">
        <v>904</v>
      </c>
      <c r="AA151" s="11" t="s">
        <v>728</v>
      </c>
      <c r="AB151" s="13" t="str">
        <f t="shared" si="85"/>
        <v/>
      </c>
      <c r="AC151" s="11" t="s">
        <v>922</v>
      </c>
      <c r="AD151" s="11" t="str">
        <f t="shared" si="79"/>
        <v/>
      </c>
      <c r="AE151" s="11" t="s">
        <v>923</v>
      </c>
      <c r="AF151" s="11" t="str">
        <f t="shared" si="80"/>
        <v/>
      </c>
      <c r="AG151" s="11" t="str">
        <f t="shared" si="81"/>
        <v/>
      </c>
      <c r="AH151" s="11" t="str">
        <f t="shared" si="86"/>
        <v/>
      </c>
      <c r="AI151" s="11" t="str">
        <f t="shared" si="82"/>
        <v/>
      </c>
      <c r="AJ151" s="11" t="str">
        <f t="shared" si="83"/>
        <v/>
      </c>
      <c r="AK151" s="11" t="str">
        <f t="shared" si="84"/>
        <v/>
      </c>
      <c r="AN151" s="11" t="s">
        <v>871</v>
      </c>
      <c r="AO151" s="11" t="s">
        <v>924</v>
      </c>
    </row>
    <row r="152" spans="1:41" ht="47.25">
      <c r="A152" s="11">
        <v>146</v>
      </c>
      <c r="B152" s="11" t="s">
        <v>919</v>
      </c>
      <c r="C152" s="11" t="s">
        <v>969</v>
      </c>
      <c r="D152" s="32"/>
      <c r="E152" s="11" t="s">
        <v>4</v>
      </c>
      <c r="F152" s="11">
        <v>0.01</v>
      </c>
      <c r="G152" s="11">
        <v>0.01</v>
      </c>
      <c r="H152" s="11">
        <f>A165</f>
        <v>159</v>
      </c>
      <c r="I152" s="11"/>
      <c r="J152" s="11"/>
      <c r="K152" s="11"/>
      <c r="L152" s="11"/>
      <c r="M152" s="11" t="s">
        <v>750</v>
      </c>
      <c r="N152" s="11" t="s">
        <v>735</v>
      </c>
      <c r="O152" s="11" t="s">
        <v>696</v>
      </c>
      <c r="P152" s="11" t="s">
        <v>931</v>
      </c>
      <c r="Q152" s="11" t="s">
        <v>758</v>
      </c>
      <c r="R152" s="11" t="str">
        <f t="shared" si="97"/>
        <v/>
      </c>
      <c r="S152" s="11" t="str">
        <f t="shared" si="98"/>
        <v/>
      </c>
      <c r="T152" s="11" t="str">
        <f t="shared" si="99"/>
        <v/>
      </c>
      <c r="U152" s="11" t="str">
        <f t="shared" si="100"/>
        <v/>
      </c>
      <c r="V152" s="11" t="str">
        <f t="shared" si="101"/>
        <v/>
      </c>
      <c r="W152" s="11" t="str">
        <f>IF($E152="Yes",MAX(R152:V152),"")</f>
        <v/>
      </c>
      <c r="X152" s="11" t="s">
        <v>914</v>
      </c>
      <c r="Y152" s="11" t="str">
        <f>HLOOKUP($X152,Tables_Cat!$B$6:$P$7,2,FALSE)</f>
        <v>Information</v>
      </c>
      <c r="Z152" s="24" t="s">
        <v>709</v>
      </c>
      <c r="AA152" s="11" t="s">
        <v>701</v>
      </c>
      <c r="AB152" s="13" t="str">
        <f>IF($E152="Yes",($F152-$G152)/$F152,"")</f>
        <v/>
      </c>
      <c r="AC152" s="11" t="s">
        <v>932</v>
      </c>
      <c r="AD152" s="11" t="str">
        <f>IF($E152="Yes",$AB152+$AI152,"")</f>
        <v/>
      </c>
      <c r="AE152" s="11" t="s">
        <v>760</v>
      </c>
      <c r="AF152" s="11" t="str">
        <f>IF($E152="Yes",$F152*$W152,"")</f>
        <v/>
      </c>
      <c r="AG152" s="11" t="str">
        <f>IF($E152="Yes",$F152*$W152^2,"")</f>
        <v/>
      </c>
      <c r="AH152" s="11" t="str">
        <f>IF($E152="Yes",IF($AA152="Engineer",5,IF($AA152="Implement",4,IF($AA152="Manage",3,IF($AA152="Validate",2,1)))),"")</f>
        <v/>
      </c>
      <c r="AI152" s="11" t="str">
        <f>IF(AND($E152="Yes",$Z152&lt;&gt;"Not applicable"),IF($Z152="Manual/ None",0,IF($Z152="Other",2,4)),"")</f>
        <v/>
      </c>
      <c r="AJ152" s="11" t="str">
        <f>IF($E152="Yes",$G152*$W152,"")</f>
        <v/>
      </c>
      <c r="AK152" s="11" t="str">
        <f>IF($E152="Yes",$G152*$W152^2,"")</f>
        <v/>
      </c>
      <c r="AN152" s="11" t="s">
        <v>871</v>
      </c>
      <c r="AO152" s="11" t="s">
        <v>933</v>
      </c>
    </row>
    <row r="153" spans="1:41" ht="63">
      <c r="A153" s="11">
        <v>147</v>
      </c>
      <c r="B153" s="11" t="s">
        <v>865</v>
      </c>
      <c r="C153" s="11" t="s">
        <v>970</v>
      </c>
      <c r="D153" s="32"/>
      <c r="E153" s="11" t="str">
        <f t="shared" ref="E153" si="104">IF(D153="","Select ...")</f>
        <v>Select ...</v>
      </c>
      <c r="F153" s="11">
        <v>0.5</v>
      </c>
      <c r="G153" s="11">
        <v>0.25</v>
      </c>
      <c r="H153" s="11">
        <f>A137</f>
        <v>131</v>
      </c>
      <c r="I153" s="11"/>
      <c r="J153" s="11"/>
      <c r="K153" s="11"/>
      <c r="L153" s="11"/>
      <c r="M153" s="11" t="s">
        <v>694</v>
      </c>
      <c r="N153" s="11" t="s">
        <v>769</v>
      </c>
      <c r="O153" s="11" t="s">
        <v>888</v>
      </c>
      <c r="P153" s="11" t="s">
        <v>92</v>
      </c>
      <c r="Q153" s="11" t="s">
        <v>770</v>
      </c>
      <c r="R153" s="11" t="str">
        <f t="shared" si="97"/>
        <v/>
      </c>
      <c r="S153" s="11" t="str">
        <f t="shared" si="98"/>
        <v/>
      </c>
      <c r="T153" s="11" t="str">
        <f t="shared" si="99"/>
        <v/>
      </c>
      <c r="U153" s="11" t="str">
        <f t="shared" si="100"/>
        <v/>
      </c>
      <c r="V153" s="11" t="str">
        <f t="shared" si="101"/>
        <v/>
      </c>
      <c r="W153" s="11" t="str">
        <f t="shared" ref="W153:W155" si="105">IF($E153="Yes",MAX(R153:V153),"")</f>
        <v/>
      </c>
      <c r="X153" s="11" t="s">
        <v>92</v>
      </c>
      <c r="Y153" s="11" t="str">
        <f>HLOOKUP($X153,Tables_Cat!$B$6:$P$7,2,FALSE)</f>
        <v>Material</v>
      </c>
      <c r="Z153" s="24" t="s">
        <v>874</v>
      </c>
      <c r="AA153" s="11" t="s">
        <v>728</v>
      </c>
      <c r="AB153" s="13" t="str">
        <f t="shared" si="85"/>
        <v/>
      </c>
      <c r="AC153" s="11" t="s">
        <v>971</v>
      </c>
      <c r="AD153" s="11" t="str">
        <f t="shared" si="79"/>
        <v/>
      </c>
      <c r="AE153" s="11" t="s">
        <v>772</v>
      </c>
      <c r="AF153" s="11" t="str">
        <f t="shared" si="80"/>
        <v/>
      </c>
      <c r="AG153" s="11" t="str">
        <f t="shared" si="81"/>
        <v/>
      </c>
      <c r="AH153" s="11" t="str">
        <f t="shared" si="86"/>
        <v/>
      </c>
      <c r="AI153" s="11" t="str">
        <f t="shared" si="82"/>
        <v/>
      </c>
      <c r="AJ153" s="11" t="str">
        <f t="shared" si="83"/>
        <v/>
      </c>
      <c r="AK153" s="11" t="str">
        <f t="shared" si="84"/>
        <v/>
      </c>
      <c r="AN153" s="11" t="s">
        <v>98</v>
      </c>
      <c r="AO153" s="11" t="s">
        <v>918</v>
      </c>
    </row>
    <row r="154" spans="1:41" ht="47.25">
      <c r="A154" s="11">
        <v>148</v>
      </c>
      <c r="B154" s="11" t="s">
        <v>767</v>
      </c>
      <c r="C154" s="11" t="s">
        <v>972</v>
      </c>
      <c r="D154" s="32"/>
      <c r="E154" s="11" t="s">
        <v>4</v>
      </c>
      <c r="F154" s="11">
        <v>1.5</v>
      </c>
      <c r="G154" s="11">
        <v>1</v>
      </c>
      <c r="H154" s="11">
        <f>A153</f>
        <v>147</v>
      </c>
      <c r="I154" s="11"/>
      <c r="J154" s="11"/>
      <c r="K154" s="11"/>
      <c r="L154" s="11"/>
      <c r="M154" s="11" t="s">
        <v>694</v>
      </c>
      <c r="N154" s="11" t="s">
        <v>769</v>
      </c>
      <c r="O154" s="11" t="s">
        <v>464</v>
      </c>
      <c r="P154" s="11" t="s">
        <v>92</v>
      </c>
      <c r="Q154" s="11" t="s">
        <v>770</v>
      </c>
      <c r="R154" s="11" t="str">
        <f t="shared" si="97"/>
        <v/>
      </c>
      <c r="S154" s="11" t="str">
        <f t="shared" si="98"/>
        <v/>
      </c>
      <c r="T154" s="11" t="str">
        <f t="shared" si="99"/>
        <v/>
      </c>
      <c r="U154" s="11" t="str">
        <f t="shared" si="100"/>
        <v/>
      </c>
      <c r="V154" s="11" t="str">
        <f t="shared" si="101"/>
        <v/>
      </c>
      <c r="W154" s="11" t="str">
        <f t="shared" si="105"/>
        <v/>
      </c>
      <c r="X154" s="11" t="s">
        <v>771</v>
      </c>
      <c r="Y154" s="11" t="str">
        <f>HLOOKUP($X154,Tables_Cat!$B$6:$P$7,2,FALSE)</f>
        <v>Material</v>
      </c>
      <c r="Z154" s="24" t="s">
        <v>709</v>
      </c>
      <c r="AA154" s="11" t="s">
        <v>765</v>
      </c>
      <c r="AB154" s="13" t="str">
        <f t="shared" si="85"/>
        <v/>
      </c>
      <c r="AC154" s="11" t="s">
        <v>702</v>
      </c>
      <c r="AD154" s="11" t="str">
        <f t="shared" si="79"/>
        <v/>
      </c>
      <c r="AE154" s="11" t="s">
        <v>772</v>
      </c>
      <c r="AF154" s="11" t="str">
        <f t="shared" si="80"/>
        <v/>
      </c>
      <c r="AG154" s="11" t="str">
        <f t="shared" si="81"/>
        <v/>
      </c>
      <c r="AH154" s="11" t="str">
        <f t="shared" si="86"/>
        <v/>
      </c>
      <c r="AI154" s="11" t="str">
        <f t="shared" si="82"/>
        <v/>
      </c>
      <c r="AJ154" s="11" t="str">
        <f t="shared" si="83"/>
        <v/>
      </c>
      <c r="AK154" s="11" t="str">
        <f t="shared" si="84"/>
        <v/>
      </c>
      <c r="AN154" s="11" t="s">
        <v>92</v>
      </c>
      <c r="AO154" s="11" t="s">
        <v>766</v>
      </c>
    </row>
    <row r="155" spans="1:41" ht="47.25">
      <c r="A155" s="11">
        <v>149</v>
      </c>
      <c r="B155" s="11" t="s">
        <v>767</v>
      </c>
      <c r="C155" s="11" t="s">
        <v>973</v>
      </c>
      <c r="D155" s="32"/>
      <c r="E155" s="11" t="s">
        <v>4</v>
      </c>
      <c r="F155" s="11">
        <v>1.5</v>
      </c>
      <c r="G155" s="11">
        <v>1</v>
      </c>
      <c r="H155" s="11">
        <f>A154</f>
        <v>148</v>
      </c>
      <c r="I155" s="11"/>
      <c r="J155" s="11"/>
      <c r="K155" s="11"/>
      <c r="L155" s="11"/>
      <c r="M155" s="11" t="s">
        <v>694</v>
      </c>
      <c r="N155" s="11" t="s">
        <v>769</v>
      </c>
      <c r="O155" s="11" t="s">
        <v>464</v>
      </c>
      <c r="P155" s="11" t="s">
        <v>764</v>
      </c>
      <c r="Q155" s="11" t="s">
        <v>770</v>
      </c>
      <c r="R155" s="11" t="str">
        <f t="shared" si="97"/>
        <v/>
      </c>
      <c r="S155" s="11" t="str">
        <f t="shared" si="98"/>
        <v/>
      </c>
      <c r="T155" s="11" t="str">
        <f t="shared" si="99"/>
        <v/>
      </c>
      <c r="U155" s="11" t="str">
        <f t="shared" si="100"/>
        <v/>
      </c>
      <c r="V155" s="11" t="str">
        <f t="shared" si="101"/>
        <v/>
      </c>
      <c r="W155" s="11" t="str">
        <f t="shared" si="105"/>
        <v/>
      </c>
      <c r="X155" s="11" t="s">
        <v>771</v>
      </c>
      <c r="Y155" s="11" t="str">
        <f>HLOOKUP($X155,Tables_Cat!$B$6:$P$7,2,FALSE)</f>
        <v>Material</v>
      </c>
      <c r="Z155" s="24" t="s">
        <v>709</v>
      </c>
      <c r="AA155" s="11" t="s">
        <v>765</v>
      </c>
      <c r="AB155" s="13" t="str">
        <f t="shared" si="85"/>
        <v/>
      </c>
      <c r="AC155" s="11" t="s">
        <v>702</v>
      </c>
      <c r="AD155" s="11" t="str">
        <f t="shared" si="79"/>
        <v/>
      </c>
      <c r="AE155" s="11" t="s">
        <v>772</v>
      </c>
      <c r="AF155" s="11" t="str">
        <f t="shared" si="80"/>
        <v/>
      </c>
      <c r="AG155" s="11" t="str">
        <f t="shared" si="81"/>
        <v/>
      </c>
      <c r="AH155" s="11" t="str">
        <f t="shared" si="86"/>
        <v/>
      </c>
      <c r="AI155" s="11" t="str">
        <f t="shared" si="82"/>
        <v/>
      </c>
      <c r="AJ155" s="11" t="str">
        <f t="shared" si="83"/>
        <v/>
      </c>
      <c r="AK155" s="11" t="str">
        <f t="shared" si="84"/>
        <v/>
      </c>
      <c r="AN155" s="11" t="s">
        <v>879</v>
      </c>
      <c r="AO155" s="11" t="s">
        <v>766</v>
      </c>
    </row>
    <row r="156" spans="1:41" ht="47.25">
      <c r="A156" s="11">
        <v>150</v>
      </c>
      <c r="B156" s="11" t="s">
        <v>767</v>
      </c>
      <c r="C156" s="11" t="s">
        <v>974</v>
      </c>
      <c r="D156" s="32"/>
      <c r="E156" s="11" t="s">
        <v>4</v>
      </c>
      <c r="F156" s="11">
        <v>1.5</v>
      </c>
      <c r="G156" s="11">
        <v>1</v>
      </c>
      <c r="H156" s="11">
        <f>A155</f>
        <v>149</v>
      </c>
      <c r="I156" s="11"/>
      <c r="J156" s="11"/>
      <c r="K156" s="11"/>
      <c r="L156" s="11"/>
      <c r="M156" s="11" t="s">
        <v>694</v>
      </c>
      <c r="N156" s="11" t="s">
        <v>769</v>
      </c>
      <c r="O156" s="11" t="s">
        <v>464</v>
      </c>
      <c r="P156" s="11" t="s">
        <v>764</v>
      </c>
      <c r="Q156" s="11" t="s">
        <v>770</v>
      </c>
      <c r="R156" s="11" t="str">
        <f t="shared" si="97"/>
        <v/>
      </c>
      <c r="S156" s="11" t="str">
        <f t="shared" si="98"/>
        <v/>
      </c>
      <c r="T156" s="11" t="str">
        <f t="shared" si="99"/>
        <v/>
      </c>
      <c r="U156" s="11" t="str">
        <f t="shared" si="100"/>
        <v/>
      </c>
      <c r="V156" s="11" t="str">
        <f t="shared" si="101"/>
        <v/>
      </c>
      <c r="W156" s="11" t="str">
        <f t="shared" ref="W156:W157" si="106">IF($E156="Yes",MAX(R156:V156),"")</f>
        <v/>
      </c>
      <c r="X156" s="11" t="s">
        <v>771</v>
      </c>
      <c r="Y156" s="11" t="str">
        <f>HLOOKUP($X156,Tables_Cat!$B$6:$P$7,2,FALSE)</f>
        <v>Material</v>
      </c>
      <c r="Z156" s="24" t="s">
        <v>709</v>
      </c>
      <c r="AA156" s="11" t="s">
        <v>765</v>
      </c>
      <c r="AB156" s="13" t="str">
        <f t="shared" si="85"/>
        <v/>
      </c>
      <c r="AC156" s="11" t="s">
        <v>702</v>
      </c>
      <c r="AD156" s="11" t="str">
        <f t="shared" si="79"/>
        <v/>
      </c>
      <c r="AE156" s="11" t="s">
        <v>772</v>
      </c>
      <c r="AF156" s="11" t="str">
        <f t="shared" si="80"/>
        <v/>
      </c>
      <c r="AG156" s="11" t="str">
        <f t="shared" si="81"/>
        <v/>
      </c>
      <c r="AH156" s="11" t="str">
        <f t="shared" si="86"/>
        <v/>
      </c>
      <c r="AI156" s="11" t="str">
        <f t="shared" si="82"/>
        <v/>
      </c>
      <c r="AJ156" s="11" t="str">
        <f t="shared" si="83"/>
        <v/>
      </c>
      <c r="AK156" s="11" t="str">
        <f t="shared" si="84"/>
        <v/>
      </c>
      <c r="AN156" s="11" t="s">
        <v>879</v>
      </c>
      <c r="AO156" s="11" t="s">
        <v>766</v>
      </c>
    </row>
    <row r="157" spans="1:41" ht="47.25">
      <c r="A157" s="11">
        <v>151</v>
      </c>
      <c r="B157" s="11" t="s">
        <v>767</v>
      </c>
      <c r="C157" s="11" t="s">
        <v>975</v>
      </c>
      <c r="D157" s="32"/>
      <c r="E157" s="11" t="s">
        <v>4</v>
      </c>
      <c r="F157" s="11">
        <v>1.5</v>
      </c>
      <c r="G157" s="11">
        <v>1</v>
      </c>
      <c r="H157" s="11">
        <f>A156</f>
        <v>150</v>
      </c>
      <c r="I157" s="11"/>
      <c r="J157" s="11"/>
      <c r="K157" s="11"/>
      <c r="L157" s="11"/>
      <c r="M157" s="11" t="s">
        <v>694</v>
      </c>
      <c r="N157" s="11" t="s">
        <v>769</v>
      </c>
      <c r="O157" s="11" t="s">
        <v>464</v>
      </c>
      <c r="P157" s="11" t="s">
        <v>764</v>
      </c>
      <c r="Q157" s="11" t="s">
        <v>770</v>
      </c>
      <c r="R157" s="11" t="str">
        <f t="shared" si="97"/>
        <v/>
      </c>
      <c r="S157" s="11" t="str">
        <f t="shared" si="98"/>
        <v/>
      </c>
      <c r="T157" s="11" t="str">
        <f t="shared" si="99"/>
        <v/>
      </c>
      <c r="U157" s="11" t="str">
        <f t="shared" si="100"/>
        <v/>
      </c>
      <c r="V157" s="11" t="str">
        <f t="shared" si="101"/>
        <v/>
      </c>
      <c r="W157" s="11" t="str">
        <f t="shared" si="106"/>
        <v/>
      </c>
      <c r="X157" s="11" t="s">
        <v>771</v>
      </c>
      <c r="Y157" s="11" t="str">
        <f>HLOOKUP($X157,Tables_Cat!$B$6:$P$7,2,FALSE)</f>
        <v>Material</v>
      </c>
      <c r="Z157" s="24" t="s">
        <v>709</v>
      </c>
      <c r="AA157" s="11" t="s">
        <v>765</v>
      </c>
      <c r="AB157" s="13" t="str">
        <f t="shared" si="85"/>
        <v/>
      </c>
      <c r="AC157" s="11" t="s">
        <v>702</v>
      </c>
      <c r="AD157" s="11" t="str">
        <f t="shared" si="79"/>
        <v/>
      </c>
      <c r="AE157" s="11" t="s">
        <v>772</v>
      </c>
      <c r="AF157" s="11" t="str">
        <f t="shared" si="80"/>
        <v/>
      </c>
      <c r="AG157" s="11" t="str">
        <f t="shared" si="81"/>
        <v/>
      </c>
      <c r="AH157" s="11" t="str">
        <f t="shared" si="86"/>
        <v/>
      </c>
      <c r="AI157" s="11" t="str">
        <f t="shared" si="82"/>
        <v/>
      </c>
      <c r="AJ157" s="11" t="str">
        <f t="shared" si="83"/>
        <v/>
      </c>
      <c r="AK157" s="11" t="str">
        <f t="shared" si="84"/>
        <v/>
      </c>
      <c r="AN157" s="11" t="s">
        <v>778</v>
      </c>
      <c r="AO157" s="11" t="s">
        <v>766</v>
      </c>
    </row>
    <row r="158" spans="1:41" ht="47.25">
      <c r="A158" s="11">
        <v>152</v>
      </c>
      <c r="B158" s="11" t="s">
        <v>767</v>
      </c>
      <c r="C158" s="11" t="s">
        <v>976</v>
      </c>
      <c r="D158" s="32"/>
      <c r="E158" s="11" t="s">
        <v>4</v>
      </c>
      <c r="F158" s="11">
        <v>1.5</v>
      </c>
      <c r="G158" s="11">
        <v>1</v>
      </c>
      <c r="H158" s="11">
        <f>A157</f>
        <v>151</v>
      </c>
      <c r="I158" s="11"/>
      <c r="J158" s="11"/>
      <c r="K158" s="11"/>
      <c r="L158" s="11"/>
      <c r="M158" s="11" t="s">
        <v>694</v>
      </c>
      <c r="N158" s="11" t="s">
        <v>769</v>
      </c>
      <c r="O158" s="11" t="s">
        <v>464</v>
      </c>
      <c r="P158" s="11" t="s">
        <v>764</v>
      </c>
      <c r="Q158" s="11" t="s">
        <v>770</v>
      </c>
      <c r="R158" s="11" t="str">
        <f t="shared" si="97"/>
        <v/>
      </c>
      <c r="S158" s="11" t="str">
        <f t="shared" si="98"/>
        <v/>
      </c>
      <c r="T158" s="11" t="str">
        <f t="shared" si="99"/>
        <v/>
      </c>
      <c r="U158" s="11" t="str">
        <f t="shared" si="100"/>
        <v/>
      </c>
      <c r="V158" s="11" t="str">
        <f t="shared" si="101"/>
        <v/>
      </c>
      <c r="W158" s="11" t="str">
        <f t="shared" ref="W158" si="107">IF($E158="Yes",MAX(R158:V158),"")</f>
        <v/>
      </c>
      <c r="X158" s="11" t="s">
        <v>771</v>
      </c>
      <c r="Y158" s="11" t="str">
        <f>HLOOKUP($X158,Tables_Cat!$B$6:$P$7,2,FALSE)</f>
        <v>Material</v>
      </c>
      <c r="Z158" s="24" t="s">
        <v>709</v>
      </c>
      <c r="AA158" s="11" t="s">
        <v>765</v>
      </c>
      <c r="AB158" s="13" t="str">
        <f t="shared" si="85"/>
        <v/>
      </c>
      <c r="AC158" s="11" t="s">
        <v>702</v>
      </c>
      <c r="AD158" s="11" t="str">
        <f t="shared" si="79"/>
        <v/>
      </c>
      <c r="AE158" s="11" t="s">
        <v>772</v>
      </c>
      <c r="AF158" s="11" t="str">
        <f t="shared" si="80"/>
        <v/>
      </c>
      <c r="AG158" s="11" t="str">
        <f t="shared" si="81"/>
        <v/>
      </c>
      <c r="AH158" s="11" t="str">
        <f t="shared" si="86"/>
        <v/>
      </c>
      <c r="AI158" s="11" t="str">
        <f t="shared" si="82"/>
        <v/>
      </c>
      <c r="AJ158" s="11" t="str">
        <f t="shared" si="83"/>
        <v/>
      </c>
      <c r="AK158" s="11" t="str">
        <f t="shared" si="84"/>
        <v/>
      </c>
      <c r="AN158" s="11" t="s">
        <v>977</v>
      </c>
      <c r="AO158" s="11" t="s">
        <v>766</v>
      </c>
    </row>
    <row r="159" spans="1:41" ht="31.5">
      <c r="A159" s="11">
        <v>153</v>
      </c>
      <c r="B159" s="11" t="s">
        <v>865</v>
      </c>
      <c r="C159" s="11" t="s">
        <v>978</v>
      </c>
      <c r="D159" s="32"/>
      <c r="E159" s="11" t="str">
        <f t="shared" ref="E159" si="108">IF(D159="","Select ...")</f>
        <v>Select ...</v>
      </c>
      <c r="F159" s="11">
        <v>0.5</v>
      </c>
      <c r="G159" s="11">
        <v>0.25</v>
      </c>
      <c r="H159" s="11">
        <f>A137</f>
        <v>131</v>
      </c>
      <c r="I159" s="11"/>
      <c r="J159" s="11"/>
      <c r="K159" s="11"/>
      <c r="L159" s="11"/>
      <c r="M159" s="11" t="s">
        <v>694</v>
      </c>
      <c r="N159" s="11" t="s">
        <v>769</v>
      </c>
      <c r="O159" s="11" t="s">
        <v>888</v>
      </c>
      <c r="P159" s="11" t="s">
        <v>92</v>
      </c>
      <c r="Q159" s="11" t="s">
        <v>770</v>
      </c>
      <c r="R159" s="11" t="str">
        <f t="shared" si="97"/>
        <v/>
      </c>
      <c r="S159" s="11" t="str">
        <f t="shared" si="98"/>
        <v/>
      </c>
      <c r="T159" s="11" t="str">
        <f t="shared" si="99"/>
        <v/>
      </c>
      <c r="U159" s="11" t="str">
        <f t="shared" si="100"/>
        <v/>
      </c>
      <c r="V159" s="11" t="str">
        <f t="shared" si="101"/>
        <v/>
      </c>
      <c r="W159" s="11" t="str">
        <f t="shared" ref="W159" si="109">IF($E159="Yes",MAX(R159:V159),"")</f>
        <v/>
      </c>
      <c r="X159" s="11" t="s">
        <v>741</v>
      </c>
      <c r="Y159" s="11" t="str">
        <f>HLOOKUP($X159,Tables_Cat!$B$6:$P$7,2,FALSE)</f>
        <v>Material</v>
      </c>
      <c r="Z159" s="24" t="s">
        <v>700</v>
      </c>
      <c r="AA159" s="11" t="s">
        <v>765</v>
      </c>
      <c r="AB159" s="13" t="str">
        <f t="shared" si="85"/>
        <v/>
      </c>
      <c r="AC159" s="11" t="s">
        <v>702</v>
      </c>
      <c r="AD159" s="11" t="str">
        <f t="shared" si="79"/>
        <v/>
      </c>
      <c r="AE159" s="11" t="s">
        <v>772</v>
      </c>
      <c r="AF159" s="11" t="str">
        <f t="shared" si="80"/>
        <v/>
      </c>
      <c r="AG159" s="11" t="str">
        <f t="shared" si="81"/>
        <v/>
      </c>
      <c r="AH159" s="11" t="str">
        <f t="shared" si="86"/>
        <v/>
      </c>
      <c r="AI159" s="11" t="str">
        <f t="shared" si="82"/>
        <v/>
      </c>
      <c r="AJ159" s="11" t="str">
        <f t="shared" si="83"/>
        <v/>
      </c>
      <c r="AK159" s="11" t="str">
        <f t="shared" si="84"/>
        <v/>
      </c>
      <c r="AN159" s="11" t="s">
        <v>742</v>
      </c>
      <c r="AO159" s="11" t="s">
        <v>918</v>
      </c>
    </row>
    <row r="160" spans="1:41" ht="47.25">
      <c r="A160" s="11">
        <v>154</v>
      </c>
      <c r="B160" s="11" t="s">
        <v>865</v>
      </c>
      <c r="C160" s="11" t="s">
        <v>979</v>
      </c>
      <c r="D160" s="32"/>
      <c r="E160" s="11" t="str">
        <f t="shared" ref="E160" si="110">IF(D160="","Select ...")</f>
        <v>Select ...</v>
      </c>
      <c r="F160" s="11">
        <v>0.5</v>
      </c>
      <c r="G160" s="11">
        <v>0.25</v>
      </c>
      <c r="H160" s="11">
        <f>A138</f>
        <v>132</v>
      </c>
      <c r="I160" s="11"/>
      <c r="J160" s="11"/>
      <c r="K160" s="11"/>
      <c r="L160" s="11"/>
      <c r="M160" s="11" t="s">
        <v>694</v>
      </c>
      <c r="N160" s="11" t="s">
        <v>763</v>
      </c>
      <c r="O160" s="11" t="s">
        <v>888</v>
      </c>
      <c r="P160" s="11" t="s">
        <v>92</v>
      </c>
      <c r="Q160" s="11" t="s">
        <v>770</v>
      </c>
      <c r="R160" s="11" t="str">
        <f t="shared" si="97"/>
        <v/>
      </c>
      <c r="S160" s="11" t="str">
        <f t="shared" si="98"/>
        <v/>
      </c>
      <c r="T160" s="11" t="str">
        <f t="shared" si="99"/>
        <v/>
      </c>
      <c r="U160" s="11" t="str">
        <f t="shared" si="100"/>
        <v/>
      </c>
      <c r="V160" s="11" t="str">
        <f t="shared" si="101"/>
        <v/>
      </c>
      <c r="W160" s="11" t="str">
        <f t="shared" ref="W160" si="111">IF($E160="Yes",MAX(R160:V160),"")</f>
        <v/>
      </c>
      <c r="X160" s="11" t="s">
        <v>741</v>
      </c>
      <c r="Y160" s="11" t="str">
        <f>HLOOKUP($X160,Tables_Cat!$B$6:$P$7,2,FALSE)</f>
        <v>Material</v>
      </c>
      <c r="Z160" s="24" t="s">
        <v>904</v>
      </c>
      <c r="AA160" s="11" t="s">
        <v>765</v>
      </c>
      <c r="AB160" s="13" t="str">
        <f t="shared" si="85"/>
        <v/>
      </c>
      <c r="AC160" s="11" t="s">
        <v>702</v>
      </c>
      <c r="AD160" s="11" t="str">
        <f t="shared" si="79"/>
        <v/>
      </c>
      <c r="AE160" s="11" t="s">
        <v>772</v>
      </c>
      <c r="AF160" s="11" t="str">
        <f t="shared" si="80"/>
        <v/>
      </c>
      <c r="AG160" s="11" t="str">
        <f t="shared" si="81"/>
        <v/>
      </c>
      <c r="AH160" s="11" t="str">
        <f t="shared" si="86"/>
        <v/>
      </c>
      <c r="AI160" s="11" t="str">
        <f t="shared" si="82"/>
        <v/>
      </c>
      <c r="AJ160" s="11" t="str">
        <f t="shared" si="83"/>
        <v/>
      </c>
      <c r="AK160" s="11" t="str">
        <f t="shared" si="84"/>
        <v/>
      </c>
      <c r="AN160" s="11" t="s">
        <v>742</v>
      </c>
      <c r="AO160" s="11" t="s">
        <v>918</v>
      </c>
    </row>
    <row r="161" spans="1:41" ht="31.5">
      <c r="A161" s="11">
        <v>155</v>
      </c>
      <c r="B161" s="11" t="s">
        <v>865</v>
      </c>
      <c r="C161" s="11" t="s">
        <v>980</v>
      </c>
      <c r="D161" s="32"/>
      <c r="E161" s="11" t="str">
        <f t="shared" ref="E161" si="112">IF(D161="","Select ...")</f>
        <v>Select ...</v>
      </c>
      <c r="F161" s="11">
        <v>0.5</v>
      </c>
      <c r="G161" s="11">
        <v>0.25</v>
      </c>
      <c r="H161" s="11">
        <f>A137</f>
        <v>131</v>
      </c>
      <c r="I161" s="11"/>
      <c r="J161" s="11"/>
      <c r="K161" s="11"/>
      <c r="L161" s="11"/>
      <c r="M161" s="11" t="s">
        <v>694</v>
      </c>
      <c r="N161" s="11" t="s">
        <v>769</v>
      </c>
      <c r="O161" s="11" t="s">
        <v>888</v>
      </c>
      <c r="P161" s="11" t="s">
        <v>92</v>
      </c>
      <c r="Q161" s="11" t="s">
        <v>770</v>
      </c>
      <c r="R161" s="11" t="str">
        <f t="shared" si="97"/>
        <v/>
      </c>
      <c r="S161" s="11" t="str">
        <f t="shared" si="98"/>
        <v/>
      </c>
      <c r="T161" s="11" t="str">
        <f t="shared" si="99"/>
        <v/>
      </c>
      <c r="U161" s="11" t="str">
        <f t="shared" si="100"/>
        <v/>
      </c>
      <c r="V161" s="11" t="str">
        <f t="shared" si="101"/>
        <v/>
      </c>
      <c r="W161" s="11" t="str">
        <f t="shared" ref="W161:W163" si="113">IF($E161="Yes",MAX(R161:V161),"")</f>
        <v/>
      </c>
      <c r="X161" s="11" t="s">
        <v>727</v>
      </c>
      <c r="Y161" s="11" t="str">
        <f>HLOOKUP($X161,Tables_Cat!$B$6:$P$7,2,FALSE)</f>
        <v>Material</v>
      </c>
      <c r="Z161" s="24" t="s">
        <v>700</v>
      </c>
      <c r="AA161" s="11" t="s">
        <v>728</v>
      </c>
      <c r="AB161" s="13" t="str">
        <f t="shared" si="85"/>
        <v/>
      </c>
      <c r="AC161" s="11" t="s">
        <v>912</v>
      </c>
      <c r="AD161" s="11" t="str">
        <f t="shared" si="79"/>
        <v/>
      </c>
      <c r="AE161" s="11" t="s">
        <v>772</v>
      </c>
      <c r="AF161" s="11" t="str">
        <f t="shared" si="80"/>
        <v/>
      </c>
      <c r="AG161" s="11" t="str">
        <f t="shared" si="81"/>
        <v/>
      </c>
      <c r="AH161" s="11" t="str">
        <f t="shared" si="86"/>
        <v/>
      </c>
      <c r="AI161" s="11" t="str">
        <f t="shared" si="82"/>
        <v/>
      </c>
      <c r="AJ161" s="11" t="str">
        <f t="shared" si="83"/>
        <v/>
      </c>
      <c r="AK161" s="11" t="str">
        <f t="shared" si="84"/>
        <v/>
      </c>
      <c r="AN161" s="11" t="s">
        <v>891</v>
      </c>
      <c r="AO161" s="11" t="s">
        <v>918</v>
      </c>
    </row>
    <row r="162" spans="1:41" ht="47.25">
      <c r="A162" s="11">
        <v>156</v>
      </c>
      <c r="B162" s="11" t="s">
        <v>718</v>
      </c>
      <c r="C162" s="11" t="s">
        <v>981</v>
      </c>
      <c r="D162" s="32"/>
      <c r="E162" s="11" t="s">
        <v>4</v>
      </c>
      <c r="F162" s="11">
        <v>3</v>
      </c>
      <c r="G162" s="11">
        <v>2</v>
      </c>
      <c r="H162" s="11">
        <v>1</v>
      </c>
      <c r="I162" s="11"/>
      <c r="J162" s="11"/>
      <c r="K162" s="11"/>
      <c r="L162" s="11"/>
      <c r="M162" s="11" t="s">
        <v>694</v>
      </c>
      <c r="N162" s="11" t="s">
        <v>769</v>
      </c>
      <c r="O162" s="11" t="s">
        <v>931</v>
      </c>
      <c r="P162" s="11" t="s">
        <v>92</v>
      </c>
      <c r="Q162" s="11" t="s">
        <v>770</v>
      </c>
      <c r="R162" s="11" t="str">
        <f t="shared" si="97"/>
        <v/>
      </c>
      <c r="S162" s="11" t="str">
        <f t="shared" si="98"/>
        <v/>
      </c>
      <c r="T162" s="11" t="str">
        <f t="shared" si="99"/>
        <v/>
      </c>
      <c r="U162" s="11" t="str">
        <f t="shared" si="100"/>
        <v/>
      </c>
      <c r="V162" s="11" t="str">
        <f t="shared" si="101"/>
        <v/>
      </c>
      <c r="W162" s="11" t="str">
        <f t="shared" si="113"/>
        <v/>
      </c>
      <c r="X162" s="11" t="s">
        <v>92</v>
      </c>
      <c r="Y162" s="11" t="str">
        <f>HLOOKUP($X162,Tables_Cat!$B$6:$P$7,2,FALSE)</f>
        <v>Material</v>
      </c>
      <c r="Z162" s="24" t="s">
        <v>904</v>
      </c>
      <c r="AA162" s="11" t="s">
        <v>728</v>
      </c>
      <c r="AB162" s="13" t="str">
        <f t="shared" si="85"/>
        <v/>
      </c>
      <c r="AC162" s="11" t="s">
        <v>971</v>
      </c>
      <c r="AD162" s="11" t="str">
        <f t="shared" si="79"/>
        <v/>
      </c>
      <c r="AE162" s="11" t="s">
        <v>772</v>
      </c>
      <c r="AF162" s="11" t="str">
        <f t="shared" si="80"/>
        <v/>
      </c>
      <c r="AG162" s="11" t="str">
        <f t="shared" si="81"/>
        <v/>
      </c>
      <c r="AH162" s="11" t="str">
        <f t="shared" si="86"/>
        <v/>
      </c>
      <c r="AI162" s="11" t="str">
        <f t="shared" si="82"/>
        <v/>
      </c>
      <c r="AJ162" s="11" t="str">
        <f t="shared" si="83"/>
        <v/>
      </c>
      <c r="AK162" s="11" t="str">
        <f t="shared" si="84"/>
        <v/>
      </c>
      <c r="AN162" s="11" t="s">
        <v>722</v>
      </c>
      <c r="AO162" s="11" t="s">
        <v>982</v>
      </c>
    </row>
    <row r="163" spans="1:41" ht="31.5">
      <c r="A163" s="11">
        <v>157</v>
      </c>
      <c r="B163" s="11" t="s">
        <v>919</v>
      </c>
      <c r="C163" s="11" t="s">
        <v>983</v>
      </c>
      <c r="D163" s="32"/>
      <c r="E163" s="11" t="s">
        <v>4</v>
      </c>
      <c r="F163" s="11">
        <v>0.01</v>
      </c>
      <c r="G163" s="11">
        <v>0.01</v>
      </c>
      <c r="H163" s="11">
        <f>A179</f>
        <v>173</v>
      </c>
      <c r="I163" s="11"/>
      <c r="J163" s="11"/>
      <c r="K163" s="11"/>
      <c r="L163" s="11"/>
      <c r="M163" s="11" t="s">
        <v>694</v>
      </c>
      <c r="N163" s="11" t="s">
        <v>769</v>
      </c>
      <c r="O163" s="11" t="s">
        <v>92</v>
      </c>
      <c r="P163" s="11" t="s">
        <v>92</v>
      </c>
      <c r="Q163" s="11" t="s">
        <v>921</v>
      </c>
      <c r="R163" s="11" t="str">
        <f t="shared" si="97"/>
        <v/>
      </c>
      <c r="S163" s="11" t="str">
        <f t="shared" si="98"/>
        <v/>
      </c>
      <c r="T163" s="11" t="str">
        <f t="shared" si="99"/>
        <v/>
      </c>
      <c r="U163" s="11" t="str">
        <f t="shared" si="100"/>
        <v/>
      </c>
      <c r="V163" s="11" t="str">
        <f t="shared" si="101"/>
        <v/>
      </c>
      <c r="W163" s="11" t="str">
        <f t="shared" si="113"/>
        <v/>
      </c>
      <c r="X163" s="11" t="s">
        <v>92</v>
      </c>
      <c r="Y163" s="11" t="str">
        <f>HLOOKUP($X163,Tables_Cat!$B$6:$P$7,2,FALSE)</f>
        <v>Material</v>
      </c>
      <c r="Z163" s="24" t="s">
        <v>904</v>
      </c>
      <c r="AA163" s="11" t="s">
        <v>728</v>
      </c>
      <c r="AB163" s="13" t="str">
        <f t="shared" si="85"/>
        <v/>
      </c>
      <c r="AC163" s="11" t="s">
        <v>922</v>
      </c>
      <c r="AD163" s="11" t="str">
        <f t="shared" si="79"/>
        <v/>
      </c>
      <c r="AE163" s="11" t="s">
        <v>923</v>
      </c>
      <c r="AF163" s="11" t="str">
        <f t="shared" si="80"/>
        <v/>
      </c>
      <c r="AG163" s="11" t="str">
        <f t="shared" si="81"/>
        <v/>
      </c>
      <c r="AH163" s="11" t="str">
        <f t="shared" si="86"/>
        <v/>
      </c>
      <c r="AI163" s="11" t="str">
        <f t="shared" si="82"/>
        <v/>
      </c>
      <c r="AJ163" s="11" t="str">
        <f t="shared" si="83"/>
        <v/>
      </c>
      <c r="AK163" s="11" t="str">
        <f t="shared" si="84"/>
        <v/>
      </c>
      <c r="AN163" s="11" t="s">
        <v>871</v>
      </c>
      <c r="AO163" s="11" t="s">
        <v>924</v>
      </c>
    </row>
    <row r="164" spans="1:41" ht="78.75">
      <c r="A164" s="11">
        <v>158</v>
      </c>
      <c r="B164" s="11" t="s">
        <v>865</v>
      </c>
      <c r="C164" s="11" t="s">
        <v>984</v>
      </c>
      <c r="D164" s="32"/>
      <c r="E164" s="11" t="str">
        <f t="shared" ref="E164" si="114">IF(D164="","Select ...")</f>
        <v>Select ...</v>
      </c>
      <c r="F164" s="11">
        <v>0.5</v>
      </c>
      <c r="G164" s="11">
        <v>0.25</v>
      </c>
      <c r="H164" s="11">
        <f>A138</f>
        <v>132</v>
      </c>
      <c r="I164" s="11"/>
      <c r="J164" s="11"/>
      <c r="K164" s="11"/>
      <c r="L164" s="11"/>
      <c r="M164" s="11" t="s">
        <v>694</v>
      </c>
      <c r="N164" s="11" t="s">
        <v>787</v>
      </c>
      <c r="O164" s="11" t="s">
        <v>791</v>
      </c>
      <c r="P164" s="11" t="s">
        <v>985</v>
      </c>
      <c r="Q164" s="11" t="s">
        <v>792</v>
      </c>
      <c r="R164" s="11" t="str">
        <f t="shared" si="97"/>
        <v/>
      </c>
      <c r="S164" s="11" t="str">
        <f t="shared" si="98"/>
        <v/>
      </c>
      <c r="T164" s="11" t="str">
        <f t="shared" si="99"/>
        <v/>
      </c>
      <c r="U164" s="11" t="str">
        <f t="shared" si="100"/>
        <v/>
      </c>
      <c r="V164" s="11" t="str">
        <f t="shared" si="101"/>
        <v/>
      </c>
      <c r="W164" s="11" t="str">
        <f t="shared" ref="W164" si="115">IF($E164="Yes",MAX(R164:V164),"")</f>
        <v/>
      </c>
      <c r="X164" s="11" t="s">
        <v>741</v>
      </c>
      <c r="Y164" s="11" t="str">
        <f>HLOOKUP($X164,Tables_Cat!$B$6:$P$7,2,FALSE)</f>
        <v>Material</v>
      </c>
      <c r="Z164" s="24" t="s">
        <v>700</v>
      </c>
      <c r="AA164" s="11" t="s">
        <v>765</v>
      </c>
      <c r="AB164" s="13" t="str">
        <f t="shared" si="85"/>
        <v/>
      </c>
      <c r="AC164" s="11" t="s">
        <v>702</v>
      </c>
      <c r="AD164" s="11" t="str">
        <f t="shared" si="79"/>
        <v/>
      </c>
      <c r="AE164" s="11" t="s">
        <v>794</v>
      </c>
      <c r="AF164" s="11" t="str">
        <f t="shared" si="80"/>
        <v/>
      </c>
      <c r="AG164" s="11" t="str">
        <f t="shared" si="81"/>
        <v/>
      </c>
      <c r="AH164" s="11" t="str">
        <f t="shared" si="86"/>
        <v/>
      </c>
      <c r="AI164" s="11" t="str">
        <f t="shared" si="82"/>
        <v/>
      </c>
      <c r="AJ164" s="11" t="str">
        <f t="shared" si="83"/>
        <v/>
      </c>
      <c r="AK164" s="11" t="str">
        <f t="shared" si="84"/>
        <v/>
      </c>
      <c r="AN164" s="11" t="s">
        <v>985</v>
      </c>
      <c r="AO164" s="11" t="s">
        <v>933</v>
      </c>
    </row>
    <row r="165" spans="1:41" ht="78.75">
      <c r="A165" s="11">
        <v>159</v>
      </c>
      <c r="B165" s="11" t="s">
        <v>865</v>
      </c>
      <c r="C165" s="11" t="s">
        <v>986</v>
      </c>
      <c r="D165" s="32"/>
      <c r="E165" s="11" t="str">
        <f t="shared" ref="E165:E166" si="116">IF(D165="","Select ...")</f>
        <v>Select ...</v>
      </c>
      <c r="F165" s="11">
        <v>0.5</v>
      </c>
      <c r="G165" s="11">
        <v>0.25</v>
      </c>
      <c r="H165" s="11">
        <f>A139</f>
        <v>133</v>
      </c>
      <c r="I165" s="11"/>
      <c r="J165" s="11"/>
      <c r="K165" s="11"/>
      <c r="L165" s="11"/>
      <c r="M165" s="11" t="s">
        <v>694</v>
      </c>
      <c r="N165" s="11" t="s">
        <v>787</v>
      </c>
      <c r="O165" s="11" t="s">
        <v>791</v>
      </c>
      <c r="P165" s="11" t="s">
        <v>985</v>
      </c>
      <c r="Q165" s="11" t="s">
        <v>792</v>
      </c>
      <c r="R165" s="11" t="str">
        <f t="shared" si="97"/>
        <v/>
      </c>
      <c r="S165" s="11" t="str">
        <f t="shared" si="98"/>
        <v/>
      </c>
      <c r="T165" s="11" t="str">
        <f t="shared" si="99"/>
        <v/>
      </c>
      <c r="U165" s="11" t="str">
        <f t="shared" si="100"/>
        <v/>
      </c>
      <c r="V165" s="11" t="str">
        <f t="shared" si="101"/>
        <v/>
      </c>
      <c r="W165" s="11" t="str">
        <f t="shared" ref="W165:W166" si="117">IF($E165="Yes",MAX(R165:V165),"")</f>
        <v/>
      </c>
      <c r="X165" s="11" t="s">
        <v>741</v>
      </c>
      <c r="Y165" s="11" t="str">
        <f>HLOOKUP($X165,Tables_Cat!$B$6:$P$7,2,FALSE)</f>
        <v>Material</v>
      </c>
      <c r="Z165" s="24" t="s">
        <v>700</v>
      </c>
      <c r="AA165" s="11" t="s">
        <v>765</v>
      </c>
      <c r="AB165" s="13" t="str">
        <f t="shared" si="85"/>
        <v/>
      </c>
      <c r="AC165" s="11" t="s">
        <v>702</v>
      </c>
      <c r="AD165" s="11" t="str">
        <f t="shared" si="79"/>
        <v/>
      </c>
      <c r="AE165" s="11" t="s">
        <v>794</v>
      </c>
      <c r="AF165" s="11" t="str">
        <f t="shared" si="80"/>
        <v/>
      </c>
      <c r="AG165" s="11" t="str">
        <f t="shared" si="81"/>
        <v/>
      </c>
      <c r="AH165" s="11" t="str">
        <f t="shared" si="86"/>
        <v/>
      </c>
      <c r="AI165" s="11" t="str">
        <f t="shared" si="82"/>
        <v/>
      </c>
      <c r="AJ165" s="11" t="str">
        <f t="shared" si="83"/>
        <v/>
      </c>
      <c r="AK165" s="11" t="str">
        <f t="shared" si="84"/>
        <v/>
      </c>
      <c r="AN165" s="11" t="s">
        <v>985</v>
      </c>
      <c r="AO165" s="11" t="s">
        <v>933</v>
      </c>
    </row>
    <row r="166" spans="1:41" ht="78.75">
      <c r="A166" s="11">
        <v>160</v>
      </c>
      <c r="B166" s="11" t="s">
        <v>865</v>
      </c>
      <c r="C166" s="11" t="s">
        <v>987</v>
      </c>
      <c r="D166" s="32"/>
      <c r="E166" s="11" t="str">
        <f t="shared" si="116"/>
        <v>Select ...</v>
      </c>
      <c r="F166" s="11">
        <v>0.5</v>
      </c>
      <c r="G166" s="11">
        <v>0.25</v>
      </c>
      <c r="H166" s="11">
        <f>A140</f>
        <v>134</v>
      </c>
      <c r="I166" s="11"/>
      <c r="J166" s="11"/>
      <c r="K166" s="11"/>
      <c r="L166" s="11"/>
      <c r="M166" s="11" t="s">
        <v>694</v>
      </c>
      <c r="N166" s="11" t="s">
        <v>787</v>
      </c>
      <c r="O166" s="11" t="s">
        <v>791</v>
      </c>
      <c r="P166" s="11" t="s">
        <v>985</v>
      </c>
      <c r="Q166" s="11" t="s">
        <v>792</v>
      </c>
      <c r="R166" s="11" t="str">
        <f t="shared" si="97"/>
        <v/>
      </c>
      <c r="S166" s="11" t="str">
        <f t="shared" si="98"/>
        <v/>
      </c>
      <c r="T166" s="11" t="str">
        <f t="shared" si="99"/>
        <v/>
      </c>
      <c r="U166" s="11" t="str">
        <f t="shared" si="100"/>
        <v/>
      </c>
      <c r="V166" s="11" t="str">
        <f t="shared" si="101"/>
        <v/>
      </c>
      <c r="W166" s="11" t="str">
        <f t="shared" si="117"/>
        <v/>
      </c>
      <c r="X166" s="11" t="s">
        <v>741</v>
      </c>
      <c r="Y166" s="11" t="str">
        <f>HLOOKUP($X166,Tables_Cat!$B$6:$P$7,2,FALSE)</f>
        <v>Material</v>
      </c>
      <c r="Z166" s="24" t="s">
        <v>700</v>
      </c>
      <c r="AA166" s="11" t="s">
        <v>765</v>
      </c>
      <c r="AB166" s="13" t="str">
        <f t="shared" si="85"/>
        <v/>
      </c>
      <c r="AC166" s="11" t="s">
        <v>702</v>
      </c>
      <c r="AD166" s="11" t="str">
        <f t="shared" si="79"/>
        <v/>
      </c>
      <c r="AE166" s="11" t="s">
        <v>794</v>
      </c>
      <c r="AF166" s="11" t="str">
        <f t="shared" si="80"/>
        <v/>
      </c>
      <c r="AG166" s="11" t="str">
        <f t="shared" si="81"/>
        <v/>
      </c>
      <c r="AH166" s="11" t="str">
        <f t="shared" si="86"/>
        <v/>
      </c>
      <c r="AI166" s="11" t="str">
        <f t="shared" si="82"/>
        <v/>
      </c>
      <c r="AJ166" s="11" t="str">
        <f t="shared" si="83"/>
        <v/>
      </c>
      <c r="AK166" s="11" t="str">
        <f t="shared" si="84"/>
        <v/>
      </c>
      <c r="AN166" s="11" t="s">
        <v>985</v>
      </c>
      <c r="AO166" s="11" t="s">
        <v>933</v>
      </c>
    </row>
    <row r="167" spans="1:41" ht="78.75">
      <c r="A167" s="11">
        <v>161</v>
      </c>
      <c r="B167" s="11" t="s">
        <v>865</v>
      </c>
      <c r="C167" s="11" t="s">
        <v>988</v>
      </c>
      <c r="D167" s="32"/>
      <c r="E167" s="11" t="str">
        <f t="shared" ref="E167" si="118">IF(D167="","Select ...")</f>
        <v>Select ...</v>
      </c>
      <c r="F167" s="11">
        <v>0.5</v>
      </c>
      <c r="G167" s="11">
        <v>0.25</v>
      </c>
      <c r="H167" s="11">
        <f>A141</f>
        <v>135</v>
      </c>
      <c r="I167" s="11"/>
      <c r="J167" s="11"/>
      <c r="K167" s="11"/>
      <c r="L167" s="11"/>
      <c r="M167" s="11" t="s">
        <v>694</v>
      </c>
      <c r="N167" s="11" t="s">
        <v>787</v>
      </c>
      <c r="O167" s="11" t="s">
        <v>791</v>
      </c>
      <c r="P167" s="11" t="s">
        <v>985</v>
      </c>
      <c r="Q167" s="11" t="s">
        <v>792</v>
      </c>
      <c r="R167" s="11" t="str">
        <f t="shared" si="97"/>
        <v/>
      </c>
      <c r="S167" s="11" t="str">
        <f t="shared" si="98"/>
        <v/>
      </c>
      <c r="T167" s="11" t="str">
        <f t="shared" si="99"/>
        <v/>
      </c>
      <c r="U167" s="11" t="str">
        <f t="shared" si="100"/>
        <v/>
      </c>
      <c r="V167" s="11" t="str">
        <f t="shared" si="101"/>
        <v/>
      </c>
      <c r="W167" s="11" t="str">
        <f t="shared" ref="W167" si="119">IF($E167="Yes",MAX(R167:V167),"")</f>
        <v/>
      </c>
      <c r="X167" s="11" t="s">
        <v>741</v>
      </c>
      <c r="Y167" s="11" t="str">
        <f>HLOOKUP($X167,Tables_Cat!$B$6:$P$7,2,FALSE)</f>
        <v>Material</v>
      </c>
      <c r="Z167" s="24" t="s">
        <v>700</v>
      </c>
      <c r="AA167" s="11" t="s">
        <v>765</v>
      </c>
      <c r="AB167" s="13" t="str">
        <f t="shared" si="85"/>
        <v/>
      </c>
      <c r="AC167" s="11" t="s">
        <v>702</v>
      </c>
      <c r="AD167" s="11" t="str">
        <f t="shared" si="79"/>
        <v/>
      </c>
      <c r="AE167" s="11" t="s">
        <v>794</v>
      </c>
      <c r="AF167" s="11" t="str">
        <f t="shared" si="80"/>
        <v/>
      </c>
      <c r="AG167" s="11" t="str">
        <f t="shared" si="81"/>
        <v/>
      </c>
      <c r="AH167" s="11" t="str">
        <f t="shared" si="86"/>
        <v/>
      </c>
      <c r="AI167" s="11" t="str">
        <f t="shared" si="82"/>
        <v/>
      </c>
      <c r="AJ167" s="11" t="str">
        <f t="shared" si="83"/>
        <v/>
      </c>
      <c r="AK167" s="11" t="str">
        <f t="shared" si="84"/>
        <v/>
      </c>
      <c r="AN167" s="11" t="s">
        <v>985</v>
      </c>
      <c r="AO167" s="11" t="s">
        <v>933</v>
      </c>
    </row>
    <row r="168" spans="1:41" ht="31.5">
      <c r="A168" s="11">
        <v>162</v>
      </c>
      <c r="B168" s="11" t="s">
        <v>865</v>
      </c>
      <c r="C168" s="11" t="s">
        <v>989</v>
      </c>
      <c r="D168" s="32"/>
      <c r="E168" s="11" t="str">
        <f t="shared" ref="E168" si="120">IF(D168="","Select ...")</f>
        <v>Select ...</v>
      </c>
      <c r="F168" s="11">
        <v>0.5</v>
      </c>
      <c r="G168" s="11">
        <v>0.25</v>
      </c>
      <c r="H168" s="11">
        <f>A139</f>
        <v>133</v>
      </c>
      <c r="I168" s="11"/>
      <c r="J168" s="11"/>
      <c r="K168" s="11"/>
      <c r="L168" s="11"/>
      <c r="M168" s="11" t="s">
        <v>694</v>
      </c>
      <c r="N168" s="11" t="s">
        <v>769</v>
      </c>
      <c r="O168" s="11" t="s">
        <v>985</v>
      </c>
      <c r="P168" s="11" t="s">
        <v>92</v>
      </c>
      <c r="Q168" s="11" t="s">
        <v>770</v>
      </c>
      <c r="R168" s="11" t="str">
        <f t="shared" si="97"/>
        <v/>
      </c>
      <c r="S168" s="11" t="str">
        <f t="shared" si="98"/>
        <v/>
      </c>
      <c r="T168" s="11" t="str">
        <f t="shared" si="99"/>
        <v/>
      </c>
      <c r="U168" s="11" t="str">
        <f t="shared" si="100"/>
        <v/>
      </c>
      <c r="V168" s="11" t="str">
        <f t="shared" si="101"/>
        <v/>
      </c>
      <c r="W168" s="11" t="str">
        <f t="shared" ref="W168" si="121">IF($E168="Yes",MAX(R168:V168),"")</f>
        <v/>
      </c>
      <c r="X168" s="11" t="s">
        <v>727</v>
      </c>
      <c r="Y168" s="11" t="str">
        <f>HLOOKUP($X168,Tables_Cat!$B$6:$P$7,2,FALSE)</f>
        <v>Material</v>
      </c>
      <c r="Z168" s="24" t="s">
        <v>700</v>
      </c>
      <c r="AA168" s="11" t="s">
        <v>728</v>
      </c>
      <c r="AB168" s="13" t="str">
        <f t="shared" si="85"/>
        <v/>
      </c>
      <c r="AC168" s="11" t="s">
        <v>702</v>
      </c>
      <c r="AD168" s="11" t="str">
        <f t="shared" si="79"/>
        <v/>
      </c>
      <c r="AE168" s="11" t="s">
        <v>772</v>
      </c>
      <c r="AF168" s="11" t="str">
        <f t="shared" si="80"/>
        <v/>
      </c>
      <c r="AG168" s="11" t="str">
        <f t="shared" si="81"/>
        <v/>
      </c>
      <c r="AH168" s="11" t="str">
        <f t="shared" si="86"/>
        <v/>
      </c>
      <c r="AI168" s="11" t="str">
        <f t="shared" si="82"/>
        <v/>
      </c>
      <c r="AJ168" s="11" t="str">
        <f t="shared" si="83"/>
        <v/>
      </c>
      <c r="AK168" s="11" t="str">
        <f t="shared" si="84"/>
        <v/>
      </c>
      <c r="AN168" s="11" t="s">
        <v>985</v>
      </c>
      <c r="AO168" s="11" t="s">
        <v>918</v>
      </c>
    </row>
    <row r="169" spans="1:41" ht="47.25">
      <c r="A169" s="11">
        <v>163</v>
      </c>
      <c r="B169" s="11" t="s">
        <v>865</v>
      </c>
      <c r="C169" s="11" t="s">
        <v>990</v>
      </c>
      <c r="D169" s="32"/>
      <c r="E169" s="11" t="str">
        <f t="shared" ref="E169" si="122">IF(D169="","Select ...")</f>
        <v>Select ...</v>
      </c>
      <c r="F169" s="11">
        <v>0.5</v>
      </c>
      <c r="G169" s="11">
        <v>0.25</v>
      </c>
      <c r="H169" s="11">
        <f>A140</f>
        <v>134</v>
      </c>
      <c r="I169" s="11"/>
      <c r="J169" s="11"/>
      <c r="K169" s="11"/>
      <c r="L169" s="11"/>
      <c r="M169" s="11" t="s">
        <v>694</v>
      </c>
      <c r="N169" s="11" t="s">
        <v>769</v>
      </c>
      <c r="O169" s="11" t="s">
        <v>985</v>
      </c>
      <c r="P169" s="11" t="s">
        <v>92</v>
      </c>
      <c r="Q169" s="11" t="s">
        <v>770</v>
      </c>
      <c r="R169" s="11" t="str">
        <f t="shared" si="97"/>
        <v/>
      </c>
      <c r="S169" s="11" t="str">
        <f t="shared" si="98"/>
        <v/>
      </c>
      <c r="T169" s="11" t="str">
        <f t="shared" si="99"/>
        <v/>
      </c>
      <c r="U169" s="11" t="str">
        <f t="shared" si="100"/>
        <v/>
      </c>
      <c r="V169" s="11" t="str">
        <f t="shared" si="101"/>
        <v/>
      </c>
      <c r="W169" s="11" t="str">
        <f t="shared" ref="W169" si="123">IF($E169="Yes",MAX(R169:V169),"")</f>
        <v/>
      </c>
      <c r="X169" s="11" t="s">
        <v>727</v>
      </c>
      <c r="Y169" s="11" t="str">
        <f>HLOOKUP($X169,Tables_Cat!$B$6:$P$7,2,FALSE)</f>
        <v>Material</v>
      </c>
      <c r="Z169" s="24" t="s">
        <v>700</v>
      </c>
      <c r="AA169" s="11" t="s">
        <v>728</v>
      </c>
      <c r="AB169" s="13" t="str">
        <f t="shared" si="85"/>
        <v/>
      </c>
      <c r="AC169" s="11" t="s">
        <v>702</v>
      </c>
      <c r="AD169" s="11" t="str">
        <f t="shared" si="79"/>
        <v/>
      </c>
      <c r="AE169" s="11" t="s">
        <v>772</v>
      </c>
      <c r="AF169" s="11" t="str">
        <f t="shared" si="80"/>
        <v/>
      </c>
      <c r="AG169" s="11" t="str">
        <f t="shared" si="81"/>
        <v/>
      </c>
      <c r="AH169" s="11" t="str">
        <f t="shared" si="86"/>
        <v/>
      </c>
      <c r="AI169" s="11" t="str">
        <f t="shared" si="82"/>
        <v/>
      </c>
      <c r="AJ169" s="11" t="str">
        <f t="shared" si="83"/>
        <v/>
      </c>
      <c r="AK169" s="11" t="str">
        <f t="shared" si="84"/>
        <v/>
      </c>
      <c r="AN169" s="11" t="s">
        <v>985</v>
      </c>
      <c r="AO169" s="11" t="s">
        <v>918</v>
      </c>
    </row>
    <row r="170" spans="1:41" ht="31.5">
      <c r="A170" s="11">
        <v>164</v>
      </c>
      <c r="B170" s="11" t="s">
        <v>865</v>
      </c>
      <c r="C170" s="11" t="s">
        <v>991</v>
      </c>
      <c r="D170" s="32"/>
      <c r="E170" s="11" t="s">
        <v>3</v>
      </c>
      <c r="F170" s="11">
        <v>0.25</v>
      </c>
      <c r="G170" s="11">
        <v>0.1</v>
      </c>
      <c r="H170" s="11">
        <f>A119</f>
        <v>113</v>
      </c>
      <c r="I170" s="11">
        <f>A142</f>
        <v>136</v>
      </c>
      <c r="J170" s="11"/>
      <c r="K170" s="11"/>
      <c r="L170" s="11"/>
      <c r="M170" s="11" t="s">
        <v>750</v>
      </c>
      <c r="N170" s="11" t="s">
        <v>781</v>
      </c>
      <c r="O170" s="11" t="s">
        <v>92</v>
      </c>
      <c r="P170" s="11" t="s">
        <v>931</v>
      </c>
      <c r="Q170" s="11" t="s">
        <v>868</v>
      </c>
      <c r="R170" s="11">
        <f t="shared" si="97"/>
        <v>10.26</v>
      </c>
      <c r="S170" s="11">
        <f t="shared" si="98"/>
        <v>10.26</v>
      </c>
      <c r="T170" s="11" t="str">
        <f t="shared" si="99"/>
        <v/>
      </c>
      <c r="U170" s="11" t="str">
        <f t="shared" si="100"/>
        <v/>
      </c>
      <c r="V170" s="11" t="str">
        <f t="shared" si="101"/>
        <v/>
      </c>
      <c r="W170" s="11">
        <f t="shared" si="102"/>
        <v>10.26</v>
      </c>
      <c r="X170" s="11" t="s">
        <v>92</v>
      </c>
      <c r="Y170" s="11" t="str">
        <f>HLOOKUP($X170,Tables_Cat!$B$6:$P$7,2,FALSE)</f>
        <v>Material</v>
      </c>
      <c r="Z170" s="24" t="s">
        <v>700</v>
      </c>
      <c r="AA170" s="11" t="s">
        <v>751</v>
      </c>
      <c r="AB170" s="13">
        <f t="shared" si="85"/>
        <v>0.6</v>
      </c>
      <c r="AC170" s="11" t="s">
        <v>702</v>
      </c>
      <c r="AD170" s="11">
        <f t="shared" si="79"/>
        <v>0.6</v>
      </c>
      <c r="AE170" s="11" t="s">
        <v>870</v>
      </c>
      <c r="AF170" s="11">
        <f t="shared" si="80"/>
        <v>2.5649999999999999</v>
      </c>
      <c r="AG170" s="11">
        <f t="shared" si="81"/>
        <v>26.3169</v>
      </c>
      <c r="AH170" s="11">
        <f t="shared" si="86"/>
        <v>2</v>
      </c>
      <c r="AI170" s="11">
        <f t="shared" si="82"/>
        <v>0</v>
      </c>
      <c r="AJ170" s="11">
        <f t="shared" si="83"/>
        <v>1.026</v>
      </c>
      <c r="AK170" s="11">
        <f t="shared" si="84"/>
        <v>10.526760000000001</v>
      </c>
      <c r="AN170" s="11" t="s">
        <v>871</v>
      </c>
      <c r="AO170" s="11" t="s">
        <v>918</v>
      </c>
    </row>
    <row r="171" spans="1:41" ht="31.5">
      <c r="A171" s="11">
        <v>165</v>
      </c>
      <c r="B171" s="11" t="s">
        <v>865</v>
      </c>
      <c r="C171" s="11" t="s">
        <v>992</v>
      </c>
      <c r="D171" s="32"/>
      <c r="E171" s="11" t="str">
        <f t="shared" si="37"/>
        <v>Select ...</v>
      </c>
      <c r="F171" s="11">
        <v>0.5</v>
      </c>
      <c r="G171" s="11">
        <v>0.5</v>
      </c>
      <c r="H171" s="11">
        <f>A170</f>
        <v>164</v>
      </c>
      <c r="I171" s="11"/>
      <c r="J171" s="11"/>
      <c r="K171" s="11"/>
      <c r="L171" s="11"/>
      <c r="M171" s="11" t="s">
        <v>694</v>
      </c>
      <c r="N171" s="11" t="s">
        <v>769</v>
      </c>
      <c r="O171" s="11" t="s">
        <v>931</v>
      </c>
      <c r="P171" s="11" t="s">
        <v>931</v>
      </c>
      <c r="Q171" s="11" t="s">
        <v>698</v>
      </c>
      <c r="R171" s="11" t="str">
        <f t="shared" si="97"/>
        <v/>
      </c>
      <c r="S171" s="11" t="str">
        <f t="shared" si="98"/>
        <v/>
      </c>
      <c r="T171" s="11" t="str">
        <f t="shared" si="99"/>
        <v/>
      </c>
      <c r="U171" s="11" t="str">
        <f t="shared" si="100"/>
        <v/>
      </c>
      <c r="V171" s="11" t="str">
        <f t="shared" si="101"/>
        <v/>
      </c>
      <c r="W171" s="11" t="str">
        <f t="shared" si="102"/>
        <v/>
      </c>
      <c r="X171" s="11" t="s">
        <v>741</v>
      </c>
      <c r="Y171" s="11" t="str">
        <f>HLOOKUP($X171,Tables_Cat!$B$6:$P$7,2,FALSE)</f>
        <v>Material</v>
      </c>
      <c r="Z171" s="24" t="s">
        <v>700</v>
      </c>
      <c r="AA171" s="11" t="s">
        <v>701</v>
      </c>
      <c r="AB171" s="13" t="str">
        <f t="shared" si="85"/>
        <v/>
      </c>
      <c r="AC171" s="11" t="s">
        <v>702</v>
      </c>
      <c r="AD171" s="11" t="str">
        <f t="shared" si="79"/>
        <v/>
      </c>
      <c r="AE171" s="11" t="s">
        <v>703</v>
      </c>
      <c r="AF171" s="11" t="str">
        <f t="shared" si="80"/>
        <v/>
      </c>
      <c r="AG171" s="11" t="str">
        <f t="shared" si="81"/>
        <v/>
      </c>
      <c r="AH171" s="11" t="str">
        <f t="shared" si="86"/>
        <v/>
      </c>
      <c r="AI171" s="11" t="str">
        <f t="shared" si="82"/>
        <v/>
      </c>
      <c r="AJ171" s="11" t="str">
        <f t="shared" si="83"/>
        <v/>
      </c>
      <c r="AK171" s="11" t="str">
        <f t="shared" si="84"/>
        <v/>
      </c>
      <c r="AN171" s="11" t="s">
        <v>871</v>
      </c>
      <c r="AO171" s="11" t="s">
        <v>993</v>
      </c>
    </row>
    <row r="172" spans="1:41" ht="47.25">
      <c r="A172" s="11">
        <v>166</v>
      </c>
      <c r="B172" s="11" t="s">
        <v>865</v>
      </c>
      <c r="C172" s="11" t="s">
        <v>994</v>
      </c>
      <c r="D172" s="32"/>
      <c r="E172" s="11" t="str">
        <f t="shared" ref="E172:E182" si="124">IF(D172="","Select ...")</f>
        <v>Select ...</v>
      </c>
      <c r="F172" s="11">
        <v>0.5</v>
      </c>
      <c r="G172" s="11">
        <v>0.5</v>
      </c>
      <c r="H172" s="11">
        <f>A171</f>
        <v>165</v>
      </c>
      <c r="I172" s="11"/>
      <c r="J172" s="11"/>
      <c r="K172" s="11"/>
      <c r="L172" s="11"/>
      <c r="M172" s="11" t="s">
        <v>694</v>
      </c>
      <c r="N172" s="11" t="s">
        <v>769</v>
      </c>
      <c r="O172" s="11" t="s">
        <v>931</v>
      </c>
      <c r="P172" s="11" t="s">
        <v>888</v>
      </c>
      <c r="Q172" s="11" t="s">
        <v>995</v>
      </c>
      <c r="R172" s="11" t="str">
        <f t="shared" si="97"/>
        <v/>
      </c>
      <c r="S172" s="11" t="str">
        <f t="shared" si="98"/>
        <v/>
      </c>
      <c r="T172" s="11" t="str">
        <f t="shared" si="99"/>
        <v/>
      </c>
      <c r="U172" s="11" t="str">
        <f t="shared" si="100"/>
        <v/>
      </c>
      <c r="V172" s="11" t="str">
        <f t="shared" si="101"/>
        <v/>
      </c>
      <c r="W172" s="11" t="str">
        <f t="shared" ref="W172:W182" si="125">IF($E172="Yes",MAX(R172:V172),"")</f>
        <v/>
      </c>
      <c r="X172" s="11" t="s">
        <v>759</v>
      </c>
      <c r="Y172" s="11" t="str">
        <f>HLOOKUP($X172,Tables_Cat!$B$6:$P$7,2,FALSE)</f>
        <v>Information</v>
      </c>
      <c r="Z172" s="24" t="s">
        <v>700</v>
      </c>
      <c r="AA172" s="11" t="s">
        <v>701</v>
      </c>
      <c r="AB172" s="13" t="str">
        <f t="shared" si="85"/>
        <v/>
      </c>
      <c r="AC172" s="11" t="s">
        <v>702</v>
      </c>
      <c r="AD172" s="11" t="str">
        <f t="shared" si="79"/>
        <v/>
      </c>
      <c r="AE172" s="11" t="s">
        <v>996</v>
      </c>
      <c r="AF172" s="11" t="str">
        <f t="shared" si="80"/>
        <v/>
      </c>
      <c r="AG172" s="11" t="str">
        <f t="shared" si="81"/>
        <v/>
      </c>
      <c r="AH172" s="11" t="str">
        <f t="shared" si="86"/>
        <v/>
      </c>
      <c r="AI172" s="11" t="str">
        <f t="shared" si="82"/>
        <v/>
      </c>
      <c r="AJ172" s="11" t="str">
        <f t="shared" si="83"/>
        <v/>
      </c>
      <c r="AK172" s="11" t="str">
        <f t="shared" si="84"/>
        <v/>
      </c>
      <c r="AN172" s="11" t="s">
        <v>871</v>
      </c>
      <c r="AO172" s="11" t="s">
        <v>993</v>
      </c>
    </row>
    <row r="173" spans="1:41" ht="47.25">
      <c r="A173" s="11">
        <v>167</v>
      </c>
      <c r="B173" s="11" t="s">
        <v>876</v>
      </c>
      <c r="C173" s="11" t="s">
        <v>997</v>
      </c>
      <c r="D173" s="32"/>
      <c r="E173" s="11" t="str">
        <f t="shared" ref="E173" si="126">IF(D173="","Select ...")</f>
        <v>Select ...</v>
      </c>
      <c r="F173" s="11">
        <v>0.5</v>
      </c>
      <c r="G173" s="11">
        <v>0.5</v>
      </c>
      <c r="H173" s="11">
        <f>A172</f>
        <v>166</v>
      </c>
      <c r="I173" s="11"/>
      <c r="J173" s="11"/>
      <c r="K173" s="11"/>
      <c r="L173" s="11"/>
      <c r="M173" s="11" t="s">
        <v>694</v>
      </c>
      <c r="N173" s="11" t="s">
        <v>763</v>
      </c>
      <c r="O173" s="11" t="s">
        <v>931</v>
      </c>
      <c r="P173" s="11" t="s">
        <v>908</v>
      </c>
      <c r="Q173" s="11" t="s">
        <v>995</v>
      </c>
      <c r="R173" s="11" t="str">
        <f t="shared" si="97"/>
        <v/>
      </c>
      <c r="S173" s="11" t="str">
        <f t="shared" si="98"/>
        <v/>
      </c>
      <c r="T173" s="11" t="str">
        <f t="shared" si="99"/>
        <v/>
      </c>
      <c r="U173" s="11" t="str">
        <f t="shared" si="100"/>
        <v/>
      </c>
      <c r="V173" s="11" t="str">
        <f t="shared" si="101"/>
        <v/>
      </c>
      <c r="W173" s="11" t="str">
        <f t="shared" ref="W173:W176" si="127">IF($E173="Yes",MAX(R173:V173),"")</f>
        <v/>
      </c>
      <c r="X173" s="11" t="s">
        <v>759</v>
      </c>
      <c r="Y173" s="11" t="str">
        <f>HLOOKUP($X173,Tables_Cat!$B$6:$P$7,2,FALSE)</f>
        <v>Information</v>
      </c>
      <c r="Z173" s="24" t="s">
        <v>700</v>
      </c>
      <c r="AA173" s="11" t="s">
        <v>701</v>
      </c>
      <c r="AB173" s="13" t="str">
        <f t="shared" si="85"/>
        <v/>
      </c>
      <c r="AC173" s="11" t="s">
        <v>702</v>
      </c>
      <c r="AD173" s="11" t="str">
        <f t="shared" si="79"/>
        <v/>
      </c>
      <c r="AE173" s="11" t="s">
        <v>996</v>
      </c>
      <c r="AF173" s="11" t="str">
        <f t="shared" si="80"/>
        <v/>
      </c>
      <c r="AG173" s="11" t="str">
        <f t="shared" si="81"/>
        <v/>
      </c>
      <c r="AH173" s="11" t="str">
        <f t="shared" si="86"/>
        <v/>
      </c>
      <c r="AI173" s="11" t="str">
        <f t="shared" si="82"/>
        <v/>
      </c>
      <c r="AJ173" s="11" t="str">
        <f t="shared" si="83"/>
        <v/>
      </c>
      <c r="AK173" s="11" t="str">
        <f t="shared" si="84"/>
        <v/>
      </c>
      <c r="AN173" s="11" t="s">
        <v>879</v>
      </c>
      <c r="AO173" s="11" t="s">
        <v>993</v>
      </c>
    </row>
    <row r="174" spans="1:41" ht="47.25">
      <c r="A174" s="11">
        <v>168</v>
      </c>
      <c r="B174" s="11" t="s">
        <v>808</v>
      </c>
      <c r="C174" s="11" t="s">
        <v>998</v>
      </c>
      <c r="D174" s="32"/>
      <c r="E174" s="11" t="s">
        <v>4</v>
      </c>
      <c r="F174" s="11">
        <v>1</v>
      </c>
      <c r="G174" s="11">
        <v>0.5</v>
      </c>
      <c r="H174" s="11">
        <f>A138</f>
        <v>132</v>
      </c>
      <c r="I174" s="11">
        <f>A144</f>
        <v>138</v>
      </c>
      <c r="J174" s="11"/>
      <c r="K174" s="11"/>
      <c r="L174" s="11"/>
      <c r="M174" s="11" t="s">
        <v>755</v>
      </c>
      <c r="N174" s="11" t="s">
        <v>769</v>
      </c>
      <c r="O174" s="11" t="s">
        <v>859</v>
      </c>
      <c r="P174" s="11" t="s">
        <v>92</v>
      </c>
      <c r="Q174" s="11" t="s">
        <v>770</v>
      </c>
      <c r="R174" s="11" t="str">
        <f t="shared" si="97"/>
        <v/>
      </c>
      <c r="S174" s="11" t="str">
        <f t="shared" si="98"/>
        <v/>
      </c>
      <c r="T174" s="11" t="str">
        <f t="shared" si="99"/>
        <v/>
      </c>
      <c r="U174" s="11" t="str">
        <f t="shared" si="100"/>
        <v/>
      </c>
      <c r="V174" s="11" t="str">
        <f t="shared" si="101"/>
        <v/>
      </c>
      <c r="W174" s="11" t="str">
        <f t="shared" si="127"/>
        <v/>
      </c>
      <c r="X174" s="11" t="s">
        <v>92</v>
      </c>
      <c r="Y174" s="11" t="str">
        <f>HLOOKUP($X174,Tables_Cat!$B$6:$P$7,2,FALSE)</f>
        <v>Material</v>
      </c>
      <c r="Z174" s="24" t="s">
        <v>904</v>
      </c>
      <c r="AA174" s="11" t="s">
        <v>765</v>
      </c>
      <c r="AB174" s="13" t="str">
        <f t="shared" si="85"/>
        <v/>
      </c>
      <c r="AC174" s="11" t="s">
        <v>702</v>
      </c>
      <c r="AD174" s="11" t="str">
        <f t="shared" si="79"/>
        <v/>
      </c>
      <c r="AE174" s="11" t="s">
        <v>772</v>
      </c>
      <c r="AF174" s="11" t="str">
        <f t="shared" si="80"/>
        <v/>
      </c>
      <c r="AG174" s="11" t="str">
        <f t="shared" si="81"/>
        <v/>
      </c>
      <c r="AH174" s="11" t="str">
        <f t="shared" si="86"/>
        <v/>
      </c>
      <c r="AI174" s="11" t="str">
        <f t="shared" si="82"/>
        <v/>
      </c>
      <c r="AJ174" s="11" t="str">
        <f t="shared" si="83"/>
        <v/>
      </c>
      <c r="AK174" s="11" t="str">
        <f t="shared" si="84"/>
        <v/>
      </c>
      <c r="AN174" s="11" t="s">
        <v>811</v>
      </c>
      <c r="AO174" s="11" t="s">
        <v>918</v>
      </c>
    </row>
    <row r="175" spans="1:41" ht="47.25">
      <c r="A175" s="11">
        <v>169</v>
      </c>
      <c r="B175" s="11" t="s">
        <v>808</v>
      </c>
      <c r="C175" s="11" t="s">
        <v>999</v>
      </c>
      <c r="D175" s="32"/>
      <c r="E175" s="11" t="s">
        <v>4</v>
      </c>
      <c r="F175" s="11">
        <v>1</v>
      </c>
      <c r="G175" s="11">
        <v>0.5</v>
      </c>
      <c r="H175" s="11">
        <f>A139</f>
        <v>133</v>
      </c>
      <c r="I175" s="11">
        <f>A145</f>
        <v>139</v>
      </c>
      <c r="J175" s="11"/>
      <c r="K175" s="11"/>
      <c r="L175" s="11"/>
      <c r="M175" s="11" t="s">
        <v>755</v>
      </c>
      <c r="N175" s="11" t="s">
        <v>769</v>
      </c>
      <c r="O175" s="11" t="s">
        <v>859</v>
      </c>
      <c r="P175" s="11" t="s">
        <v>92</v>
      </c>
      <c r="Q175" s="11" t="s">
        <v>770</v>
      </c>
      <c r="R175" s="11" t="str">
        <f t="shared" si="97"/>
        <v/>
      </c>
      <c r="S175" s="11" t="str">
        <f t="shared" si="98"/>
        <v/>
      </c>
      <c r="T175" s="11" t="str">
        <f t="shared" si="99"/>
        <v/>
      </c>
      <c r="U175" s="11" t="str">
        <f t="shared" si="100"/>
        <v/>
      </c>
      <c r="V175" s="11" t="str">
        <f t="shared" si="101"/>
        <v/>
      </c>
      <c r="W175" s="11" t="str">
        <f t="shared" ref="W175" si="128">IF($E175="Yes",MAX(R175:V175),"")</f>
        <v/>
      </c>
      <c r="X175" s="11" t="s">
        <v>92</v>
      </c>
      <c r="Y175" s="11" t="str">
        <f>HLOOKUP($X175,Tables_Cat!$B$6:$P$7,2,FALSE)</f>
        <v>Material</v>
      </c>
      <c r="Z175" s="24" t="s">
        <v>904</v>
      </c>
      <c r="AA175" s="11" t="s">
        <v>765</v>
      </c>
      <c r="AB175" s="13" t="str">
        <f t="shared" si="85"/>
        <v/>
      </c>
      <c r="AC175" s="11" t="s">
        <v>702</v>
      </c>
      <c r="AD175" s="11" t="str">
        <f t="shared" si="79"/>
        <v/>
      </c>
      <c r="AE175" s="11" t="s">
        <v>772</v>
      </c>
      <c r="AF175" s="11" t="str">
        <f t="shared" si="80"/>
        <v/>
      </c>
      <c r="AG175" s="11" t="str">
        <f t="shared" si="81"/>
        <v/>
      </c>
      <c r="AH175" s="11" t="str">
        <f t="shared" si="86"/>
        <v/>
      </c>
      <c r="AI175" s="11" t="str">
        <f t="shared" si="82"/>
        <v/>
      </c>
      <c r="AJ175" s="11" t="str">
        <f t="shared" si="83"/>
        <v/>
      </c>
      <c r="AK175" s="11" t="str">
        <f t="shared" si="84"/>
        <v/>
      </c>
      <c r="AN175" s="11" t="s">
        <v>811</v>
      </c>
      <c r="AO175" s="11" t="s">
        <v>918</v>
      </c>
    </row>
    <row r="176" spans="1:41" ht="47.25">
      <c r="A176" s="11">
        <v>170</v>
      </c>
      <c r="B176" s="11" t="s">
        <v>808</v>
      </c>
      <c r="C176" s="11" t="s">
        <v>1000</v>
      </c>
      <c r="D176" s="32"/>
      <c r="E176" s="11" t="s">
        <v>4</v>
      </c>
      <c r="F176" s="11">
        <v>1</v>
      </c>
      <c r="G176" s="11">
        <v>0.5</v>
      </c>
      <c r="H176" s="11">
        <f>A139</f>
        <v>133</v>
      </c>
      <c r="I176" s="11">
        <f>A145</f>
        <v>139</v>
      </c>
      <c r="J176" s="11"/>
      <c r="K176" s="11"/>
      <c r="L176" s="11"/>
      <c r="M176" s="11" t="s">
        <v>755</v>
      </c>
      <c r="N176" s="11" t="s">
        <v>769</v>
      </c>
      <c r="O176" s="11" t="s">
        <v>859</v>
      </c>
      <c r="P176" s="11" t="s">
        <v>92</v>
      </c>
      <c r="Q176" s="11" t="s">
        <v>770</v>
      </c>
      <c r="R176" s="11" t="str">
        <f t="shared" si="97"/>
        <v/>
      </c>
      <c r="S176" s="11" t="str">
        <f t="shared" si="98"/>
        <v/>
      </c>
      <c r="T176" s="11" t="str">
        <f t="shared" si="99"/>
        <v/>
      </c>
      <c r="U176" s="11" t="str">
        <f t="shared" si="100"/>
        <v/>
      </c>
      <c r="V176" s="11" t="str">
        <f t="shared" si="101"/>
        <v/>
      </c>
      <c r="W176" s="11" t="str">
        <f t="shared" si="127"/>
        <v/>
      </c>
      <c r="X176" s="11" t="s">
        <v>92</v>
      </c>
      <c r="Y176" s="11" t="str">
        <f>HLOOKUP($X176,Tables_Cat!$B$6:$P$7,2,FALSE)</f>
        <v>Material</v>
      </c>
      <c r="Z176" s="24" t="s">
        <v>904</v>
      </c>
      <c r="AA176" s="11" t="s">
        <v>765</v>
      </c>
      <c r="AB176" s="13" t="str">
        <f t="shared" si="85"/>
        <v/>
      </c>
      <c r="AC176" s="11" t="s">
        <v>702</v>
      </c>
      <c r="AD176" s="11" t="str">
        <f t="shared" si="79"/>
        <v/>
      </c>
      <c r="AE176" s="11" t="s">
        <v>772</v>
      </c>
      <c r="AF176" s="11" t="str">
        <f t="shared" si="80"/>
        <v/>
      </c>
      <c r="AG176" s="11" t="str">
        <f t="shared" si="81"/>
        <v/>
      </c>
      <c r="AH176" s="11" t="str">
        <f t="shared" si="86"/>
        <v/>
      </c>
      <c r="AI176" s="11" t="str">
        <f t="shared" si="82"/>
        <v/>
      </c>
      <c r="AJ176" s="11" t="str">
        <f t="shared" si="83"/>
        <v/>
      </c>
      <c r="AK176" s="11" t="str">
        <f t="shared" si="84"/>
        <v/>
      </c>
      <c r="AN176" s="11" t="s">
        <v>811</v>
      </c>
      <c r="AO176" s="11" t="s">
        <v>918</v>
      </c>
    </row>
    <row r="177" spans="1:41" ht="47.25">
      <c r="A177" s="11">
        <v>171</v>
      </c>
      <c r="B177" s="11" t="s">
        <v>808</v>
      </c>
      <c r="C177" s="11" t="s">
        <v>1001</v>
      </c>
      <c r="D177" s="32"/>
      <c r="E177" s="11" t="s">
        <v>4</v>
      </c>
      <c r="F177" s="11">
        <v>1</v>
      </c>
      <c r="G177" s="11">
        <v>0.5</v>
      </c>
      <c r="H177" s="11">
        <f>A140</f>
        <v>134</v>
      </c>
      <c r="I177" s="11">
        <f>A146</f>
        <v>140</v>
      </c>
      <c r="J177" s="11"/>
      <c r="K177" s="11"/>
      <c r="L177" s="11"/>
      <c r="M177" s="11" t="s">
        <v>755</v>
      </c>
      <c r="N177" s="11" t="s">
        <v>769</v>
      </c>
      <c r="O177" s="11" t="s">
        <v>859</v>
      </c>
      <c r="P177" s="11" t="s">
        <v>92</v>
      </c>
      <c r="Q177" s="11" t="s">
        <v>770</v>
      </c>
      <c r="R177" s="11" t="str">
        <f t="shared" si="97"/>
        <v/>
      </c>
      <c r="S177" s="11" t="str">
        <f t="shared" si="98"/>
        <v/>
      </c>
      <c r="T177" s="11" t="str">
        <f t="shared" si="99"/>
        <v/>
      </c>
      <c r="U177" s="11" t="str">
        <f t="shared" si="100"/>
        <v/>
      </c>
      <c r="V177" s="11" t="str">
        <f t="shared" si="101"/>
        <v/>
      </c>
      <c r="W177" s="11" t="str">
        <f t="shared" ref="W177" si="129">IF($E177="Yes",MAX(R177:V177),"")</f>
        <v/>
      </c>
      <c r="X177" s="11" t="s">
        <v>92</v>
      </c>
      <c r="Y177" s="11" t="str">
        <f>HLOOKUP($X177,Tables_Cat!$B$6:$P$7,2,FALSE)</f>
        <v>Material</v>
      </c>
      <c r="Z177" s="24" t="s">
        <v>904</v>
      </c>
      <c r="AA177" s="11" t="s">
        <v>765</v>
      </c>
      <c r="AB177" s="13" t="str">
        <f t="shared" si="85"/>
        <v/>
      </c>
      <c r="AC177" s="11" t="s">
        <v>702</v>
      </c>
      <c r="AD177" s="11" t="str">
        <f t="shared" si="79"/>
        <v/>
      </c>
      <c r="AE177" s="11" t="s">
        <v>772</v>
      </c>
      <c r="AF177" s="11" t="str">
        <f t="shared" si="80"/>
        <v/>
      </c>
      <c r="AG177" s="11" t="str">
        <f t="shared" si="81"/>
        <v/>
      </c>
      <c r="AH177" s="11" t="str">
        <f t="shared" si="86"/>
        <v/>
      </c>
      <c r="AI177" s="11" t="str">
        <f t="shared" si="82"/>
        <v/>
      </c>
      <c r="AJ177" s="11" t="str">
        <f t="shared" si="83"/>
        <v/>
      </c>
      <c r="AK177" s="11" t="str">
        <f t="shared" si="84"/>
        <v/>
      </c>
      <c r="AN177" s="11" t="s">
        <v>811</v>
      </c>
      <c r="AO177" s="11" t="s">
        <v>918</v>
      </c>
    </row>
    <row r="178" spans="1:41" ht="31.5">
      <c r="A178" s="11">
        <v>172</v>
      </c>
      <c r="B178" s="11" t="s">
        <v>1002</v>
      </c>
      <c r="C178" s="11" t="s">
        <v>1003</v>
      </c>
      <c r="D178" s="32"/>
      <c r="E178" s="11" t="str">
        <f t="shared" si="124"/>
        <v>Select ...</v>
      </c>
      <c r="F178" s="11">
        <v>0.5</v>
      </c>
      <c r="G178" s="11">
        <v>0.5</v>
      </c>
      <c r="H178" s="11"/>
      <c r="I178" s="11"/>
      <c r="J178" s="11"/>
      <c r="K178" s="11"/>
      <c r="L178" s="11"/>
      <c r="M178" s="11" t="s">
        <v>694</v>
      </c>
      <c r="N178" s="11" t="s">
        <v>769</v>
      </c>
      <c r="O178" s="11" t="s">
        <v>791</v>
      </c>
      <c r="P178" s="11" t="s">
        <v>800</v>
      </c>
      <c r="Q178" s="11" t="s">
        <v>464</v>
      </c>
      <c r="R178" s="11" t="str">
        <f t="shared" si="97"/>
        <v/>
      </c>
      <c r="S178" s="11" t="str">
        <f t="shared" si="98"/>
        <v/>
      </c>
      <c r="T178" s="11" t="str">
        <f t="shared" si="99"/>
        <v/>
      </c>
      <c r="U178" s="11" t="str">
        <f t="shared" si="100"/>
        <v/>
      </c>
      <c r="V178" s="11" t="str">
        <f t="shared" si="101"/>
        <v/>
      </c>
      <c r="W178" s="11" t="str">
        <f t="shared" si="125"/>
        <v/>
      </c>
      <c r="X178" s="11" t="s">
        <v>801</v>
      </c>
      <c r="Y178" s="11" t="str">
        <f>HLOOKUP($X178,Tables_Cat!$B$6:$P$7,2,FALSE)</f>
        <v>Material</v>
      </c>
      <c r="Z178" s="24" t="s">
        <v>700</v>
      </c>
      <c r="AA178" s="11" t="s">
        <v>728</v>
      </c>
      <c r="AB178" s="13" t="str">
        <f t="shared" si="85"/>
        <v/>
      </c>
      <c r="AC178" s="11" t="s">
        <v>702</v>
      </c>
      <c r="AD178" s="11" t="str">
        <f t="shared" si="79"/>
        <v/>
      </c>
      <c r="AE178" s="11" t="s">
        <v>772</v>
      </c>
      <c r="AF178" s="11" t="str">
        <f t="shared" si="80"/>
        <v/>
      </c>
      <c r="AG178" s="11" t="str">
        <f t="shared" si="81"/>
        <v/>
      </c>
      <c r="AH178" s="11" t="str">
        <f t="shared" si="86"/>
        <v/>
      </c>
      <c r="AI178" s="11" t="str">
        <f t="shared" si="82"/>
        <v/>
      </c>
      <c r="AJ178" s="11" t="str">
        <f t="shared" si="83"/>
        <v/>
      </c>
      <c r="AK178" s="11" t="str">
        <f t="shared" si="84"/>
        <v/>
      </c>
      <c r="AN178" s="11" t="s">
        <v>800</v>
      </c>
      <c r="AO178" s="11" t="s">
        <v>789</v>
      </c>
    </row>
    <row r="179" spans="1:41" ht="31.5">
      <c r="A179" s="11">
        <v>173</v>
      </c>
      <c r="B179" s="11" t="s">
        <v>1002</v>
      </c>
      <c r="C179" s="11" t="s">
        <v>1004</v>
      </c>
      <c r="D179" s="32"/>
      <c r="E179" s="11" t="str">
        <f t="shared" si="124"/>
        <v>Select ...</v>
      </c>
      <c r="F179" s="11">
        <v>0.5</v>
      </c>
      <c r="G179" s="11">
        <v>0.25</v>
      </c>
      <c r="H179" s="11"/>
      <c r="I179" s="11"/>
      <c r="J179" s="11"/>
      <c r="K179" s="11"/>
      <c r="L179" s="11"/>
      <c r="M179" s="11" t="s">
        <v>694</v>
      </c>
      <c r="N179" s="11" t="s">
        <v>769</v>
      </c>
      <c r="O179" s="11" t="s">
        <v>791</v>
      </c>
      <c r="P179" s="11" t="s">
        <v>800</v>
      </c>
      <c r="Q179" s="11" t="s">
        <v>770</v>
      </c>
      <c r="R179" s="11" t="str">
        <f t="shared" si="97"/>
        <v/>
      </c>
      <c r="S179" s="11" t="str">
        <f t="shared" si="98"/>
        <v/>
      </c>
      <c r="T179" s="11" t="str">
        <f t="shared" si="99"/>
        <v/>
      </c>
      <c r="U179" s="11" t="str">
        <f t="shared" si="100"/>
        <v/>
      </c>
      <c r="V179" s="11" t="str">
        <f t="shared" si="101"/>
        <v/>
      </c>
      <c r="W179" s="11" t="str">
        <f t="shared" si="125"/>
        <v/>
      </c>
      <c r="X179" s="11" t="s">
        <v>801</v>
      </c>
      <c r="Y179" s="11" t="str">
        <f>HLOOKUP($X179,Tables_Cat!$B$6:$P$7,2,FALSE)</f>
        <v>Material</v>
      </c>
      <c r="Z179" s="24" t="s">
        <v>700</v>
      </c>
      <c r="AA179" s="11" t="s">
        <v>728</v>
      </c>
      <c r="AB179" s="13" t="str">
        <f t="shared" si="85"/>
        <v/>
      </c>
      <c r="AC179" s="11" t="s">
        <v>702</v>
      </c>
      <c r="AD179" s="11" t="str">
        <f t="shared" si="79"/>
        <v/>
      </c>
      <c r="AE179" s="11" t="s">
        <v>772</v>
      </c>
      <c r="AF179" s="11" t="str">
        <f t="shared" si="80"/>
        <v/>
      </c>
      <c r="AG179" s="11" t="str">
        <f t="shared" si="81"/>
        <v/>
      </c>
      <c r="AH179" s="11" t="str">
        <f t="shared" si="86"/>
        <v/>
      </c>
      <c r="AI179" s="11" t="str">
        <f t="shared" si="82"/>
        <v/>
      </c>
      <c r="AJ179" s="11" t="str">
        <f t="shared" si="83"/>
        <v/>
      </c>
      <c r="AK179" s="11" t="str">
        <f t="shared" si="84"/>
        <v/>
      </c>
      <c r="AN179" s="11" t="s">
        <v>800</v>
      </c>
      <c r="AO179" s="11" t="s">
        <v>789</v>
      </c>
    </row>
    <row r="180" spans="1:41" ht="31.5">
      <c r="A180" s="11">
        <v>174</v>
      </c>
      <c r="B180" s="11" t="s">
        <v>1002</v>
      </c>
      <c r="C180" s="11" t="s">
        <v>1005</v>
      </c>
      <c r="D180" s="32"/>
      <c r="E180" s="11" t="str">
        <f t="shared" si="124"/>
        <v>Select ...</v>
      </c>
      <c r="F180" s="11">
        <v>1</v>
      </c>
      <c r="G180" s="11">
        <v>1</v>
      </c>
      <c r="H180" s="11"/>
      <c r="I180" s="11"/>
      <c r="J180" s="11"/>
      <c r="K180" s="11"/>
      <c r="L180" s="11"/>
      <c r="M180" s="11" t="s">
        <v>694</v>
      </c>
      <c r="N180" s="11" t="s">
        <v>769</v>
      </c>
      <c r="O180" s="11" t="s">
        <v>800</v>
      </c>
      <c r="P180" s="11" t="s">
        <v>1006</v>
      </c>
      <c r="Q180" s="11" t="s">
        <v>61</v>
      </c>
      <c r="R180" s="11" t="str">
        <f t="shared" si="97"/>
        <v/>
      </c>
      <c r="S180" s="11" t="str">
        <f t="shared" si="98"/>
        <v/>
      </c>
      <c r="T180" s="11" t="str">
        <f t="shared" si="99"/>
        <v/>
      </c>
      <c r="U180" s="11" t="str">
        <f t="shared" si="100"/>
        <v/>
      </c>
      <c r="V180" s="11" t="str">
        <f t="shared" si="101"/>
        <v/>
      </c>
      <c r="W180" s="11" t="str">
        <f t="shared" si="125"/>
        <v/>
      </c>
      <c r="X180" s="11" t="s">
        <v>1007</v>
      </c>
      <c r="Y180" s="11" t="str">
        <f>HLOOKUP($X180,Tables_Cat!$B$6:$P$7,2,FALSE)</f>
        <v>Information</v>
      </c>
      <c r="Z180" s="24" t="s">
        <v>700</v>
      </c>
      <c r="AA180" s="11" t="s">
        <v>728</v>
      </c>
      <c r="AB180" s="13" t="str">
        <f t="shared" si="85"/>
        <v/>
      </c>
      <c r="AC180" s="11" t="s">
        <v>1008</v>
      </c>
      <c r="AD180" s="11" t="str">
        <f t="shared" si="79"/>
        <v/>
      </c>
      <c r="AE180" s="11" t="s">
        <v>772</v>
      </c>
      <c r="AF180" s="11" t="str">
        <f t="shared" si="80"/>
        <v/>
      </c>
      <c r="AG180" s="11" t="str">
        <f t="shared" si="81"/>
        <v/>
      </c>
      <c r="AH180" s="11" t="str">
        <f t="shared" si="86"/>
        <v/>
      </c>
      <c r="AI180" s="11" t="str">
        <f t="shared" si="82"/>
        <v/>
      </c>
      <c r="AJ180" s="11" t="str">
        <f t="shared" si="83"/>
        <v/>
      </c>
      <c r="AK180" s="11" t="str">
        <f t="shared" si="84"/>
        <v/>
      </c>
      <c r="AN180" s="11" t="s">
        <v>871</v>
      </c>
      <c r="AO180" s="11" t="s">
        <v>1009</v>
      </c>
    </row>
    <row r="181" spans="1:41" ht="31.5">
      <c r="A181" s="11">
        <v>175</v>
      </c>
      <c r="B181" s="11" t="s">
        <v>1002</v>
      </c>
      <c r="C181" s="11" t="s">
        <v>1010</v>
      </c>
      <c r="D181" s="32"/>
      <c r="E181" s="11" t="str">
        <f t="shared" si="124"/>
        <v>Select ...</v>
      </c>
      <c r="F181" s="11">
        <v>1</v>
      </c>
      <c r="G181" s="11">
        <v>1</v>
      </c>
      <c r="H181" s="11"/>
      <c r="I181" s="11"/>
      <c r="J181" s="11"/>
      <c r="K181" s="11"/>
      <c r="L181" s="11"/>
      <c r="M181" s="11" t="s">
        <v>694</v>
      </c>
      <c r="N181" s="11" t="s">
        <v>769</v>
      </c>
      <c r="O181" s="11" t="s">
        <v>800</v>
      </c>
      <c r="P181" s="11" t="s">
        <v>1006</v>
      </c>
      <c r="Q181" s="11" t="s">
        <v>61</v>
      </c>
      <c r="R181" s="11" t="str">
        <f t="shared" si="97"/>
        <v/>
      </c>
      <c r="S181" s="11" t="str">
        <f t="shared" si="98"/>
        <v/>
      </c>
      <c r="T181" s="11" t="str">
        <f t="shared" si="99"/>
        <v/>
      </c>
      <c r="U181" s="11" t="str">
        <f t="shared" si="100"/>
        <v/>
      </c>
      <c r="V181" s="11" t="str">
        <f t="shared" si="101"/>
        <v/>
      </c>
      <c r="W181" s="11" t="str">
        <f t="shared" si="125"/>
        <v/>
      </c>
      <c r="X181" s="11" t="s">
        <v>1007</v>
      </c>
      <c r="Y181" s="11" t="str">
        <f>HLOOKUP($X181,Tables_Cat!$B$6:$P$7,2,FALSE)</f>
        <v>Information</v>
      </c>
      <c r="Z181" s="24" t="s">
        <v>700</v>
      </c>
      <c r="AA181" s="11" t="s">
        <v>728</v>
      </c>
      <c r="AB181" s="13" t="str">
        <f t="shared" si="85"/>
        <v/>
      </c>
      <c r="AC181" s="11" t="s">
        <v>922</v>
      </c>
      <c r="AD181" s="11" t="str">
        <f t="shared" si="79"/>
        <v/>
      </c>
      <c r="AE181" s="11" t="s">
        <v>772</v>
      </c>
      <c r="AF181" s="11" t="str">
        <f t="shared" si="80"/>
        <v/>
      </c>
      <c r="AG181" s="11" t="str">
        <f t="shared" si="81"/>
        <v/>
      </c>
      <c r="AH181" s="11" t="str">
        <f t="shared" si="86"/>
        <v/>
      </c>
      <c r="AI181" s="11" t="str">
        <f t="shared" si="82"/>
        <v/>
      </c>
      <c r="AJ181" s="11" t="str">
        <f t="shared" si="83"/>
        <v/>
      </c>
      <c r="AK181" s="11" t="str">
        <f t="shared" si="84"/>
        <v/>
      </c>
      <c r="AN181" s="11" t="s">
        <v>871</v>
      </c>
      <c r="AO181" s="11" t="s">
        <v>1009</v>
      </c>
    </row>
    <row r="182" spans="1:41" ht="31.5">
      <c r="A182" s="11">
        <v>176</v>
      </c>
      <c r="B182" s="11" t="s">
        <v>1002</v>
      </c>
      <c r="C182" s="11" t="s">
        <v>1011</v>
      </c>
      <c r="D182" s="32"/>
      <c r="E182" s="11" t="str">
        <f t="shared" si="124"/>
        <v>Select ...</v>
      </c>
      <c r="F182" s="11">
        <v>1</v>
      </c>
      <c r="G182" s="11">
        <v>1</v>
      </c>
      <c r="H182" s="11"/>
      <c r="I182" s="11"/>
      <c r="J182" s="11"/>
      <c r="K182" s="11"/>
      <c r="L182" s="11"/>
      <c r="M182" s="11" t="s">
        <v>694</v>
      </c>
      <c r="N182" s="11" t="s">
        <v>769</v>
      </c>
      <c r="O182" s="11" t="s">
        <v>800</v>
      </c>
      <c r="P182" s="11" t="s">
        <v>1006</v>
      </c>
      <c r="Q182" s="11" t="s">
        <v>61</v>
      </c>
      <c r="R182" s="11" t="str">
        <f t="shared" si="97"/>
        <v/>
      </c>
      <c r="S182" s="11" t="str">
        <f t="shared" si="98"/>
        <v/>
      </c>
      <c r="T182" s="11" t="str">
        <f t="shared" si="99"/>
        <v/>
      </c>
      <c r="U182" s="11" t="str">
        <f t="shared" si="100"/>
        <v/>
      </c>
      <c r="V182" s="11" t="str">
        <f t="shared" si="101"/>
        <v/>
      </c>
      <c r="W182" s="11" t="str">
        <f t="shared" si="125"/>
        <v/>
      </c>
      <c r="X182" s="11" t="s">
        <v>1007</v>
      </c>
      <c r="Y182" s="11" t="str">
        <f>HLOOKUP($X182,Tables_Cat!$B$6:$P$7,2,FALSE)</f>
        <v>Information</v>
      </c>
      <c r="Z182" s="24" t="s">
        <v>700</v>
      </c>
      <c r="AA182" s="11" t="s">
        <v>728</v>
      </c>
      <c r="AB182" s="13" t="str">
        <f t="shared" si="85"/>
        <v/>
      </c>
      <c r="AC182" s="11" t="s">
        <v>1012</v>
      </c>
      <c r="AD182" s="11" t="str">
        <f t="shared" si="79"/>
        <v/>
      </c>
      <c r="AE182" s="11" t="s">
        <v>772</v>
      </c>
      <c r="AF182" s="11" t="str">
        <f t="shared" si="80"/>
        <v/>
      </c>
      <c r="AG182" s="11" t="str">
        <f t="shared" si="81"/>
        <v/>
      </c>
      <c r="AH182" s="11" t="str">
        <f t="shared" si="86"/>
        <v/>
      </c>
      <c r="AI182" s="11" t="str">
        <f t="shared" si="82"/>
        <v/>
      </c>
      <c r="AJ182" s="11" t="str">
        <f t="shared" si="83"/>
        <v/>
      </c>
      <c r="AK182" s="11" t="str">
        <f t="shared" si="84"/>
        <v/>
      </c>
      <c r="AN182" s="11" t="s">
        <v>871</v>
      </c>
      <c r="AO182" s="11" t="s">
        <v>1009</v>
      </c>
    </row>
    <row r="183" spans="1:41" ht="63">
      <c r="A183" s="11">
        <v>177</v>
      </c>
      <c r="B183" s="11" t="s">
        <v>1002</v>
      </c>
      <c r="C183" s="11" t="s">
        <v>1013</v>
      </c>
      <c r="D183" s="32"/>
      <c r="E183" s="11" t="str">
        <f t="shared" ref="E183:E185" si="130">IF(D183="","Select ...")</f>
        <v>Select ...</v>
      </c>
      <c r="F183" s="11">
        <v>1</v>
      </c>
      <c r="G183" s="11">
        <v>1</v>
      </c>
      <c r="H183" s="11"/>
      <c r="I183" s="11"/>
      <c r="J183" s="11"/>
      <c r="K183" s="11"/>
      <c r="L183" s="11"/>
      <c r="M183" s="11" t="s">
        <v>694</v>
      </c>
      <c r="N183" s="11" t="s">
        <v>769</v>
      </c>
      <c r="O183" s="11" t="s">
        <v>800</v>
      </c>
      <c r="P183" s="11" t="s">
        <v>1006</v>
      </c>
      <c r="Q183" s="11" t="s">
        <v>770</v>
      </c>
      <c r="R183" s="11" t="str">
        <f t="shared" si="97"/>
        <v/>
      </c>
      <c r="S183" s="11" t="str">
        <f t="shared" si="98"/>
        <v/>
      </c>
      <c r="T183" s="11" t="str">
        <f t="shared" si="99"/>
        <v/>
      </c>
      <c r="U183" s="11" t="str">
        <f t="shared" si="100"/>
        <v/>
      </c>
      <c r="V183" s="11" t="str">
        <f t="shared" si="101"/>
        <v/>
      </c>
      <c r="W183" s="11" t="str">
        <f t="shared" ref="W183:W185" si="131">IF($E183="Yes",MAX(R183:V183),"")</f>
        <v/>
      </c>
      <c r="X183" s="11" t="s">
        <v>1007</v>
      </c>
      <c r="Y183" s="11" t="str">
        <f>HLOOKUP($X183,Tables_Cat!$B$6:$P$7,2,FALSE)</f>
        <v>Information</v>
      </c>
      <c r="Z183" s="24" t="s">
        <v>874</v>
      </c>
      <c r="AA183" s="11" t="s">
        <v>728</v>
      </c>
      <c r="AB183" s="13" t="str">
        <f t="shared" si="85"/>
        <v/>
      </c>
      <c r="AC183" s="11" t="s">
        <v>1008</v>
      </c>
      <c r="AD183" s="11" t="str">
        <f t="shared" si="79"/>
        <v/>
      </c>
      <c r="AE183" s="11" t="s">
        <v>772</v>
      </c>
      <c r="AF183" s="11" t="str">
        <f t="shared" si="80"/>
        <v/>
      </c>
      <c r="AG183" s="11" t="str">
        <f t="shared" si="81"/>
        <v/>
      </c>
      <c r="AH183" s="11" t="str">
        <f t="shared" si="86"/>
        <v/>
      </c>
      <c r="AI183" s="11" t="str">
        <f t="shared" si="82"/>
        <v/>
      </c>
      <c r="AJ183" s="11" t="str">
        <f t="shared" si="83"/>
        <v/>
      </c>
      <c r="AK183" s="11" t="str">
        <f t="shared" si="84"/>
        <v/>
      </c>
      <c r="AN183" s="11" t="s">
        <v>871</v>
      </c>
      <c r="AO183" s="11" t="s">
        <v>1009</v>
      </c>
    </row>
    <row r="184" spans="1:41" ht="63">
      <c r="A184" s="11">
        <v>178</v>
      </c>
      <c r="B184" s="11" t="s">
        <v>1002</v>
      </c>
      <c r="C184" s="11" t="s">
        <v>1014</v>
      </c>
      <c r="D184" s="32"/>
      <c r="E184" s="11" t="str">
        <f t="shared" si="130"/>
        <v>Select ...</v>
      </c>
      <c r="F184" s="11">
        <v>1</v>
      </c>
      <c r="G184" s="11">
        <v>1</v>
      </c>
      <c r="H184" s="11"/>
      <c r="I184" s="11"/>
      <c r="J184" s="11"/>
      <c r="K184" s="11"/>
      <c r="L184" s="11"/>
      <c r="M184" s="11" t="s">
        <v>694</v>
      </c>
      <c r="N184" s="11" t="s">
        <v>769</v>
      </c>
      <c r="O184" s="11" t="s">
        <v>800</v>
      </c>
      <c r="P184" s="11" t="s">
        <v>1006</v>
      </c>
      <c r="Q184" s="11" t="s">
        <v>770</v>
      </c>
      <c r="R184" s="11" t="str">
        <f t="shared" si="97"/>
        <v/>
      </c>
      <c r="S184" s="11" t="str">
        <f t="shared" si="98"/>
        <v/>
      </c>
      <c r="T184" s="11" t="str">
        <f t="shared" si="99"/>
        <v/>
      </c>
      <c r="U184" s="11" t="str">
        <f t="shared" si="100"/>
        <v/>
      </c>
      <c r="V184" s="11" t="str">
        <f t="shared" si="101"/>
        <v/>
      </c>
      <c r="W184" s="11" t="str">
        <f t="shared" si="131"/>
        <v/>
      </c>
      <c r="X184" s="11" t="s">
        <v>1007</v>
      </c>
      <c r="Y184" s="11" t="str">
        <f>HLOOKUP($X184,Tables_Cat!$B$6:$P$7,2,FALSE)</f>
        <v>Information</v>
      </c>
      <c r="Z184" s="24" t="s">
        <v>874</v>
      </c>
      <c r="AA184" s="11" t="s">
        <v>728</v>
      </c>
      <c r="AB184" s="13" t="str">
        <f t="shared" si="85"/>
        <v/>
      </c>
      <c r="AC184" s="11" t="s">
        <v>922</v>
      </c>
      <c r="AD184" s="11" t="str">
        <f t="shared" si="79"/>
        <v/>
      </c>
      <c r="AE184" s="11" t="s">
        <v>772</v>
      </c>
      <c r="AF184" s="11" t="str">
        <f t="shared" si="80"/>
        <v/>
      </c>
      <c r="AG184" s="11" t="str">
        <f t="shared" si="81"/>
        <v/>
      </c>
      <c r="AH184" s="11" t="str">
        <f t="shared" si="86"/>
        <v/>
      </c>
      <c r="AI184" s="11" t="str">
        <f t="shared" si="82"/>
        <v/>
      </c>
      <c r="AJ184" s="11" t="str">
        <f t="shared" si="83"/>
        <v/>
      </c>
      <c r="AK184" s="11" t="str">
        <f t="shared" si="84"/>
        <v/>
      </c>
      <c r="AN184" s="11" t="s">
        <v>871</v>
      </c>
      <c r="AO184" s="11" t="s">
        <v>1009</v>
      </c>
    </row>
    <row r="185" spans="1:41" ht="63">
      <c r="A185" s="11">
        <v>179</v>
      </c>
      <c r="B185" s="11" t="s">
        <v>1002</v>
      </c>
      <c r="C185" s="11" t="s">
        <v>1015</v>
      </c>
      <c r="D185" s="32"/>
      <c r="E185" s="11" t="str">
        <f t="shared" si="130"/>
        <v>Select ...</v>
      </c>
      <c r="F185" s="11">
        <v>1</v>
      </c>
      <c r="G185" s="11">
        <v>1</v>
      </c>
      <c r="H185" s="11"/>
      <c r="I185" s="11"/>
      <c r="J185" s="11"/>
      <c r="K185" s="11"/>
      <c r="L185" s="11"/>
      <c r="M185" s="11" t="s">
        <v>694</v>
      </c>
      <c r="N185" s="11" t="s">
        <v>769</v>
      </c>
      <c r="O185" s="11" t="s">
        <v>800</v>
      </c>
      <c r="P185" s="11" t="s">
        <v>1006</v>
      </c>
      <c r="Q185" s="11" t="s">
        <v>770</v>
      </c>
      <c r="R185" s="11" t="str">
        <f t="shared" si="97"/>
        <v/>
      </c>
      <c r="S185" s="11" t="str">
        <f t="shared" si="98"/>
        <v/>
      </c>
      <c r="T185" s="11" t="str">
        <f t="shared" si="99"/>
        <v/>
      </c>
      <c r="U185" s="11" t="str">
        <f t="shared" si="100"/>
        <v/>
      </c>
      <c r="V185" s="11" t="str">
        <f t="shared" si="101"/>
        <v/>
      </c>
      <c r="W185" s="11" t="str">
        <f t="shared" si="131"/>
        <v/>
      </c>
      <c r="X185" s="11" t="s">
        <v>1007</v>
      </c>
      <c r="Y185" s="11" t="str">
        <f>HLOOKUP($X185,Tables_Cat!$B$6:$P$7,2,FALSE)</f>
        <v>Information</v>
      </c>
      <c r="Z185" s="24" t="s">
        <v>874</v>
      </c>
      <c r="AA185" s="11" t="s">
        <v>728</v>
      </c>
      <c r="AB185" s="13" t="str">
        <f t="shared" si="85"/>
        <v/>
      </c>
      <c r="AC185" s="11" t="s">
        <v>1012</v>
      </c>
      <c r="AD185" s="11" t="str">
        <f t="shared" si="79"/>
        <v/>
      </c>
      <c r="AE185" s="11" t="s">
        <v>772</v>
      </c>
      <c r="AF185" s="11" t="str">
        <f t="shared" si="80"/>
        <v/>
      </c>
      <c r="AG185" s="11" t="str">
        <f t="shared" si="81"/>
        <v/>
      </c>
      <c r="AH185" s="11" t="str">
        <f t="shared" si="86"/>
        <v/>
      </c>
      <c r="AI185" s="11" t="str">
        <f t="shared" si="82"/>
        <v/>
      </c>
      <c r="AJ185" s="11" t="str">
        <f t="shared" si="83"/>
        <v/>
      </c>
      <c r="AK185" s="11" t="str">
        <f t="shared" si="84"/>
        <v/>
      </c>
      <c r="AN185" s="11" t="s">
        <v>871</v>
      </c>
      <c r="AO185" s="11" t="s">
        <v>1009</v>
      </c>
    </row>
    <row r="186" spans="1:41" ht="47.25">
      <c r="A186" s="11">
        <v>180</v>
      </c>
      <c r="B186" s="11" t="s">
        <v>1002</v>
      </c>
      <c r="C186" s="11" t="s">
        <v>1016</v>
      </c>
      <c r="D186" s="32"/>
      <c r="E186" s="11" t="str">
        <f t="shared" ref="E186:E188" si="132">IF(D186="","Select ...")</f>
        <v>Select ...</v>
      </c>
      <c r="F186" s="11">
        <v>1</v>
      </c>
      <c r="G186" s="11">
        <v>1</v>
      </c>
      <c r="H186" s="11"/>
      <c r="I186" s="11"/>
      <c r="J186" s="11"/>
      <c r="K186" s="11"/>
      <c r="L186" s="11"/>
      <c r="M186" s="11" t="s">
        <v>694</v>
      </c>
      <c r="N186" s="11" t="s">
        <v>769</v>
      </c>
      <c r="O186" s="11" t="s">
        <v>800</v>
      </c>
      <c r="P186" s="11" t="s">
        <v>1006</v>
      </c>
      <c r="Q186" s="11" t="s">
        <v>770</v>
      </c>
      <c r="R186" s="11" t="str">
        <f t="shared" si="97"/>
        <v/>
      </c>
      <c r="S186" s="11" t="str">
        <f t="shared" si="98"/>
        <v/>
      </c>
      <c r="T186" s="11" t="str">
        <f t="shared" si="99"/>
        <v/>
      </c>
      <c r="U186" s="11" t="str">
        <f t="shared" si="100"/>
        <v/>
      </c>
      <c r="V186" s="11" t="str">
        <f t="shared" si="101"/>
        <v/>
      </c>
      <c r="W186" s="11" t="str">
        <f t="shared" ref="W186:W190" si="133">IF($E186="Yes",MAX(R186:V186),"")</f>
        <v/>
      </c>
      <c r="X186" s="11" t="s">
        <v>1007</v>
      </c>
      <c r="Y186" s="11" t="str">
        <f>HLOOKUP($X186,Tables_Cat!$B$6:$P$7,2,FALSE)</f>
        <v>Information</v>
      </c>
      <c r="Z186" s="24" t="s">
        <v>793</v>
      </c>
      <c r="AA186" s="11" t="s">
        <v>728</v>
      </c>
      <c r="AB186" s="13" t="str">
        <f t="shared" si="85"/>
        <v/>
      </c>
      <c r="AC186" s="11" t="s">
        <v>1008</v>
      </c>
      <c r="AD186" s="11" t="str">
        <f t="shared" si="79"/>
        <v/>
      </c>
      <c r="AE186" s="11" t="s">
        <v>772</v>
      </c>
      <c r="AF186" s="11" t="str">
        <f t="shared" si="80"/>
        <v/>
      </c>
      <c r="AG186" s="11" t="str">
        <f t="shared" si="81"/>
        <v/>
      </c>
      <c r="AH186" s="11" t="str">
        <f t="shared" si="86"/>
        <v/>
      </c>
      <c r="AI186" s="11" t="str">
        <f t="shared" si="82"/>
        <v/>
      </c>
      <c r="AJ186" s="11" t="str">
        <f t="shared" si="83"/>
        <v/>
      </c>
      <c r="AK186" s="11" t="str">
        <f t="shared" si="84"/>
        <v/>
      </c>
      <c r="AN186" s="11" t="s">
        <v>871</v>
      </c>
      <c r="AO186" s="11" t="s">
        <v>1009</v>
      </c>
    </row>
    <row r="187" spans="1:41" ht="47.25">
      <c r="A187" s="11">
        <v>181</v>
      </c>
      <c r="B187" s="11" t="s">
        <v>1002</v>
      </c>
      <c r="C187" s="11" t="s">
        <v>1017</v>
      </c>
      <c r="D187" s="32"/>
      <c r="E187" s="11" t="str">
        <f t="shared" si="132"/>
        <v>Select ...</v>
      </c>
      <c r="F187" s="11">
        <v>1</v>
      </c>
      <c r="G187" s="11">
        <v>1</v>
      </c>
      <c r="H187" s="11"/>
      <c r="I187" s="11"/>
      <c r="J187" s="11"/>
      <c r="K187" s="11"/>
      <c r="L187" s="11"/>
      <c r="M187" s="11" t="s">
        <v>694</v>
      </c>
      <c r="N187" s="11" t="s">
        <v>769</v>
      </c>
      <c r="O187" s="11" t="s">
        <v>800</v>
      </c>
      <c r="P187" s="11" t="s">
        <v>1006</v>
      </c>
      <c r="Q187" s="11" t="s">
        <v>770</v>
      </c>
      <c r="R187" s="11" t="str">
        <f t="shared" si="97"/>
        <v/>
      </c>
      <c r="S187" s="11" t="str">
        <f t="shared" si="98"/>
        <v/>
      </c>
      <c r="T187" s="11" t="str">
        <f t="shared" si="99"/>
        <v/>
      </c>
      <c r="U187" s="11" t="str">
        <f t="shared" si="100"/>
        <v/>
      </c>
      <c r="V187" s="11" t="str">
        <f t="shared" si="101"/>
        <v/>
      </c>
      <c r="W187" s="11" t="str">
        <f t="shared" si="133"/>
        <v/>
      </c>
      <c r="X187" s="11" t="s">
        <v>1007</v>
      </c>
      <c r="Y187" s="11" t="str">
        <f>HLOOKUP($X187,Tables_Cat!$B$6:$P$7,2,FALSE)</f>
        <v>Information</v>
      </c>
      <c r="Z187" s="24" t="s">
        <v>793</v>
      </c>
      <c r="AA187" s="11" t="s">
        <v>728</v>
      </c>
      <c r="AB187" s="13" t="str">
        <f t="shared" si="85"/>
        <v/>
      </c>
      <c r="AC187" s="11" t="s">
        <v>922</v>
      </c>
      <c r="AD187" s="11" t="str">
        <f t="shared" si="79"/>
        <v/>
      </c>
      <c r="AE187" s="11" t="s">
        <v>772</v>
      </c>
      <c r="AF187" s="11" t="str">
        <f t="shared" si="80"/>
        <v/>
      </c>
      <c r="AG187" s="11" t="str">
        <f t="shared" si="81"/>
        <v/>
      </c>
      <c r="AH187" s="11" t="str">
        <f t="shared" si="86"/>
        <v/>
      </c>
      <c r="AI187" s="11" t="str">
        <f t="shared" si="82"/>
        <v/>
      </c>
      <c r="AJ187" s="11" t="str">
        <f t="shared" si="83"/>
        <v/>
      </c>
      <c r="AK187" s="11" t="str">
        <f t="shared" si="84"/>
        <v/>
      </c>
      <c r="AN187" s="11" t="s">
        <v>871</v>
      </c>
      <c r="AO187" s="11" t="s">
        <v>1009</v>
      </c>
    </row>
    <row r="188" spans="1:41" ht="63">
      <c r="A188" s="11">
        <v>182</v>
      </c>
      <c r="B188" s="11" t="s">
        <v>1002</v>
      </c>
      <c r="C188" s="11" t="s">
        <v>1018</v>
      </c>
      <c r="D188" s="32"/>
      <c r="E188" s="11" t="str">
        <f t="shared" si="132"/>
        <v>Select ...</v>
      </c>
      <c r="F188" s="11">
        <v>1</v>
      </c>
      <c r="G188" s="11">
        <v>1</v>
      </c>
      <c r="H188" s="11"/>
      <c r="I188" s="11"/>
      <c r="J188" s="11"/>
      <c r="K188" s="11"/>
      <c r="L188" s="11"/>
      <c r="M188" s="11" t="s">
        <v>694</v>
      </c>
      <c r="N188" s="11" t="s">
        <v>769</v>
      </c>
      <c r="O188" s="11" t="s">
        <v>800</v>
      </c>
      <c r="P188" s="11" t="s">
        <v>1006</v>
      </c>
      <c r="Q188" s="11" t="s">
        <v>770</v>
      </c>
      <c r="R188" s="11" t="str">
        <f t="shared" si="97"/>
        <v/>
      </c>
      <c r="S188" s="11" t="str">
        <f t="shared" si="98"/>
        <v/>
      </c>
      <c r="T188" s="11" t="str">
        <f t="shared" si="99"/>
        <v/>
      </c>
      <c r="U188" s="11" t="str">
        <f t="shared" si="100"/>
        <v/>
      </c>
      <c r="V188" s="11" t="str">
        <f t="shared" si="101"/>
        <v/>
      </c>
      <c r="W188" s="11" t="str">
        <f t="shared" si="133"/>
        <v/>
      </c>
      <c r="X188" s="11" t="s">
        <v>1007</v>
      </c>
      <c r="Y188" s="11" t="str">
        <f>HLOOKUP($X188,Tables_Cat!$B$6:$P$7,2,FALSE)</f>
        <v>Information</v>
      </c>
      <c r="Z188" s="24" t="s">
        <v>793</v>
      </c>
      <c r="AA188" s="11" t="s">
        <v>728</v>
      </c>
      <c r="AB188" s="13" t="str">
        <f t="shared" si="85"/>
        <v/>
      </c>
      <c r="AC188" s="11" t="s">
        <v>1012</v>
      </c>
      <c r="AD188" s="11" t="str">
        <f t="shared" si="79"/>
        <v/>
      </c>
      <c r="AE188" s="11" t="s">
        <v>772</v>
      </c>
      <c r="AF188" s="11" t="str">
        <f t="shared" si="80"/>
        <v/>
      </c>
      <c r="AG188" s="11" t="str">
        <f t="shared" si="81"/>
        <v/>
      </c>
      <c r="AH188" s="11" t="str">
        <f t="shared" si="86"/>
        <v/>
      </c>
      <c r="AI188" s="11" t="str">
        <f t="shared" si="82"/>
        <v/>
      </c>
      <c r="AJ188" s="11" t="str">
        <f t="shared" si="83"/>
        <v/>
      </c>
      <c r="AK188" s="11" t="str">
        <f t="shared" si="84"/>
        <v/>
      </c>
      <c r="AN188" s="11" t="s">
        <v>871</v>
      </c>
      <c r="AO188" s="11" t="s">
        <v>1009</v>
      </c>
    </row>
    <row r="189" spans="1:41" ht="78.75">
      <c r="A189" s="11">
        <v>183</v>
      </c>
      <c r="B189" s="11" t="s">
        <v>808</v>
      </c>
      <c r="C189" s="11" t="s">
        <v>1019</v>
      </c>
      <c r="D189" s="32"/>
      <c r="E189" s="11" t="s">
        <v>4</v>
      </c>
      <c r="F189" s="11">
        <v>1</v>
      </c>
      <c r="G189" s="11">
        <v>0.5</v>
      </c>
      <c r="H189" s="11">
        <f>A161</f>
        <v>155</v>
      </c>
      <c r="I189" s="11">
        <f>A169</f>
        <v>163</v>
      </c>
      <c r="J189" s="11"/>
      <c r="K189" s="11"/>
      <c r="L189" s="11"/>
      <c r="M189" s="11" t="s">
        <v>694</v>
      </c>
      <c r="N189" s="11" t="s">
        <v>763</v>
      </c>
      <c r="O189" s="11" t="s">
        <v>859</v>
      </c>
      <c r="P189" s="11" t="s">
        <v>1020</v>
      </c>
      <c r="Q189" s="11" t="s">
        <v>1021</v>
      </c>
      <c r="R189" s="11" t="str">
        <f t="shared" si="97"/>
        <v/>
      </c>
      <c r="S189" s="11" t="str">
        <f t="shared" si="98"/>
        <v/>
      </c>
      <c r="T189" s="11" t="str">
        <f t="shared" si="99"/>
        <v/>
      </c>
      <c r="U189" s="11" t="str">
        <f t="shared" si="100"/>
        <v/>
      </c>
      <c r="V189" s="11" t="str">
        <f t="shared" si="101"/>
        <v/>
      </c>
      <c r="W189" s="11" t="str">
        <f t="shared" si="133"/>
        <v/>
      </c>
      <c r="X189" s="11" t="s">
        <v>1007</v>
      </c>
      <c r="Y189" s="11" t="str">
        <f>HLOOKUP($X189,Tables_Cat!$B$6:$P$7,2,FALSE)</f>
        <v>Information</v>
      </c>
      <c r="Z189" s="24" t="s">
        <v>904</v>
      </c>
      <c r="AA189" s="11" t="s">
        <v>728</v>
      </c>
      <c r="AB189" s="13" t="str">
        <f t="shared" si="85"/>
        <v/>
      </c>
      <c r="AC189" s="11" t="s">
        <v>1012</v>
      </c>
      <c r="AD189" s="11" t="str">
        <f t="shared" si="79"/>
        <v/>
      </c>
      <c r="AE189" s="11" t="s">
        <v>1022</v>
      </c>
      <c r="AF189" s="11" t="str">
        <f t="shared" si="80"/>
        <v/>
      </c>
      <c r="AG189" s="11" t="str">
        <f t="shared" si="81"/>
        <v/>
      </c>
      <c r="AH189" s="11" t="str">
        <f t="shared" si="86"/>
        <v/>
      </c>
      <c r="AI189" s="11" t="str">
        <f t="shared" si="82"/>
        <v/>
      </c>
      <c r="AJ189" s="11" t="str">
        <f t="shared" si="83"/>
        <v/>
      </c>
      <c r="AK189" s="11" t="str">
        <f t="shared" si="84"/>
        <v/>
      </c>
      <c r="AN189" s="11" t="s">
        <v>811</v>
      </c>
      <c r="AO189" s="11" t="s">
        <v>1023</v>
      </c>
    </row>
    <row r="190" spans="1:41" ht="63">
      <c r="A190" s="11">
        <v>184</v>
      </c>
      <c r="B190" s="11" t="s">
        <v>808</v>
      </c>
      <c r="C190" s="11" t="s">
        <v>1024</v>
      </c>
      <c r="D190" s="32"/>
      <c r="E190" s="11" t="s">
        <v>4</v>
      </c>
      <c r="F190" s="11">
        <v>1</v>
      </c>
      <c r="G190" s="11">
        <v>0.5</v>
      </c>
      <c r="H190" s="11">
        <f>A161</f>
        <v>155</v>
      </c>
      <c r="I190" s="11">
        <f>A169</f>
        <v>163</v>
      </c>
      <c r="J190" s="11"/>
      <c r="K190" s="11"/>
      <c r="L190" s="11"/>
      <c r="M190" s="11" t="s">
        <v>694</v>
      </c>
      <c r="N190" s="11" t="s">
        <v>763</v>
      </c>
      <c r="O190" s="11" t="s">
        <v>859</v>
      </c>
      <c r="P190" s="11" t="s">
        <v>1020</v>
      </c>
      <c r="Q190" s="11" t="s">
        <v>1021</v>
      </c>
      <c r="R190" s="11" t="str">
        <f t="shared" si="97"/>
        <v/>
      </c>
      <c r="S190" s="11" t="str">
        <f t="shared" si="98"/>
        <v/>
      </c>
      <c r="T190" s="11" t="str">
        <f t="shared" si="99"/>
        <v/>
      </c>
      <c r="U190" s="11" t="str">
        <f t="shared" si="100"/>
        <v/>
      </c>
      <c r="V190" s="11" t="str">
        <f t="shared" si="101"/>
        <v/>
      </c>
      <c r="W190" s="11" t="str">
        <f t="shared" si="133"/>
        <v/>
      </c>
      <c r="X190" s="11" t="s">
        <v>1007</v>
      </c>
      <c r="Y190" s="11" t="str">
        <f>HLOOKUP($X190,Tables_Cat!$B$6:$P$7,2,FALSE)</f>
        <v>Information</v>
      </c>
      <c r="Z190" s="24" t="s">
        <v>904</v>
      </c>
      <c r="AA190" s="11" t="s">
        <v>728</v>
      </c>
      <c r="AB190" s="13" t="str">
        <f t="shared" si="85"/>
        <v/>
      </c>
      <c r="AC190" s="11" t="s">
        <v>1012</v>
      </c>
      <c r="AD190" s="11" t="str">
        <f t="shared" si="79"/>
        <v/>
      </c>
      <c r="AE190" s="11" t="s">
        <v>1022</v>
      </c>
      <c r="AF190" s="11" t="str">
        <f t="shared" si="80"/>
        <v/>
      </c>
      <c r="AG190" s="11" t="str">
        <f t="shared" si="81"/>
        <v/>
      </c>
      <c r="AH190" s="11" t="str">
        <f t="shared" si="86"/>
        <v/>
      </c>
      <c r="AI190" s="11" t="str">
        <f t="shared" si="82"/>
        <v/>
      </c>
      <c r="AJ190" s="11" t="str">
        <f t="shared" si="83"/>
        <v/>
      </c>
      <c r="AK190" s="11" t="str">
        <f t="shared" si="84"/>
        <v/>
      </c>
      <c r="AN190" s="11" t="s">
        <v>811</v>
      </c>
      <c r="AO190" s="11" t="s">
        <v>1023</v>
      </c>
    </row>
    <row r="191" spans="1:41" ht="47.25">
      <c r="A191" s="11">
        <v>185</v>
      </c>
      <c r="B191" s="11" t="s">
        <v>808</v>
      </c>
      <c r="C191" s="11" t="s">
        <v>1025</v>
      </c>
      <c r="D191" s="32"/>
      <c r="E191" s="11" t="s">
        <v>4</v>
      </c>
      <c r="F191" s="11">
        <v>1</v>
      </c>
      <c r="G191" s="11">
        <v>0.5</v>
      </c>
      <c r="H191" s="11">
        <f>A164</f>
        <v>158</v>
      </c>
      <c r="I191" s="11">
        <f>A170</f>
        <v>164</v>
      </c>
      <c r="J191" s="11"/>
      <c r="K191" s="11"/>
      <c r="L191" s="11"/>
      <c r="M191" s="11" t="s">
        <v>694</v>
      </c>
      <c r="N191" s="11" t="s">
        <v>763</v>
      </c>
      <c r="O191" s="11" t="s">
        <v>859</v>
      </c>
      <c r="P191" s="11" t="s">
        <v>1020</v>
      </c>
      <c r="Q191" s="11" t="s">
        <v>1021</v>
      </c>
      <c r="R191" s="11" t="str">
        <f t="shared" si="97"/>
        <v/>
      </c>
      <c r="S191" s="11" t="str">
        <f t="shared" si="98"/>
        <v/>
      </c>
      <c r="T191" s="11" t="str">
        <f t="shared" si="99"/>
        <v/>
      </c>
      <c r="U191" s="11" t="str">
        <f t="shared" si="100"/>
        <v/>
      </c>
      <c r="V191" s="11" t="str">
        <f t="shared" si="101"/>
        <v/>
      </c>
      <c r="W191" s="11" t="str">
        <f t="shared" ref="W191" si="134">IF($E191="Yes",MAX(R191:V191),"")</f>
        <v/>
      </c>
      <c r="X191" s="11" t="s">
        <v>1007</v>
      </c>
      <c r="Y191" s="11" t="str">
        <f>HLOOKUP($X191,Tables_Cat!$B$6:$P$7,2,FALSE)</f>
        <v>Information</v>
      </c>
      <c r="Z191" s="24" t="s">
        <v>904</v>
      </c>
      <c r="AA191" s="11" t="s">
        <v>728</v>
      </c>
      <c r="AB191" s="13" t="str">
        <f t="shared" si="85"/>
        <v/>
      </c>
      <c r="AC191" s="11" t="s">
        <v>922</v>
      </c>
      <c r="AD191" s="11" t="str">
        <f t="shared" si="79"/>
        <v/>
      </c>
      <c r="AE191" s="11" t="s">
        <v>1022</v>
      </c>
      <c r="AF191" s="11" t="str">
        <f t="shared" si="80"/>
        <v/>
      </c>
      <c r="AG191" s="11" t="str">
        <f t="shared" si="81"/>
        <v/>
      </c>
      <c r="AH191" s="11" t="str">
        <f t="shared" si="86"/>
        <v/>
      </c>
      <c r="AI191" s="11" t="str">
        <f t="shared" si="82"/>
        <v/>
      </c>
      <c r="AJ191" s="11" t="str">
        <f t="shared" si="83"/>
        <v/>
      </c>
      <c r="AK191" s="11" t="str">
        <f t="shared" si="84"/>
        <v/>
      </c>
      <c r="AN191" s="11" t="s">
        <v>811</v>
      </c>
      <c r="AO191" s="11" t="s">
        <v>1023</v>
      </c>
    </row>
    <row r="192" spans="1:41" ht="47.25">
      <c r="A192" s="11">
        <v>186</v>
      </c>
      <c r="B192" s="11" t="s">
        <v>808</v>
      </c>
      <c r="C192" s="11" t="s">
        <v>1026</v>
      </c>
      <c r="D192" s="32"/>
      <c r="E192" s="11" t="s">
        <v>4</v>
      </c>
      <c r="F192" s="11">
        <v>1</v>
      </c>
      <c r="G192" s="11">
        <v>0.5</v>
      </c>
      <c r="H192" s="11">
        <f>A165</f>
        <v>159</v>
      </c>
      <c r="I192" s="11">
        <f>A171</f>
        <v>165</v>
      </c>
      <c r="J192" s="11"/>
      <c r="K192" s="11"/>
      <c r="L192" s="11"/>
      <c r="M192" s="11" t="s">
        <v>694</v>
      </c>
      <c r="N192" s="11" t="s">
        <v>763</v>
      </c>
      <c r="O192" s="11" t="s">
        <v>1020</v>
      </c>
      <c r="P192" s="11" t="s">
        <v>931</v>
      </c>
      <c r="Q192" s="11" t="s">
        <v>758</v>
      </c>
      <c r="R192" s="11" t="str">
        <f t="shared" si="97"/>
        <v/>
      </c>
      <c r="S192" s="11" t="str">
        <f t="shared" si="98"/>
        <v/>
      </c>
      <c r="T192" s="11" t="str">
        <f t="shared" si="99"/>
        <v/>
      </c>
      <c r="U192" s="11" t="str">
        <f t="shared" si="100"/>
        <v/>
      </c>
      <c r="V192" s="11" t="str">
        <f t="shared" si="101"/>
        <v/>
      </c>
      <c r="W192" s="11" t="str">
        <f t="shared" ref="W192" si="135">IF($E192="Yes",MAX(R192:V192),"")</f>
        <v/>
      </c>
      <c r="X192" s="11" t="s">
        <v>914</v>
      </c>
      <c r="Y192" s="11" t="str">
        <f>HLOOKUP($X192,Tables_Cat!$B$6:$P$7,2,FALSE)</f>
        <v>Information</v>
      </c>
      <c r="Z192" s="24" t="s">
        <v>709</v>
      </c>
      <c r="AA192" s="11" t="s">
        <v>701</v>
      </c>
      <c r="AB192" s="13" t="str">
        <f t="shared" si="85"/>
        <v/>
      </c>
      <c r="AC192" s="11" t="s">
        <v>922</v>
      </c>
      <c r="AD192" s="11" t="str">
        <f t="shared" si="79"/>
        <v/>
      </c>
      <c r="AE192" s="11" t="s">
        <v>760</v>
      </c>
      <c r="AF192" s="11" t="str">
        <f t="shared" si="80"/>
        <v/>
      </c>
      <c r="AG192" s="11" t="str">
        <f t="shared" si="81"/>
        <v/>
      </c>
      <c r="AH192" s="11" t="str">
        <f t="shared" si="86"/>
        <v/>
      </c>
      <c r="AI192" s="11" t="str">
        <f t="shared" si="82"/>
        <v/>
      </c>
      <c r="AJ192" s="11" t="str">
        <f t="shared" si="83"/>
        <v/>
      </c>
      <c r="AK192" s="11" t="str">
        <f t="shared" si="84"/>
        <v/>
      </c>
      <c r="AN192" s="11" t="s">
        <v>811</v>
      </c>
      <c r="AO192" s="11" t="s">
        <v>1023</v>
      </c>
    </row>
    <row r="193" spans="1:41" ht="31.5">
      <c r="A193" s="11">
        <v>187</v>
      </c>
      <c r="B193" s="11" t="s">
        <v>865</v>
      </c>
      <c r="C193" s="11" t="s">
        <v>1027</v>
      </c>
      <c r="D193" s="32"/>
      <c r="E193" s="11" t="str">
        <f t="shared" si="37"/>
        <v>Select ...</v>
      </c>
      <c r="F193" s="11">
        <v>0.5</v>
      </c>
      <c r="G193" s="11">
        <v>0.5</v>
      </c>
      <c r="H193" s="11" t="str">
        <f>A6</f>
        <v>INIT</v>
      </c>
      <c r="I193" s="11"/>
      <c r="J193" s="11"/>
      <c r="K193" s="11"/>
      <c r="L193" s="11"/>
      <c r="M193" s="11" t="s">
        <v>694</v>
      </c>
      <c r="N193" s="11" t="s">
        <v>748</v>
      </c>
      <c r="O193" s="11" t="s">
        <v>464</v>
      </c>
      <c r="P193" s="11" t="s">
        <v>464</v>
      </c>
      <c r="Q193" s="11" t="s">
        <v>1028</v>
      </c>
      <c r="R193" s="11" t="str">
        <f t="shared" si="97"/>
        <v/>
      </c>
      <c r="S193" s="11" t="str">
        <f t="shared" si="98"/>
        <v/>
      </c>
      <c r="T193" s="11" t="str">
        <f t="shared" si="99"/>
        <v/>
      </c>
      <c r="U193" s="11" t="str">
        <f t="shared" si="100"/>
        <v/>
      </c>
      <c r="V193" s="11" t="str">
        <f t="shared" si="101"/>
        <v/>
      </c>
      <c r="W193" s="11" t="str">
        <f t="shared" si="102"/>
        <v/>
      </c>
      <c r="X193" s="11" t="s">
        <v>759</v>
      </c>
      <c r="Y193" s="11" t="str">
        <f>HLOOKUP($X193,Tables_Cat!$B$6:$P$7,2,FALSE)</f>
        <v>Information</v>
      </c>
      <c r="Z193" s="24" t="s">
        <v>700</v>
      </c>
      <c r="AA193" s="11" t="s">
        <v>701</v>
      </c>
      <c r="AB193" s="13" t="str">
        <f t="shared" si="85"/>
        <v/>
      </c>
      <c r="AC193" s="11" t="s">
        <v>702</v>
      </c>
      <c r="AD193" s="11" t="str">
        <f t="shared" si="79"/>
        <v/>
      </c>
      <c r="AE193" s="11" t="s">
        <v>1029</v>
      </c>
      <c r="AF193" s="11" t="str">
        <f t="shared" si="80"/>
        <v/>
      </c>
      <c r="AG193" s="11" t="str">
        <f t="shared" si="81"/>
        <v/>
      </c>
      <c r="AH193" s="11" t="str">
        <f t="shared" si="86"/>
        <v/>
      </c>
      <c r="AI193" s="11" t="str">
        <f t="shared" si="82"/>
        <v/>
      </c>
      <c r="AJ193" s="11" t="str">
        <f t="shared" si="83"/>
        <v/>
      </c>
      <c r="AK193" s="11" t="str">
        <f t="shared" si="84"/>
        <v/>
      </c>
      <c r="AN193" s="11" t="s">
        <v>977</v>
      </c>
      <c r="AO193" s="11" t="s">
        <v>761</v>
      </c>
    </row>
    <row r="194" spans="1:41" ht="31.5">
      <c r="A194" s="11">
        <v>188</v>
      </c>
      <c r="B194" s="11" t="s">
        <v>865</v>
      </c>
      <c r="C194" s="11" t="s">
        <v>1030</v>
      </c>
      <c r="D194" s="32"/>
      <c r="E194" s="11" t="str">
        <f t="shared" si="37"/>
        <v>Select ...</v>
      </c>
      <c r="F194" s="11">
        <v>0.5</v>
      </c>
      <c r="G194" s="11">
        <v>0.5</v>
      </c>
      <c r="H194" s="11">
        <f>A193</f>
        <v>187</v>
      </c>
      <c r="I194" s="11"/>
      <c r="J194" s="11"/>
      <c r="K194" s="11"/>
      <c r="L194" s="11"/>
      <c r="M194" s="11" t="s">
        <v>694</v>
      </c>
      <c r="N194" s="11" t="s">
        <v>769</v>
      </c>
      <c r="O194" s="11" t="s">
        <v>888</v>
      </c>
      <c r="P194" s="11" t="s">
        <v>464</v>
      </c>
      <c r="Q194" s="11" t="s">
        <v>1028</v>
      </c>
      <c r="R194" s="11" t="str">
        <f t="shared" si="97"/>
        <v/>
      </c>
      <c r="S194" s="11" t="str">
        <f t="shared" si="98"/>
        <v/>
      </c>
      <c r="T194" s="11" t="str">
        <f t="shared" si="99"/>
        <v/>
      </c>
      <c r="U194" s="11" t="str">
        <f t="shared" si="100"/>
        <v/>
      </c>
      <c r="V194" s="11" t="str">
        <f t="shared" si="101"/>
        <v/>
      </c>
      <c r="W194" s="11" t="str">
        <f t="shared" si="102"/>
        <v/>
      </c>
      <c r="X194" s="11" t="s">
        <v>759</v>
      </c>
      <c r="Y194" s="11" t="str">
        <f>HLOOKUP($X194,Tables_Cat!$B$6:$P$7,2,FALSE)</f>
        <v>Information</v>
      </c>
      <c r="Z194" s="24" t="s">
        <v>700</v>
      </c>
      <c r="AA194" s="11" t="s">
        <v>701</v>
      </c>
      <c r="AB194" s="13" t="str">
        <f t="shared" si="85"/>
        <v/>
      </c>
      <c r="AC194" s="11" t="s">
        <v>702</v>
      </c>
      <c r="AD194" s="11" t="str">
        <f t="shared" si="79"/>
        <v/>
      </c>
      <c r="AE194" s="11" t="s">
        <v>1029</v>
      </c>
      <c r="AF194" s="11" t="str">
        <f t="shared" si="80"/>
        <v/>
      </c>
      <c r="AG194" s="11" t="str">
        <f t="shared" si="81"/>
        <v/>
      </c>
      <c r="AH194" s="11" t="str">
        <f t="shared" si="86"/>
        <v/>
      </c>
      <c r="AI194" s="11" t="str">
        <f t="shared" si="82"/>
        <v/>
      </c>
      <c r="AJ194" s="11" t="str">
        <f t="shared" si="83"/>
        <v/>
      </c>
      <c r="AK194" s="11" t="str">
        <f t="shared" si="84"/>
        <v/>
      </c>
      <c r="AN194" s="11" t="s">
        <v>977</v>
      </c>
      <c r="AO194" s="11" t="s">
        <v>993</v>
      </c>
    </row>
    <row r="195" spans="1:41" ht="31.5">
      <c r="A195" s="11">
        <v>189</v>
      </c>
      <c r="B195" s="11" t="s">
        <v>865</v>
      </c>
      <c r="C195" s="11" t="s">
        <v>1031</v>
      </c>
      <c r="D195" s="32"/>
      <c r="E195" s="11" t="s">
        <v>4</v>
      </c>
      <c r="F195" s="11">
        <v>1</v>
      </c>
      <c r="G195" s="11">
        <v>0.75</v>
      </c>
      <c r="H195" s="11">
        <f>A90</f>
        <v>84</v>
      </c>
      <c r="I195" s="11">
        <f>A170</f>
        <v>164</v>
      </c>
      <c r="J195" s="11"/>
      <c r="K195" s="11"/>
      <c r="L195" s="11"/>
      <c r="M195" s="11" t="s">
        <v>750</v>
      </c>
      <c r="N195" s="11" t="s">
        <v>769</v>
      </c>
      <c r="O195" s="11" t="s">
        <v>867</v>
      </c>
      <c r="P195" s="11" t="s">
        <v>888</v>
      </c>
      <c r="Q195" s="11" t="s">
        <v>868</v>
      </c>
      <c r="R195" s="11" t="str">
        <f t="shared" si="97"/>
        <v/>
      </c>
      <c r="S195" s="11" t="str">
        <f t="shared" si="98"/>
        <v/>
      </c>
      <c r="T195" s="11" t="str">
        <f t="shared" si="99"/>
        <v/>
      </c>
      <c r="U195" s="11" t="str">
        <f t="shared" si="100"/>
        <v/>
      </c>
      <c r="V195" s="11" t="str">
        <f t="shared" si="101"/>
        <v/>
      </c>
      <c r="W195" s="11" t="str">
        <f t="shared" si="102"/>
        <v/>
      </c>
      <c r="X195" s="11" t="s">
        <v>860</v>
      </c>
      <c r="Y195" s="11" t="str">
        <f>HLOOKUP($X195,Tables_Cat!$B$6:$P$7,2,FALSE)</f>
        <v>Information</v>
      </c>
      <c r="Z195" s="24" t="s">
        <v>869</v>
      </c>
      <c r="AA195" s="11" t="s">
        <v>701</v>
      </c>
      <c r="AB195" s="13" t="str">
        <f t="shared" si="85"/>
        <v/>
      </c>
      <c r="AC195" s="11" t="s">
        <v>702</v>
      </c>
      <c r="AD195" s="11" t="str">
        <f t="shared" si="79"/>
        <v/>
      </c>
      <c r="AE195" s="11" t="s">
        <v>870</v>
      </c>
      <c r="AF195" s="11" t="str">
        <f t="shared" si="80"/>
        <v/>
      </c>
      <c r="AG195" s="11" t="str">
        <f t="shared" si="81"/>
        <v/>
      </c>
      <c r="AH195" s="11" t="str">
        <f t="shared" si="86"/>
        <v/>
      </c>
      <c r="AI195" s="11" t="str">
        <f t="shared" si="82"/>
        <v/>
      </c>
      <c r="AJ195" s="11" t="str">
        <f t="shared" si="83"/>
        <v/>
      </c>
      <c r="AK195" s="11" t="str">
        <f t="shared" si="84"/>
        <v/>
      </c>
      <c r="AN195" s="11" t="s">
        <v>871</v>
      </c>
      <c r="AO195" s="11" t="s">
        <v>872</v>
      </c>
    </row>
    <row r="196" spans="1:41" ht="47.25">
      <c r="A196" s="11">
        <v>190</v>
      </c>
      <c r="B196" s="11" t="s">
        <v>865</v>
      </c>
      <c r="C196" s="11" t="s">
        <v>1032</v>
      </c>
      <c r="D196" s="32"/>
      <c r="E196" s="11" t="s">
        <v>4</v>
      </c>
      <c r="F196" s="11">
        <v>0.5</v>
      </c>
      <c r="G196" s="11">
        <v>0</v>
      </c>
      <c r="H196" s="11">
        <f>A170</f>
        <v>164</v>
      </c>
      <c r="I196" s="11"/>
      <c r="J196" s="11"/>
      <c r="K196" s="11"/>
      <c r="L196" s="11"/>
      <c r="M196" s="11" t="s">
        <v>694</v>
      </c>
      <c r="N196" s="11" t="s">
        <v>769</v>
      </c>
      <c r="O196" s="11" t="s">
        <v>92</v>
      </c>
      <c r="P196" s="11" t="s">
        <v>931</v>
      </c>
      <c r="Q196" s="11" t="s">
        <v>947</v>
      </c>
      <c r="R196" s="11" t="str">
        <f t="shared" si="97"/>
        <v/>
      </c>
      <c r="S196" s="11" t="str">
        <f t="shared" si="98"/>
        <v/>
      </c>
      <c r="T196" s="11" t="str">
        <f t="shared" si="99"/>
        <v/>
      </c>
      <c r="U196" s="11" t="str">
        <f t="shared" si="100"/>
        <v/>
      </c>
      <c r="V196" s="11" t="str">
        <f t="shared" si="101"/>
        <v/>
      </c>
      <c r="W196" s="11" t="str">
        <f t="shared" si="102"/>
        <v/>
      </c>
      <c r="X196" s="11" t="s">
        <v>914</v>
      </c>
      <c r="Y196" s="11" t="str">
        <f>HLOOKUP($X196,Tables_Cat!$B$6:$P$7,2,FALSE)</f>
        <v>Information</v>
      </c>
      <c r="Z196" s="24" t="s">
        <v>700</v>
      </c>
      <c r="AA196" s="11" t="s">
        <v>751</v>
      </c>
      <c r="AB196" s="13" t="str">
        <f t="shared" si="85"/>
        <v/>
      </c>
      <c r="AC196" s="11" t="s">
        <v>702</v>
      </c>
      <c r="AD196" s="11" t="str">
        <f t="shared" si="79"/>
        <v/>
      </c>
      <c r="AE196" s="11" t="s">
        <v>948</v>
      </c>
      <c r="AF196" s="11" t="str">
        <f t="shared" si="80"/>
        <v/>
      </c>
      <c r="AG196" s="11" t="str">
        <f t="shared" si="81"/>
        <v/>
      </c>
      <c r="AH196" s="11" t="str">
        <f t="shared" si="86"/>
        <v/>
      </c>
      <c r="AI196" s="11" t="str">
        <f t="shared" si="82"/>
        <v/>
      </c>
      <c r="AJ196" s="11" t="str">
        <f t="shared" si="83"/>
        <v/>
      </c>
      <c r="AK196" s="11" t="str">
        <f t="shared" si="84"/>
        <v/>
      </c>
      <c r="AN196" s="11" t="s">
        <v>871</v>
      </c>
      <c r="AO196" s="11" t="s">
        <v>918</v>
      </c>
    </row>
    <row r="197" spans="1:41" ht="31.5">
      <c r="A197" s="11">
        <v>191</v>
      </c>
      <c r="B197" s="11" t="s">
        <v>865</v>
      </c>
      <c r="C197" s="11" t="s">
        <v>1033</v>
      </c>
      <c r="D197" s="32"/>
      <c r="E197" s="11" t="s">
        <v>4</v>
      </c>
      <c r="F197" s="11">
        <v>0.5</v>
      </c>
      <c r="G197" s="11">
        <v>0.25</v>
      </c>
      <c r="H197" s="11">
        <f>A170</f>
        <v>164</v>
      </c>
      <c r="I197" s="11">
        <f>A339</f>
        <v>333</v>
      </c>
      <c r="J197" s="11">
        <f>A357</f>
        <v>351</v>
      </c>
      <c r="K197" s="11"/>
      <c r="L197" s="11"/>
      <c r="M197" s="11" t="s">
        <v>694</v>
      </c>
      <c r="N197" s="11" t="s">
        <v>769</v>
      </c>
      <c r="O197" s="11" t="s">
        <v>931</v>
      </c>
      <c r="P197" s="11" t="s">
        <v>931</v>
      </c>
      <c r="Q197" s="11" t="s">
        <v>868</v>
      </c>
      <c r="R197" s="11" t="str">
        <f t="shared" si="97"/>
        <v/>
      </c>
      <c r="S197" s="11" t="str">
        <f t="shared" si="98"/>
        <v/>
      </c>
      <c r="T197" s="11" t="str">
        <f t="shared" si="99"/>
        <v/>
      </c>
      <c r="U197" s="11" t="str">
        <f t="shared" si="100"/>
        <v/>
      </c>
      <c r="V197" s="11" t="str">
        <f t="shared" si="101"/>
        <v/>
      </c>
      <c r="W197" s="11" t="str">
        <f t="shared" si="102"/>
        <v/>
      </c>
      <c r="X197" s="11" t="s">
        <v>914</v>
      </c>
      <c r="Y197" s="11" t="str">
        <f>HLOOKUP($X197,Tables_Cat!$B$6:$P$7,2,FALSE)</f>
        <v>Information</v>
      </c>
      <c r="Z197" s="24" t="s">
        <v>869</v>
      </c>
      <c r="AA197" s="11" t="s">
        <v>950</v>
      </c>
      <c r="AB197" s="13" t="str">
        <f t="shared" si="85"/>
        <v/>
      </c>
      <c r="AC197" s="11" t="s">
        <v>702</v>
      </c>
      <c r="AD197" s="11" t="str">
        <f t="shared" si="79"/>
        <v/>
      </c>
      <c r="AE197" s="11" t="s">
        <v>870</v>
      </c>
      <c r="AF197" s="11" t="str">
        <f t="shared" si="80"/>
        <v/>
      </c>
      <c r="AG197" s="11" t="str">
        <f t="shared" si="81"/>
        <v/>
      </c>
      <c r="AH197" s="11" t="str">
        <f t="shared" si="86"/>
        <v/>
      </c>
      <c r="AI197" s="11" t="str">
        <f t="shared" si="82"/>
        <v/>
      </c>
      <c r="AJ197" s="11" t="str">
        <f t="shared" si="83"/>
        <v/>
      </c>
      <c r="AK197" s="11" t="str">
        <f t="shared" si="84"/>
        <v/>
      </c>
      <c r="AN197" s="11" t="s">
        <v>871</v>
      </c>
      <c r="AO197" s="11" t="s">
        <v>918</v>
      </c>
    </row>
    <row r="198" spans="1:41" ht="31.5">
      <c r="A198" s="11">
        <v>192</v>
      </c>
      <c r="B198" s="11" t="s">
        <v>865</v>
      </c>
      <c r="C198" s="11" t="s">
        <v>1034</v>
      </c>
      <c r="D198" s="32"/>
      <c r="E198" s="11" t="str">
        <f t="shared" ref="E198:E330" si="136">IF(D198="","Select ...")</f>
        <v>Select ...</v>
      </c>
      <c r="F198" s="11">
        <v>0.5</v>
      </c>
      <c r="G198" s="11">
        <v>0.25</v>
      </c>
      <c r="H198" s="11">
        <f>A170</f>
        <v>164</v>
      </c>
      <c r="I198" s="11">
        <f>A339</f>
        <v>333</v>
      </c>
      <c r="J198" s="11">
        <f>A357</f>
        <v>351</v>
      </c>
      <c r="K198" s="11"/>
      <c r="L198" s="11"/>
      <c r="M198" s="11" t="s">
        <v>694</v>
      </c>
      <c r="N198" s="11" t="s">
        <v>781</v>
      </c>
      <c r="O198" s="11" t="s">
        <v>931</v>
      </c>
      <c r="P198" s="11" t="s">
        <v>931</v>
      </c>
      <c r="Q198" s="11" t="s">
        <v>868</v>
      </c>
      <c r="R198" s="11" t="str">
        <f t="shared" si="97"/>
        <v/>
      </c>
      <c r="S198" s="11" t="str">
        <f t="shared" si="98"/>
        <v/>
      </c>
      <c r="T198" s="11" t="str">
        <f t="shared" si="99"/>
        <v/>
      </c>
      <c r="U198" s="11" t="str">
        <f t="shared" si="100"/>
        <v/>
      </c>
      <c r="V198" s="11" t="str">
        <f t="shared" si="101"/>
        <v/>
      </c>
      <c r="W198" s="11" t="str">
        <f t="shared" si="102"/>
        <v/>
      </c>
      <c r="X198" s="11" t="s">
        <v>914</v>
      </c>
      <c r="Y198" s="11" t="str">
        <f>HLOOKUP($X198,Tables_Cat!$B$6:$P$7,2,FALSE)</f>
        <v>Information</v>
      </c>
      <c r="Z198" s="24" t="s">
        <v>869</v>
      </c>
      <c r="AA198" s="11" t="s">
        <v>701</v>
      </c>
      <c r="AB198" s="13" t="str">
        <f t="shared" si="85"/>
        <v/>
      </c>
      <c r="AC198" s="11" t="s">
        <v>702</v>
      </c>
      <c r="AD198" s="11" t="str">
        <f t="shared" si="79"/>
        <v/>
      </c>
      <c r="AE198" s="11" t="s">
        <v>870</v>
      </c>
      <c r="AF198" s="11" t="str">
        <f t="shared" si="80"/>
        <v/>
      </c>
      <c r="AG198" s="11" t="str">
        <f t="shared" si="81"/>
        <v/>
      </c>
      <c r="AH198" s="11" t="str">
        <f t="shared" si="86"/>
        <v/>
      </c>
      <c r="AI198" s="11" t="str">
        <f t="shared" si="82"/>
        <v/>
      </c>
      <c r="AJ198" s="11" t="str">
        <f t="shared" si="83"/>
        <v/>
      </c>
      <c r="AK198" s="11" t="str">
        <f t="shared" si="84"/>
        <v/>
      </c>
      <c r="AN198" s="11" t="s">
        <v>871</v>
      </c>
      <c r="AO198" s="11" t="s">
        <v>918</v>
      </c>
    </row>
    <row r="199" spans="1:41" ht="47.25">
      <c r="A199" s="11">
        <v>193</v>
      </c>
      <c r="B199" s="11" t="s">
        <v>865</v>
      </c>
      <c r="C199" s="11" t="s">
        <v>1035</v>
      </c>
      <c r="D199" s="32"/>
      <c r="E199" s="11" t="str">
        <f t="shared" ref="E199" si="137">IF(D199="","Select ...")</f>
        <v>Select ...</v>
      </c>
      <c r="F199" s="11">
        <v>0.5</v>
      </c>
      <c r="G199" s="11">
        <v>0.25</v>
      </c>
      <c r="H199" s="11">
        <f>A171</f>
        <v>165</v>
      </c>
      <c r="I199" s="11">
        <f>A340</f>
        <v>334</v>
      </c>
      <c r="J199" s="11">
        <f>A358</f>
        <v>352</v>
      </c>
      <c r="K199" s="11"/>
      <c r="L199" s="11"/>
      <c r="M199" s="11" t="s">
        <v>694</v>
      </c>
      <c r="N199" s="11" t="s">
        <v>769</v>
      </c>
      <c r="O199" s="11" t="s">
        <v>931</v>
      </c>
      <c r="P199" s="11" t="s">
        <v>931</v>
      </c>
      <c r="Q199" s="11" t="s">
        <v>792</v>
      </c>
      <c r="R199" s="11" t="str">
        <f t="shared" ref="R199:R262" si="138">IF(OR(H199="INIT",H199&gt;0),IF(AND($E199="Yes",VLOOKUP(H199,$A$6:$E$461,5,FALSE)="Yes"),VLOOKUP(H199,$A$6:$W$461,23,FALSE)+VLOOKUP(H199,$A$6:$F$461,6,FALSE),""),"")</f>
        <v/>
      </c>
      <c r="S199" s="11" t="str">
        <f t="shared" ref="S199:S262" si="139">IF(OR(I199="INIT",I199&gt;0),IF(AND($E199="Yes",VLOOKUP(I199,$A$6:$E$461,5,FALSE)="Yes"),VLOOKUP(I199,$A$6:$W$461,23,FALSE)+VLOOKUP(I199,$A$6:$F$461,6,FALSE),""),"")</f>
        <v/>
      </c>
      <c r="T199" s="11" t="str">
        <f t="shared" ref="T199:T262" si="140">IF(OR(J199="INIT",J199&gt;0),IF(AND($E199="Yes",VLOOKUP(J199,$A$6:$E$461,5,FALSE)="Yes"),VLOOKUP(J199,$A$6:$W$461,23,FALSE)+VLOOKUP(J199,$A$6:$F$461,6,FALSE),""),"")</f>
        <v/>
      </c>
      <c r="U199" s="11" t="str">
        <f t="shared" ref="U199:U262" si="141">IF(OR(K199="INIT",K199&gt;0),IF(AND($E199="Yes",VLOOKUP(K199,$A$6:$E$461,5,FALSE)="Yes"),VLOOKUP(K199,$A$6:$W$461,23,FALSE)+VLOOKUP(K199,$A$6:$F$461,6,FALSE),""),"")</f>
        <v/>
      </c>
      <c r="V199" s="11" t="str">
        <f t="shared" ref="V199:V262" si="142">IF(OR(L199="INIT",L199&gt;0),IF(AND($E199="Yes",VLOOKUP(L199,$A$6:$E$461,5,FALSE)="Yes"),VLOOKUP(L199,$A$6:$W$461,23,FALSE)+VLOOKUP(L199,$A$6:$F$461,6,FALSE),""),"")</f>
        <v/>
      </c>
      <c r="W199" s="11" t="str">
        <f t="shared" ref="W199" si="143">IF($E199="Yes",MAX(R199:V199),"")</f>
        <v/>
      </c>
      <c r="X199" s="11" t="s">
        <v>801</v>
      </c>
      <c r="Y199" s="11" t="str">
        <f>HLOOKUP($X199,Tables_Cat!$B$6:$P$7,2,FALSE)</f>
        <v>Material</v>
      </c>
      <c r="Z199" s="24" t="s">
        <v>700</v>
      </c>
      <c r="AA199" s="11" t="s">
        <v>728</v>
      </c>
      <c r="AB199" s="13" t="str">
        <f t="shared" si="85"/>
        <v/>
      </c>
      <c r="AC199" s="11" t="s">
        <v>912</v>
      </c>
      <c r="AD199" s="11" t="str">
        <f t="shared" si="79"/>
        <v/>
      </c>
      <c r="AE199" s="11" t="s">
        <v>794</v>
      </c>
      <c r="AF199" s="11" t="str">
        <f t="shared" si="80"/>
        <v/>
      </c>
      <c r="AG199" s="11" t="str">
        <f t="shared" si="81"/>
        <v/>
      </c>
      <c r="AH199" s="11" t="str">
        <f t="shared" si="86"/>
        <v/>
      </c>
      <c r="AI199" s="11" t="str">
        <f t="shared" si="82"/>
        <v/>
      </c>
      <c r="AJ199" s="11" t="str">
        <f t="shared" si="83"/>
        <v/>
      </c>
      <c r="AK199" s="11" t="str">
        <f t="shared" si="84"/>
        <v/>
      </c>
      <c r="AN199" s="11" t="s">
        <v>871</v>
      </c>
      <c r="AO199" s="11" t="s">
        <v>918</v>
      </c>
    </row>
    <row r="200" spans="1:41" ht="47.25">
      <c r="A200" s="11">
        <v>194</v>
      </c>
      <c r="B200" s="11" t="s">
        <v>865</v>
      </c>
      <c r="C200" s="11" t="s">
        <v>1036</v>
      </c>
      <c r="D200" s="32"/>
      <c r="E200" s="11" t="str">
        <f t="shared" ref="E200" si="144">IF(D200="","Select ...")</f>
        <v>Select ...</v>
      </c>
      <c r="F200" s="11">
        <v>0.5</v>
      </c>
      <c r="G200" s="11">
        <v>0.25</v>
      </c>
      <c r="H200" s="11">
        <f>A193</f>
        <v>187</v>
      </c>
      <c r="I200" s="11">
        <f>A341</f>
        <v>335</v>
      </c>
      <c r="J200" s="11">
        <f>A359</f>
        <v>353</v>
      </c>
      <c r="K200" s="11"/>
      <c r="L200" s="11"/>
      <c r="M200" s="11" t="s">
        <v>694</v>
      </c>
      <c r="N200" s="11" t="s">
        <v>769</v>
      </c>
      <c r="O200" s="11" t="s">
        <v>931</v>
      </c>
      <c r="P200" s="11" t="s">
        <v>931</v>
      </c>
      <c r="Q200" s="11" t="s">
        <v>792</v>
      </c>
      <c r="R200" s="11" t="str">
        <f t="shared" si="138"/>
        <v/>
      </c>
      <c r="S200" s="11" t="str">
        <f t="shared" si="139"/>
        <v/>
      </c>
      <c r="T200" s="11" t="str">
        <f t="shared" si="140"/>
        <v/>
      </c>
      <c r="U200" s="11" t="str">
        <f t="shared" si="141"/>
        <v/>
      </c>
      <c r="V200" s="11" t="str">
        <f t="shared" si="142"/>
        <v/>
      </c>
      <c r="W200" s="11" t="str">
        <f t="shared" ref="W200" si="145">IF($E200="Yes",MAX(R200:V200),"")</f>
        <v/>
      </c>
      <c r="X200" s="11" t="s">
        <v>801</v>
      </c>
      <c r="Y200" s="11" t="str">
        <f>HLOOKUP($X200,Tables_Cat!$B$6:$P$7,2,FALSE)</f>
        <v>Material</v>
      </c>
      <c r="Z200" s="24" t="s">
        <v>700</v>
      </c>
      <c r="AA200" s="11" t="s">
        <v>728</v>
      </c>
      <c r="AB200" s="13" t="str">
        <f t="shared" si="85"/>
        <v/>
      </c>
      <c r="AC200" s="11" t="s">
        <v>912</v>
      </c>
      <c r="AD200" s="11" t="str">
        <f t="shared" si="79"/>
        <v/>
      </c>
      <c r="AE200" s="11" t="s">
        <v>794</v>
      </c>
      <c r="AF200" s="11" t="str">
        <f t="shared" si="80"/>
        <v/>
      </c>
      <c r="AG200" s="11" t="str">
        <f t="shared" si="81"/>
        <v/>
      </c>
      <c r="AH200" s="11" t="str">
        <f t="shared" si="86"/>
        <v/>
      </c>
      <c r="AI200" s="11" t="str">
        <f t="shared" si="82"/>
        <v/>
      </c>
      <c r="AJ200" s="11" t="str">
        <f t="shared" si="83"/>
        <v/>
      </c>
      <c r="AK200" s="11" t="str">
        <f t="shared" si="84"/>
        <v/>
      </c>
      <c r="AN200" s="11" t="s">
        <v>871</v>
      </c>
      <c r="AO200" s="11" t="s">
        <v>918</v>
      </c>
    </row>
    <row r="201" spans="1:41" ht="31.5">
      <c r="A201" s="11">
        <v>195</v>
      </c>
      <c r="B201" s="11" t="s">
        <v>865</v>
      </c>
      <c r="C201" s="11" t="s">
        <v>1037</v>
      </c>
      <c r="D201" s="32"/>
      <c r="E201" s="11" t="str">
        <f t="shared" si="136"/>
        <v>Select ...</v>
      </c>
      <c r="F201" s="11">
        <v>0.5</v>
      </c>
      <c r="G201" s="11">
        <v>0.5</v>
      </c>
      <c r="H201" s="11">
        <f>A197</f>
        <v>191</v>
      </c>
      <c r="I201" s="11">
        <f>A198</f>
        <v>192</v>
      </c>
      <c r="J201" s="11"/>
      <c r="K201" s="11"/>
      <c r="L201" s="11"/>
      <c r="M201" s="11" t="s">
        <v>694</v>
      </c>
      <c r="N201" s="11" t="s">
        <v>769</v>
      </c>
      <c r="O201" s="11" t="s">
        <v>888</v>
      </c>
      <c r="P201" s="11" t="s">
        <v>92</v>
      </c>
      <c r="Q201" s="11" t="s">
        <v>770</v>
      </c>
      <c r="R201" s="11" t="str">
        <f t="shared" si="138"/>
        <v/>
      </c>
      <c r="S201" s="11" t="str">
        <f t="shared" si="139"/>
        <v/>
      </c>
      <c r="T201" s="11" t="str">
        <f t="shared" si="140"/>
        <v/>
      </c>
      <c r="U201" s="11" t="str">
        <f t="shared" si="141"/>
        <v/>
      </c>
      <c r="V201" s="11" t="str">
        <f t="shared" si="142"/>
        <v/>
      </c>
      <c r="W201" s="11" t="str">
        <f t="shared" si="102"/>
        <v/>
      </c>
      <c r="X201" s="11" t="s">
        <v>92</v>
      </c>
      <c r="Y201" s="11" t="str">
        <f>HLOOKUP($X201,Tables_Cat!$B$6:$P$7,2,FALSE)</f>
        <v>Material</v>
      </c>
      <c r="Z201" s="24" t="s">
        <v>700</v>
      </c>
      <c r="AA201" s="11" t="s">
        <v>728</v>
      </c>
      <c r="AB201" s="13" t="str">
        <f t="shared" si="85"/>
        <v/>
      </c>
      <c r="AC201" s="11" t="s">
        <v>912</v>
      </c>
      <c r="AD201" s="11" t="str">
        <f t="shared" si="79"/>
        <v/>
      </c>
      <c r="AE201" s="11" t="s">
        <v>772</v>
      </c>
      <c r="AF201" s="11" t="str">
        <f t="shared" si="80"/>
        <v/>
      </c>
      <c r="AG201" s="11" t="str">
        <f t="shared" si="81"/>
        <v/>
      </c>
      <c r="AH201" s="11" t="str">
        <f t="shared" si="86"/>
        <v/>
      </c>
      <c r="AI201" s="11" t="str">
        <f t="shared" si="82"/>
        <v/>
      </c>
      <c r="AJ201" s="11" t="str">
        <f t="shared" si="83"/>
        <v/>
      </c>
      <c r="AK201" s="11" t="str">
        <f t="shared" si="84"/>
        <v/>
      </c>
      <c r="AN201" s="11" t="s">
        <v>871</v>
      </c>
      <c r="AO201" s="11" t="s">
        <v>918</v>
      </c>
    </row>
    <row r="202" spans="1:41" ht="31.5">
      <c r="A202" s="11">
        <v>196</v>
      </c>
      <c r="B202" s="11" t="s">
        <v>865</v>
      </c>
      <c r="C202" s="11" t="s">
        <v>1038</v>
      </c>
      <c r="D202" s="32"/>
      <c r="E202" s="11" t="str">
        <f t="shared" si="136"/>
        <v>Select ...</v>
      </c>
      <c r="F202" s="11">
        <v>0.5</v>
      </c>
      <c r="G202" s="11">
        <v>0.25</v>
      </c>
      <c r="H202" s="11">
        <f>A197</f>
        <v>191</v>
      </c>
      <c r="I202" s="11">
        <f>A198</f>
        <v>192</v>
      </c>
      <c r="J202" s="11"/>
      <c r="K202" s="11"/>
      <c r="L202" s="11"/>
      <c r="M202" s="11" t="s">
        <v>694</v>
      </c>
      <c r="N202" s="11" t="s">
        <v>769</v>
      </c>
      <c r="O202" s="11" t="s">
        <v>888</v>
      </c>
      <c r="P202" s="11" t="s">
        <v>92</v>
      </c>
      <c r="Q202" s="11" t="s">
        <v>770</v>
      </c>
      <c r="R202" s="11" t="str">
        <f t="shared" si="138"/>
        <v/>
      </c>
      <c r="S202" s="11" t="str">
        <f t="shared" si="139"/>
        <v/>
      </c>
      <c r="T202" s="11" t="str">
        <f t="shared" si="140"/>
        <v/>
      </c>
      <c r="U202" s="11" t="str">
        <f t="shared" si="141"/>
        <v/>
      </c>
      <c r="V202" s="11" t="str">
        <f t="shared" si="142"/>
        <v/>
      </c>
      <c r="W202" s="11" t="str">
        <f t="shared" si="102"/>
        <v/>
      </c>
      <c r="X202" s="11" t="s">
        <v>92</v>
      </c>
      <c r="Y202" s="11" t="str">
        <f>HLOOKUP($X202,Tables_Cat!$B$6:$P$7,2,FALSE)</f>
        <v>Material</v>
      </c>
      <c r="Z202" s="24" t="s">
        <v>700</v>
      </c>
      <c r="AA202" s="11" t="s">
        <v>728</v>
      </c>
      <c r="AB202" s="13" t="str">
        <f t="shared" si="85"/>
        <v/>
      </c>
      <c r="AC202" s="11" t="s">
        <v>912</v>
      </c>
      <c r="AD202" s="11" t="str">
        <f t="shared" si="79"/>
        <v/>
      </c>
      <c r="AE202" s="11" t="s">
        <v>772</v>
      </c>
      <c r="AF202" s="11" t="str">
        <f t="shared" si="80"/>
        <v/>
      </c>
      <c r="AG202" s="11" t="str">
        <f t="shared" si="81"/>
        <v/>
      </c>
      <c r="AH202" s="11" t="str">
        <f t="shared" si="86"/>
        <v/>
      </c>
      <c r="AI202" s="11" t="str">
        <f t="shared" si="82"/>
        <v/>
      </c>
      <c r="AJ202" s="11" t="str">
        <f t="shared" si="83"/>
        <v/>
      </c>
      <c r="AK202" s="11" t="str">
        <f t="shared" si="84"/>
        <v/>
      </c>
      <c r="AN202" s="11" t="s">
        <v>871</v>
      </c>
      <c r="AO202" s="11" t="s">
        <v>918</v>
      </c>
    </row>
    <row r="203" spans="1:41" ht="31.5">
      <c r="A203" s="11">
        <v>197</v>
      </c>
      <c r="B203" s="11" t="s">
        <v>865</v>
      </c>
      <c r="C203" s="11" t="s">
        <v>1039</v>
      </c>
      <c r="D203" s="32"/>
      <c r="E203" s="11" t="str">
        <f t="shared" si="136"/>
        <v>Select ...</v>
      </c>
      <c r="F203" s="11">
        <v>0.5</v>
      </c>
      <c r="G203" s="11">
        <v>0.25</v>
      </c>
      <c r="H203" s="11">
        <f>A197</f>
        <v>191</v>
      </c>
      <c r="I203" s="11">
        <f>A198</f>
        <v>192</v>
      </c>
      <c r="J203" s="11"/>
      <c r="K203" s="11"/>
      <c r="L203" s="11"/>
      <c r="M203" s="11" t="s">
        <v>694</v>
      </c>
      <c r="N203" s="11" t="s">
        <v>769</v>
      </c>
      <c r="O203" s="11" t="s">
        <v>888</v>
      </c>
      <c r="P203" s="11" t="s">
        <v>92</v>
      </c>
      <c r="Q203" s="11" t="s">
        <v>770</v>
      </c>
      <c r="R203" s="11" t="str">
        <f t="shared" si="138"/>
        <v/>
      </c>
      <c r="S203" s="11" t="str">
        <f t="shared" si="139"/>
        <v/>
      </c>
      <c r="T203" s="11" t="str">
        <f t="shared" si="140"/>
        <v/>
      </c>
      <c r="U203" s="11" t="str">
        <f t="shared" si="141"/>
        <v/>
      </c>
      <c r="V203" s="11" t="str">
        <f t="shared" si="142"/>
        <v/>
      </c>
      <c r="W203" s="11" t="str">
        <f t="shared" si="102"/>
        <v/>
      </c>
      <c r="X203" s="11" t="s">
        <v>92</v>
      </c>
      <c r="Y203" s="11" t="str">
        <f>HLOOKUP($X203,Tables_Cat!$B$6:$P$7,2,FALSE)</f>
        <v>Material</v>
      </c>
      <c r="Z203" s="24" t="s">
        <v>700</v>
      </c>
      <c r="AA203" s="11" t="s">
        <v>728</v>
      </c>
      <c r="AB203" s="13" t="str">
        <f t="shared" si="85"/>
        <v/>
      </c>
      <c r="AC203" s="11" t="s">
        <v>912</v>
      </c>
      <c r="AD203" s="11" t="str">
        <f t="shared" si="79"/>
        <v/>
      </c>
      <c r="AE203" s="11" t="s">
        <v>772</v>
      </c>
      <c r="AF203" s="11" t="str">
        <f t="shared" si="80"/>
        <v/>
      </c>
      <c r="AG203" s="11" t="str">
        <f t="shared" si="81"/>
        <v/>
      </c>
      <c r="AH203" s="11" t="str">
        <f t="shared" si="86"/>
        <v/>
      </c>
      <c r="AI203" s="11" t="str">
        <f t="shared" si="82"/>
        <v/>
      </c>
      <c r="AJ203" s="11" t="str">
        <f t="shared" si="83"/>
        <v/>
      </c>
      <c r="AK203" s="11" t="str">
        <f t="shared" si="84"/>
        <v/>
      </c>
      <c r="AN203" s="11" t="s">
        <v>871</v>
      </c>
      <c r="AO203" s="11" t="s">
        <v>918</v>
      </c>
    </row>
    <row r="204" spans="1:41" ht="31.5">
      <c r="A204" s="11">
        <v>198</v>
      </c>
      <c r="B204" s="11" t="s">
        <v>865</v>
      </c>
      <c r="C204" s="11" t="s">
        <v>1040</v>
      </c>
      <c r="D204" s="32"/>
      <c r="E204" s="11" t="str">
        <f>IF(D204="","Select ...")</f>
        <v>Select ...</v>
      </c>
      <c r="F204" s="11">
        <v>1</v>
      </c>
      <c r="G204" s="11">
        <v>1</v>
      </c>
      <c r="H204" s="11">
        <f>A90</f>
        <v>84</v>
      </c>
      <c r="I204" s="11"/>
      <c r="J204" s="11"/>
      <c r="K204" s="11"/>
      <c r="L204" s="11"/>
      <c r="M204" s="11" t="s">
        <v>694</v>
      </c>
      <c r="N204" s="11" t="s">
        <v>763</v>
      </c>
      <c r="O204" s="11" t="s">
        <v>464</v>
      </c>
      <c r="P204" s="11" t="s">
        <v>464</v>
      </c>
      <c r="Q204" s="11" t="s">
        <v>758</v>
      </c>
      <c r="R204" s="11" t="str">
        <f t="shared" si="138"/>
        <v/>
      </c>
      <c r="S204" s="11" t="str">
        <f t="shared" si="139"/>
        <v/>
      </c>
      <c r="T204" s="11" t="str">
        <f t="shared" si="140"/>
        <v/>
      </c>
      <c r="U204" s="11" t="str">
        <f t="shared" si="141"/>
        <v/>
      </c>
      <c r="V204" s="11" t="str">
        <f t="shared" si="142"/>
        <v/>
      </c>
      <c r="W204" s="11" t="str">
        <f t="shared" si="102"/>
        <v/>
      </c>
      <c r="X204" s="11" t="s">
        <v>741</v>
      </c>
      <c r="Y204" s="11" t="str">
        <f>HLOOKUP($X204,Tables_Cat!$B$6:$P$7,2,FALSE)</f>
        <v>Material</v>
      </c>
      <c r="Z204" s="24" t="s">
        <v>793</v>
      </c>
      <c r="AA204" s="11" t="s">
        <v>765</v>
      </c>
      <c r="AB204" s="13" t="str">
        <f t="shared" si="85"/>
        <v/>
      </c>
      <c r="AC204" s="11" t="s">
        <v>702</v>
      </c>
      <c r="AD204" s="11" t="str">
        <f t="shared" si="79"/>
        <v/>
      </c>
      <c r="AE204" s="11" t="s">
        <v>760</v>
      </c>
      <c r="AF204" s="11" t="str">
        <f t="shared" si="80"/>
        <v/>
      </c>
      <c r="AG204" s="11" t="str">
        <f t="shared" si="81"/>
        <v/>
      </c>
      <c r="AH204" s="11" t="str">
        <f t="shared" si="86"/>
        <v/>
      </c>
      <c r="AI204" s="11" t="str">
        <f t="shared" si="82"/>
        <v/>
      </c>
      <c r="AJ204" s="11" t="str">
        <f t="shared" si="83"/>
        <v/>
      </c>
      <c r="AK204" s="11" t="str">
        <f t="shared" si="84"/>
        <v/>
      </c>
      <c r="AN204" s="11" t="s">
        <v>871</v>
      </c>
      <c r="AO204" s="11" t="s">
        <v>766</v>
      </c>
    </row>
    <row r="205" spans="1:41" ht="47.25">
      <c r="A205" s="11">
        <v>199</v>
      </c>
      <c r="B205" s="11" t="s">
        <v>1041</v>
      </c>
      <c r="C205" s="11" t="s">
        <v>1042</v>
      </c>
      <c r="D205" s="32"/>
      <c r="E205" s="11" t="s">
        <v>4</v>
      </c>
      <c r="F205" s="11">
        <v>0.5</v>
      </c>
      <c r="G205" s="11">
        <v>0.25</v>
      </c>
      <c r="H205" s="11">
        <f>A129</f>
        <v>123</v>
      </c>
      <c r="I205" s="11">
        <f>A132</f>
        <v>126</v>
      </c>
      <c r="J205" s="11"/>
      <c r="K205" s="11"/>
      <c r="L205" s="11"/>
      <c r="M205" s="11" t="s">
        <v>750</v>
      </c>
      <c r="N205" s="11" t="s">
        <v>707</v>
      </c>
      <c r="O205" s="11" t="s">
        <v>464</v>
      </c>
      <c r="P205" s="11" t="s">
        <v>1020</v>
      </c>
      <c r="Q205" s="11" t="s">
        <v>995</v>
      </c>
      <c r="R205" s="11" t="str">
        <f t="shared" si="138"/>
        <v/>
      </c>
      <c r="S205" s="11" t="str">
        <f t="shared" si="139"/>
        <v/>
      </c>
      <c r="T205" s="11" t="str">
        <f t="shared" si="140"/>
        <v/>
      </c>
      <c r="U205" s="11" t="str">
        <f t="shared" si="141"/>
        <v/>
      </c>
      <c r="V205" s="11" t="str">
        <f t="shared" si="142"/>
        <v/>
      </c>
      <c r="W205" s="11" t="str">
        <f t="shared" ref="W205" si="146">IF($E205="Yes",MAX(R205:V205),"")</f>
        <v/>
      </c>
      <c r="X205" s="11" t="s">
        <v>741</v>
      </c>
      <c r="Y205" s="11" t="str">
        <f>HLOOKUP($X205,Tables_Cat!$B$6:$P$7,2,FALSE)</f>
        <v>Material</v>
      </c>
      <c r="Z205" s="24" t="s">
        <v>700</v>
      </c>
      <c r="AA205" s="11" t="s">
        <v>728</v>
      </c>
      <c r="AB205" s="13" t="str">
        <f t="shared" si="85"/>
        <v/>
      </c>
      <c r="AC205" s="11" t="s">
        <v>702</v>
      </c>
      <c r="AD205" s="11" t="str">
        <f t="shared" si="79"/>
        <v/>
      </c>
      <c r="AE205" s="11" t="s">
        <v>996</v>
      </c>
      <c r="AF205" s="11" t="str">
        <f t="shared" si="80"/>
        <v/>
      </c>
      <c r="AG205" s="11" t="str">
        <f t="shared" si="81"/>
        <v/>
      </c>
      <c r="AH205" s="11" t="str">
        <f t="shared" si="86"/>
        <v/>
      </c>
      <c r="AI205" s="11" t="str">
        <f t="shared" si="82"/>
        <v/>
      </c>
      <c r="AJ205" s="11" t="str">
        <f t="shared" si="83"/>
        <v/>
      </c>
      <c r="AK205" s="11" t="str">
        <f t="shared" si="84"/>
        <v/>
      </c>
      <c r="AN205" s="11" t="s">
        <v>778</v>
      </c>
      <c r="AO205" s="11" t="s">
        <v>1043</v>
      </c>
    </row>
    <row r="206" spans="1:41" ht="47.25">
      <c r="A206" s="11">
        <v>200</v>
      </c>
      <c r="B206" s="11" t="s">
        <v>1041</v>
      </c>
      <c r="C206" s="11" t="s">
        <v>1044</v>
      </c>
      <c r="D206" s="32"/>
      <c r="E206" s="11" t="s">
        <v>4</v>
      </c>
      <c r="F206" s="11">
        <v>0.5</v>
      </c>
      <c r="G206" s="11">
        <v>0.25</v>
      </c>
      <c r="H206" s="11">
        <f>A132</f>
        <v>126</v>
      </c>
      <c r="I206" s="11">
        <f>A133</f>
        <v>127</v>
      </c>
      <c r="J206" s="11"/>
      <c r="K206" s="11"/>
      <c r="L206" s="11"/>
      <c r="M206" s="11" t="s">
        <v>750</v>
      </c>
      <c r="N206" s="11" t="s">
        <v>707</v>
      </c>
      <c r="O206" s="11" t="s">
        <v>464</v>
      </c>
      <c r="P206" s="11" t="s">
        <v>1020</v>
      </c>
      <c r="Q206" s="11" t="s">
        <v>995</v>
      </c>
      <c r="R206" s="11" t="str">
        <f t="shared" si="138"/>
        <v/>
      </c>
      <c r="S206" s="11" t="str">
        <f t="shared" si="139"/>
        <v/>
      </c>
      <c r="T206" s="11" t="str">
        <f t="shared" si="140"/>
        <v/>
      </c>
      <c r="U206" s="11" t="str">
        <f t="shared" si="141"/>
        <v/>
      </c>
      <c r="V206" s="11" t="str">
        <f t="shared" si="142"/>
        <v/>
      </c>
      <c r="W206" s="11" t="str">
        <f t="shared" ref="W206" si="147">IF($E206="Yes",MAX(R206:V206),"")</f>
        <v/>
      </c>
      <c r="X206" s="11" t="s">
        <v>741</v>
      </c>
      <c r="Y206" s="11" t="str">
        <f>HLOOKUP($X206,Tables_Cat!$B$6:$P$7,2,FALSE)</f>
        <v>Material</v>
      </c>
      <c r="Z206" s="24" t="s">
        <v>700</v>
      </c>
      <c r="AA206" s="11" t="s">
        <v>728</v>
      </c>
      <c r="AB206" s="13" t="str">
        <f t="shared" si="85"/>
        <v/>
      </c>
      <c r="AC206" s="11" t="s">
        <v>702</v>
      </c>
      <c r="AD206" s="11" t="str">
        <f t="shared" si="79"/>
        <v/>
      </c>
      <c r="AE206" s="11" t="s">
        <v>996</v>
      </c>
      <c r="AF206" s="11" t="str">
        <f t="shared" si="80"/>
        <v/>
      </c>
      <c r="AG206" s="11" t="str">
        <f t="shared" si="81"/>
        <v/>
      </c>
      <c r="AH206" s="11" t="str">
        <f t="shared" si="86"/>
        <v/>
      </c>
      <c r="AI206" s="11" t="str">
        <f t="shared" si="82"/>
        <v/>
      </c>
      <c r="AJ206" s="11" t="str">
        <f t="shared" si="83"/>
        <v/>
      </c>
      <c r="AK206" s="11" t="str">
        <f t="shared" si="84"/>
        <v/>
      </c>
      <c r="AN206" s="11" t="s">
        <v>778</v>
      </c>
      <c r="AO206" s="11" t="s">
        <v>1043</v>
      </c>
    </row>
    <row r="207" spans="1:41" ht="63">
      <c r="A207" s="11">
        <v>201</v>
      </c>
      <c r="B207" s="11" t="s">
        <v>1041</v>
      </c>
      <c r="C207" s="11" t="s">
        <v>1045</v>
      </c>
      <c r="D207" s="32"/>
      <c r="E207" s="11" t="s">
        <v>4</v>
      </c>
      <c r="F207" s="11">
        <v>0.5</v>
      </c>
      <c r="G207" s="11">
        <v>0.25</v>
      </c>
      <c r="H207" s="11">
        <f>A133</f>
        <v>127</v>
      </c>
      <c r="I207" s="11">
        <f>A134</f>
        <v>128</v>
      </c>
      <c r="J207" s="11"/>
      <c r="K207" s="11"/>
      <c r="L207" s="11"/>
      <c r="M207" s="11" t="s">
        <v>750</v>
      </c>
      <c r="N207" s="11" t="s">
        <v>707</v>
      </c>
      <c r="O207" s="11" t="s">
        <v>464</v>
      </c>
      <c r="P207" s="11" t="s">
        <v>1020</v>
      </c>
      <c r="Q207" s="11" t="s">
        <v>995</v>
      </c>
      <c r="R207" s="11" t="str">
        <f t="shared" si="138"/>
        <v/>
      </c>
      <c r="S207" s="11" t="str">
        <f t="shared" si="139"/>
        <v/>
      </c>
      <c r="T207" s="11" t="str">
        <f t="shared" si="140"/>
        <v/>
      </c>
      <c r="U207" s="11" t="str">
        <f t="shared" si="141"/>
        <v/>
      </c>
      <c r="V207" s="11" t="str">
        <f t="shared" si="142"/>
        <v/>
      </c>
      <c r="W207" s="11" t="str">
        <f t="shared" ref="W207" si="148">IF($E207="Yes",MAX(R207:V207),"")</f>
        <v/>
      </c>
      <c r="X207" s="11" t="s">
        <v>741</v>
      </c>
      <c r="Y207" s="11" t="str">
        <f>HLOOKUP($X207,Tables_Cat!$B$6:$P$7,2,FALSE)</f>
        <v>Material</v>
      </c>
      <c r="Z207" s="24" t="s">
        <v>700</v>
      </c>
      <c r="AA207" s="11" t="s">
        <v>728</v>
      </c>
      <c r="AB207" s="13" t="str">
        <f t="shared" si="85"/>
        <v/>
      </c>
      <c r="AC207" s="11" t="s">
        <v>702</v>
      </c>
      <c r="AD207" s="11" t="str">
        <f t="shared" si="79"/>
        <v/>
      </c>
      <c r="AE207" s="11" t="s">
        <v>996</v>
      </c>
      <c r="AF207" s="11" t="str">
        <f t="shared" si="80"/>
        <v/>
      </c>
      <c r="AG207" s="11" t="str">
        <f t="shared" si="81"/>
        <v/>
      </c>
      <c r="AH207" s="11" t="str">
        <f t="shared" si="86"/>
        <v/>
      </c>
      <c r="AI207" s="11" t="str">
        <f t="shared" si="82"/>
        <v/>
      </c>
      <c r="AJ207" s="11" t="str">
        <f t="shared" si="83"/>
        <v/>
      </c>
      <c r="AK207" s="11" t="str">
        <f t="shared" si="84"/>
        <v/>
      </c>
      <c r="AN207" s="11" t="s">
        <v>778</v>
      </c>
      <c r="AO207" s="11" t="s">
        <v>1043</v>
      </c>
    </row>
    <row r="208" spans="1:41" ht="63">
      <c r="A208" s="11">
        <v>202</v>
      </c>
      <c r="B208" s="11" t="s">
        <v>1041</v>
      </c>
      <c r="C208" s="11" t="s">
        <v>1046</v>
      </c>
      <c r="D208" s="32"/>
      <c r="E208" s="11" t="s">
        <v>4</v>
      </c>
      <c r="F208" s="11">
        <v>0.5</v>
      </c>
      <c r="G208" s="11">
        <v>0.25</v>
      </c>
      <c r="H208" s="11">
        <f>A134</f>
        <v>128</v>
      </c>
      <c r="I208" s="11">
        <f>A135</f>
        <v>129</v>
      </c>
      <c r="J208" s="11"/>
      <c r="K208" s="11"/>
      <c r="L208" s="11"/>
      <c r="M208" s="11" t="s">
        <v>750</v>
      </c>
      <c r="N208" s="11" t="s">
        <v>707</v>
      </c>
      <c r="O208" s="11" t="s">
        <v>464</v>
      </c>
      <c r="P208" s="11" t="s">
        <v>1020</v>
      </c>
      <c r="Q208" s="11" t="s">
        <v>995</v>
      </c>
      <c r="R208" s="11" t="str">
        <f t="shared" si="138"/>
        <v/>
      </c>
      <c r="S208" s="11" t="str">
        <f t="shared" si="139"/>
        <v/>
      </c>
      <c r="T208" s="11" t="str">
        <f t="shared" si="140"/>
        <v/>
      </c>
      <c r="U208" s="11" t="str">
        <f t="shared" si="141"/>
        <v/>
      </c>
      <c r="V208" s="11" t="str">
        <f t="shared" si="142"/>
        <v/>
      </c>
      <c r="W208" s="11" t="str">
        <f t="shared" ref="W208" si="149">IF($E208="Yes",MAX(R208:V208),"")</f>
        <v/>
      </c>
      <c r="X208" s="11" t="s">
        <v>741</v>
      </c>
      <c r="Y208" s="11" t="str">
        <f>HLOOKUP($X208,Tables_Cat!$B$6:$P$7,2,FALSE)</f>
        <v>Material</v>
      </c>
      <c r="Z208" s="24" t="s">
        <v>700</v>
      </c>
      <c r="AA208" s="11" t="s">
        <v>728</v>
      </c>
      <c r="AB208" s="13" t="str">
        <f t="shared" si="85"/>
        <v/>
      </c>
      <c r="AC208" s="11" t="s">
        <v>702</v>
      </c>
      <c r="AD208" s="11" t="str">
        <f t="shared" si="79"/>
        <v/>
      </c>
      <c r="AE208" s="11" t="s">
        <v>996</v>
      </c>
      <c r="AF208" s="11" t="str">
        <f t="shared" si="80"/>
        <v/>
      </c>
      <c r="AG208" s="11" t="str">
        <f t="shared" si="81"/>
        <v/>
      </c>
      <c r="AH208" s="11" t="str">
        <f t="shared" si="86"/>
        <v/>
      </c>
      <c r="AI208" s="11" t="str">
        <f t="shared" si="82"/>
        <v/>
      </c>
      <c r="AJ208" s="11" t="str">
        <f t="shared" si="83"/>
        <v/>
      </c>
      <c r="AK208" s="11" t="str">
        <f t="shared" si="84"/>
        <v/>
      </c>
      <c r="AN208" s="11" t="s">
        <v>778</v>
      </c>
      <c r="AO208" s="11" t="s">
        <v>1043</v>
      </c>
    </row>
    <row r="209" spans="1:41" ht="31.5">
      <c r="A209" s="11">
        <v>203</v>
      </c>
      <c r="B209" s="11" t="s">
        <v>1041</v>
      </c>
      <c r="C209" s="11" t="s">
        <v>1047</v>
      </c>
      <c r="D209" s="32"/>
      <c r="E209" s="11" t="s">
        <v>4</v>
      </c>
      <c r="F209" s="11">
        <v>0.5</v>
      </c>
      <c r="G209" s="11">
        <v>0.25</v>
      </c>
      <c r="H209" s="11">
        <f>A132</f>
        <v>126</v>
      </c>
      <c r="I209" s="11">
        <f>A133</f>
        <v>127</v>
      </c>
      <c r="J209" s="11"/>
      <c r="K209" s="11"/>
      <c r="L209" s="11"/>
      <c r="M209" s="11" t="s">
        <v>750</v>
      </c>
      <c r="N209" s="11" t="s">
        <v>781</v>
      </c>
      <c r="O209" s="11" t="s">
        <v>931</v>
      </c>
      <c r="P209" s="11" t="s">
        <v>92</v>
      </c>
      <c r="Q209" s="11" t="s">
        <v>868</v>
      </c>
      <c r="R209" s="11" t="str">
        <f t="shared" si="138"/>
        <v/>
      </c>
      <c r="S209" s="11" t="str">
        <f t="shared" si="139"/>
        <v/>
      </c>
      <c r="T209" s="11" t="str">
        <f t="shared" si="140"/>
        <v/>
      </c>
      <c r="U209" s="11" t="str">
        <f t="shared" si="141"/>
        <v/>
      </c>
      <c r="V209" s="11" t="str">
        <f t="shared" si="142"/>
        <v/>
      </c>
      <c r="W209" s="11" t="str">
        <f t="shared" si="102"/>
        <v/>
      </c>
      <c r="X209" s="11" t="s">
        <v>914</v>
      </c>
      <c r="Y209" s="11" t="str">
        <f>HLOOKUP($X209,Tables_Cat!$B$6:$P$7,2,FALSE)</f>
        <v>Information</v>
      </c>
      <c r="Z209" s="24" t="s">
        <v>700</v>
      </c>
      <c r="AA209" s="11" t="s">
        <v>701</v>
      </c>
      <c r="AB209" s="13" t="str">
        <f t="shared" si="85"/>
        <v/>
      </c>
      <c r="AC209" s="11" t="s">
        <v>702</v>
      </c>
      <c r="AD209" s="11" t="str">
        <f t="shared" si="79"/>
        <v/>
      </c>
      <c r="AE209" s="11" t="s">
        <v>870</v>
      </c>
      <c r="AF209" s="11" t="str">
        <f t="shared" si="80"/>
        <v/>
      </c>
      <c r="AG209" s="11" t="str">
        <f t="shared" si="81"/>
        <v/>
      </c>
      <c r="AH209" s="11" t="str">
        <f t="shared" si="86"/>
        <v/>
      </c>
      <c r="AI209" s="11" t="str">
        <f t="shared" ref="AI209:AI292" si="150">IF(AND($E209="Yes",$Z209&lt;&gt;"Not applicable"),IF($Z209="Manual/ None",0,IF($Z209="Other",2,4)),"")</f>
        <v/>
      </c>
      <c r="AJ209" s="11" t="str">
        <f t="shared" si="83"/>
        <v/>
      </c>
      <c r="AK209" s="11" t="str">
        <f t="shared" si="84"/>
        <v/>
      </c>
      <c r="AN209" s="11" t="s">
        <v>778</v>
      </c>
      <c r="AO209" s="11" t="s">
        <v>918</v>
      </c>
    </row>
    <row r="210" spans="1:41" ht="31.5">
      <c r="A210" s="11">
        <v>204</v>
      </c>
      <c r="B210" s="11" t="s">
        <v>1041</v>
      </c>
      <c r="C210" s="11" t="s">
        <v>1048</v>
      </c>
      <c r="D210" s="32"/>
      <c r="E210" s="11" t="str">
        <f t="shared" si="136"/>
        <v>Select ...</v>
      </c>
      <c r="F210" s="11">
        <v>3</v>
      </c>
      <c r="G210" s="11">
        <v>3</v>
      </c>
      <c r="H210" s="11">
        <f>A170</f>
        <v>164</v>
      </c>
      <c r="I210" s="11"/>
      <c r="J210" s="11"/>
      <c r="K210" s="11"/>
      <c r="L210" s="11"/>
      <c r="M210" s="11" t="s">
        <v>694</v>
      </c>
      <c r="N210" s="11" t="s">
        <v>781</v>
      </c>
      <c r="O210" s="11" t="s">
        <v>696</v>
      </c>
      <c r="P210" s="11" t="s">
        <v>881</v>
      </c>
      <c r="Q210" s="11" t="s">
        <v>1049</v>
      </c>
      <c r="R210" s="11" t="str">
        <f t="shared" si="138"/>
        <v/>
      </c>
      <c r="S210" s="11" t="str">
        <f t="shared" si="139"/>
        <v/>
      </c>
      <c r="T210" s="11" t="str">
        <f t="shared" si="140"/>
        <v/>
      </c>
      <c r="U210" s="11" t="str">
        <f t="shared" si="141"/>
        <v/>
      </c>
      <c r="V210" s="11" t="str">
        <f t="shared" si="142"/>
        <v/>
      </c>
      <c r="W210" s="11" t="str">
        <f t="shared" si="102"/>
        <v/>
      </c>
      <c r="X210" s="11" t="s">
        <v>881</v>
      </c>
      <c r="Y210" s="11" t="str">
        <f>HLOOKUP($X210,Tables_Cat!$B$6:$P$7,2,FALSE)</f>
        <v>Material</v>
      </c>
      <c r="Z210" s="24" t="s">
        <v>700</v>
      </c>
      <c r="AA210" s="11" t="s">
        <v>728</v>
      </c>
      <c r="AB210" s="13" t="str">
        <f t="shared" si="85"/>
        <v/>
      </c>
      <c r="AC210" s="11" t="s">
        <v>702</v>
      </c>
      <c r="AD210" s="11" t="str">
        <f t="shared" si="79"/>
        <v/>
      </c>
      <c r="AE210" s="11" t="s">
        <v>1050</v>
      </c>
      <c r="AF210" s="11" t="str">
        <f t="shared" si="80"/>
        <v/>
      </c>
      <c r="AG210" s="11" t="str">
        <f t="shared" si="81"/>
        <v/>
      </c>
      <c r="AH210" s="11" t="str">
        <f t="shared" si="86"/>
        <v/>
      </c>
      <c r="AI210" s="11" t="str">
        <f t="shared" si="150"/>
        <v/>
      </c>
      <c r="AJ210" s="11" t="str">
        <f t="shared" si="83"/>
        <v/>
      </c>
      <c r="AK210" s="11" t="str">
        <f t="shared" si="84"/>
        <v/>
      </c>
      <c r="AN210" s="11" t="s">
        <v>778</v>
      </c>
      <c r="AO210" s="11" t="s">
        <v>993</v>
      </c>
    </row>
    <row r="211" spans="1:41" ht="47.25">
      <c r="A211" s="11">
        <v>205</v>
      </c>
      <c r="B211" s="11" t="s">
        <v>767</v>
      </c>
      <c r="C211" s="11" t="s">
        <v>1051</v>
      </c>
      <c r="D211" s="32"/>
      <c r="E211" s="11" t="s">
        <v>4</v>
      </c>
      <c r="F211" s="11">
        <v>1.5</v>
      </c>
      <c r="G211" s="11">
        <v>1</v>
      </c>
      <c r="H211" s="11">
        <f>A210</f>
        <v>204</v>
      </c>
      <c r="I211" s="11"/>
      <c r="J211" s="11"/>
      <c r="K211" s="11"/>
      <c r="L211" s="11"/>
      <c r="M211" s="11" t="s">
        <v>694</v>
      </c>
      <c r="N211" s="11" t="s">
        <v>769</v>
      </c>
      <c r="O211" s="11" t="s">
        <v>464</v>
      </c>
      <c r="P211" s="11" t="s">
        <v>764</v>
      </c>
      <c r="Q211" s="11" t="s">
        <v>770</v>
      </c>
      <c r="R211" s="11" t="str">
        <f t="shared" si="138"/>
        <v/>
      </c>
      <c r="S211" s="11" t="str">
        <f t="shared" si="139"/>
        <v/>
      </c>
      <c r="T211" s="11" t="str">
        <f t="shared" si="140"/>
        <v/>
      </c>
      <c r="U211" s="11" t="str">
        <f t="shared" si="141"/>
        <v/>
      </c>
      <c r="V211" s="11" t="str">
        <f t="shared" si="142"/>
        <v/>
      </c>
      <c r="W211" s="11" t="str">
        <f t="shared" si="102"/>
        <v/>
      </c>
      <c r="X211" s="11" t="s">
        <v>771</v>
      </c>
      <c r="Y211" s="11" t="str">
        <f>HLOOKUP($X211,Tables_Cat!$B$6:$P$7,2,FALSE)</f>
        <v>Material</v>
      </c>
      <c r="Z211" s="24" t="s">
        <v>709</v>
      </c>
      <c r="AA211" s="11" t="s">
        <v>765</v>
      </c>
      <c r="AB211" s="13" t="str">
        <f t="shared" si="85"/>
        <v/>
      </c>
      <c r="AC211" s="11" t="s">
        <v>702</v>
      </c>
      <c r="AD211" s="11" t="str">
        <f t="shared" si="79"/>
        <v/>
      </c>
      <c r="AE211" s="11" t="s">
        <v>772</v>
      </c>
      <c r="AF211" s="11" t="str">
        <f t="shared" si="80"/>
        <v/>
      </c>
      <c r="AG211" s="11" t="str">
        <f t="shared" si="81"/>
        <v/>
      </c>
      <c r="AH211" s="11" t="str">
        <f t="shared" si="86"/>
        <v/>
      </c>
      <c r="AI211" s="11" t="str">
        <f t="shared" si="150"/>
        <v/>
      </c>
      <c r="AJ211" s="11" t="str">
        <f t="shared" si="83"/>
        <v/>
      </c>
      <c r="AK211" s="11" t="str">
        <f t="shared" si="84"/>
        <v/>
      </c>
      <c r="AN211" s="11" t="s">
        <v>778</v>
      </c>
      <c r="AO211" s="11" t="s">
        <v>766</v>
      </c>
    </row>
    <row r="212" spans="1:41" ht="31.5">
      <c r="A212" s="11">
        <v>206</v>
      </c>
      <c r="B212" s="11" t="s">
        <v>1041</v>
      </c>
      <c r="C212" s="11" t="s">
        <v>1052</v>
      </c>
      <c r="D212" s="32"/>
      <c r="E212" s="11" t="s">
        <v>3</v>
      </c>
      <c r="F212" s="11">
        <v>5</v>
      </c>
      <c r="G212" s="11">
        <v>3.5</v>
      </c>
      <c r="H212" s="11">
        <f>A170</f>
        <v>164</v>
      </c>
      <c r="I212" s="11"/>
      <c r="J212" s="11"/>
      <c r="K212" s="11"/>
      <c r="L212" s="11"/>
      <c r="M212" s="11" t="s">
        <v>694</v>
      </c>
      <c r="N212" s="11" t="s">
        <v>781</v>
      </c>
      <c r="O212" s="11" t="s">
        <v>696</v>
      </c>
      <c r="P212" s="11" t="s">
        <v>881</v>
      </c>
      <c r="Q212" s="11" t="s">
        <v>1049</v>
      </c>
      <c r="R212" s="11">
        <f t="shared" si="138"/>
        <v>10.51</v>
      </c>
      <c r="S212" s="11" t="str">
        <f t="shared" si="139"/>
        <v/>
      </c>
      <c r="T212" s="11" t="str">
        <f t="shared" si="140"/>
        <v/>
      </c>
      <c r="U212" s="11" t="str">
        <f t="shared" si="141"/>
        <v/>
      </c>
      <c r="V212" s="11" t="str">
        <f t="shared" si="142"/>
        <v/>
      </c>
      <c r="W212" s="11">
        <f t="shared" si="102"/>
        <v>10.51</v>
      </c>
      <c r="X212" s="11" t="s">
        <v>881</v>
      </c>
      <c r="Y212" s="11" t="str">
        <f>HLOOKUP($X212,Tables_Cat!$B$6:$P$7,2,FALSE)</f>
        <v>Material</v>
      </c>
      <c r="Z212" s="24" t="s">
        <v>700</v>
      </c>
      <c r="AA212" s="11" t="s">
        <v>728</v>
      </c>
      <c r="AB212" s="13">
        <f t="shared" si="85"/>
        <v>0.3</v>
      </c>
      <c r="AC212" s="11" t="s">
        <v>702</v>
      </c>
      <c r="AD212" s="11">
        <f t="shared" si="79"/>
        <v>0.3</v>
      </c>
      <c r="AE212" s="11" t="s">
        <v>1050</v>
      </c>
      <c r="AF212" s="11">
        <f t="shared" si="80"/>
        <v>52.55</v>
      </c>
      <c r="AG212" s="11">
        <f t="shared" si="81"/>
        <v>552.30049999999994</v>
      </c>
      <c r="AH212" s="11">
        <f t="shared" si="86"/>
        <v>4</v>
      </c>
      <c r="AI212" s="11">
        <f t="shared" si="150"/>
        <v>0</v>
      </c>
      <c r="AJ212" s="11">
        <f t="shared" si="83"/>
        <v>36.784999999999997</v>
      </c>
      <c r="AK212" s="11">
        <f t="shared" si="84"/>
        <v>386.61034999999998</v>
      </c>
      <c r="AN212" s="11" t="s">
        <v>778</v>
      </c>
      <c r="AO212" s="11" t="s">
        <v>993</v>
      </c>
    </row>
    <row r="213" spans="1:41" ht="31.5">
      <c r="A213" s="11">
        <v>207</v>
      </c>
      <c r="B213" s="11" t="s">
        <v>1041</v>
      </c>
      <c r="C213" s="11" t="s">
        <v>1053</v>
      </c>
      <c r="D213" s="32"/>
      <c r="E213" s="11" t="str">
        <f t="shared" si="136"/>
        <v>Select ...</v>
      </c>
      <c r="F213" s="11">
        <v>1</v>
      </c>
      <c r="G213" s="11">
        <v>0.5</v>
      </c>
      <c r="H213" s="11">
        <f>A170</f>
        <v>164</v>
      </c>
      <c r="I213" s="11">
        <f>A210</f>
        <v>204</v>
      </c>
      <c r="J213" s="11">
        <f>A212</f>
        <v>206</v>
      </c>
      <c r="K213" s="11"/>
      <c r="L213" s="11"/>
      <c r="M213" s="11" t="s">
        <v>694</v>
      </c>
      <c r="N213" s="11" t="s">
        <v>781</v>
      </c>
      <c r="O213" s="11" t="s">
        <v>696</v>
      </c>
      <c r="P213" s="11" t="s">
        <v>881</v>
      </c>
      <c r="Q213" s="11" t="s">
        <v>1049</v>
      </c>
      <c r="R213" s="11" t="str">
        <f t="shared" si="138"/>
        <v/>
      </c>
      <c r="S213" s="11" t="str">
        <f t="shared" si="139"/>
        <v/>
      </c>
      <c r="T213" s="11" t="str">
        <f t="shared" si="140"/>
        <v/>
      </c>
      <c r="U213" s="11" t="str">
        <f t="shared" si="141"/>
        <v/>
      </c>
      <c r="V213" s="11" t="str">
        <f t="shared" si="142"/>
        <v/>
      </c>
      <c r="W213" s="11" t="str">
        <f t="shared" si="102"/>
        <v/>
      </c>
      <c r="X213" s="11" t="s">
        <v>881</v>
      </c>
      <c r="Y213" s="11" t="str">
        <f>HLOOKUP($X213,Tables_Cat!$B$6:$P$7,2,FALSE)</f>
        <v>Material</v>
      </c>
      <c r="Z213" s="24" t="s">
        <v>700</v>
      </c>
      <c r="AA213" s="11" t="s">
        <v>728</v>
      </c>
      <c r="AB213" s="13" t="str">
        <f t="shared" si="85"/>
        <v/>
      </c>
      <c r="AC213" s="11" t="s">
        <v>702</v>
      </c>
      <c r="AD213" s="11" t="str">
        <f t="shared" si="79"/>
        <v/>
      </c>
      <c r="AE213" s="11" t="s">
        <v>1050</v>
      </c>
      <c r="AF213" s="11" t="str">
        <f t="shared" si="80"/>
        <v/>
      </c>
      <c r="AG213" s="11" t="str">
        <f t="shared" si="81"/>
        <v/>
      </c>
      <c r="AH213" s="11" t="str">
        <f t="shared" si="86"/>
        <v/>
      </c>
      <c r="AI213" s="11" t="str">
        <f t="shared" si="150"/>
        <v/>
      </c>
      <c r="AJ213" s="11" t="str">
        <f t="shared" si="83"/>
        <v/>
      </c>
      <c r="AK213" s="11" t="str">
        <f t="shared" si="84"/>
        <v/>
      </c>
      <c r="AN213" s="11" t="s">
        <v>778</v>
      </c>
      <c r="AO213" s="11" t="s">
        <v>993</v>
      </c>
    </row>
    <row r="214" spans="1:41" ht="47.25">
      <c r="A214" s="11">
        <v>208</v>
      </c>
      <c r="B214" s="11" t="s">
        <v>1041</v>
      </c>
      <c r="C214" s="11" t="s">
        <v>1054</v>
      </c>
      <c r="D214" s="32"/>
      <c r="E214" s="11" t="str">
        <f t="shared" si="136"/>
        <v>Select ...</v>
      </c>
      <c r="F214" s="11">
        <v>2</v>
      </c>
      <c r="G214" s="11">
        <v>1.5</v>
      </c>
      <c r="H214" s="11">
        <f>A170</f>
        <v>164</v>
      </c>
      <c r="I214" s="11">
        <f>A210</f>
        <v>204</v>
      </c>
      <c r="J214" s="11">
        <f>A212</f>
        <v>206</v>
      </c>
      <c r="K214" s="11"/>
      <c r="L214" s="11"/>
      <c r="M214" s="11" t="s">
        <v>694</v>
      </c>
      <c r="N214" s="11" t="s">
        <v>781</v>
      </c>
      <c r="O214" s="11" t="s">
        <v>696</v>
      </c>
      <c r="P214" s="11" t="s">
        <v>881</v>
      </c>
      <c r="Q214" s="11" t="s">
        <v>1055</v>
      </c>
      <c r="R214" s="11" t="str">
        <f t="shared" si="138"/>
        <v/>
      </c>
      <c r="S214" s="11" t="str">
        <f t="shared" si="139"/>
        <v/>
      </c>
      <c r="T214" s="11" t="str">
        <f t="shared" si="140"/>
        <v/>
      </c>
      <c r="U214" s="11" t="str">
        <f t="shared" si="141"/>
        <v/>
      </c>
      <c r="V214" s="11" t="str">
        <f t="shared" si="142"/>
        <v/>
      </c>
      <c r="W214" s="11" t="str">
        <f t="shared" si="102"/>
        <v/>
      </c>
      <c r="X214" s="11" t="s">
        <v>881</v>
      </c>
      <c r="Y214" s="11" t="str">
        <f>HLOOKUP($X214,Tables_Cat!$B$6:$P$7,2,FALSE)</f>
        <v>Material</v>
      </c>
      <c r="Z214" s="24" t="s">
        <v>700</v>
      </c>
      <c r="AA214" s="11" t="s">
        <v>728</v>
      </c>
      <c r="AB214" s="13" t="str">
        <f t="shared" si="85"/>
        <v/>
      </c>
      <c r="AC214" s="11" t="s">
        <v>702</v>
      </c>
      <c r="AD214" s="11" t="str">
        <f t="shared" si="79"/>
        <v/>
      </c>
      <c r="AE214" s="11" t="s">
        <v>821</v>
      </c>
      <c r="AF214" s="11" t="str">
        <f t="shared" si="80"/>
        <v/>
      </c>
      <c r="AG214" s="11" t="str">
        <f t="shared" si="81"/>
        <v/>
      </c>
      <c r="AH214" s="11" t="str">
        <f t="shared" si="86"/>
        <v/>
      </c>
      <c r="AI214" s="11" t="str">
        <f t="shared" si="150"/>
        <v/>
      </c>
      <c r="AJ214" s="11" t="str">
        <f t="shared" si="83"/>
        <v/>
      </c>
      <c r="AK214" s="11" t="str">
        <f t="shared" si="84"/>
        <v/>
      </c>
      <c r="AN214" s="11" t="s">
        <v>778</v>
      </c>
      <c r="AO214" s="11" t="s">
        <v>993</v>
      </c>
    </row>
    <row r="215" spans="1:41" ht="47.25">
      <c r="A215" s="11">
        <v>209</v>
      </c>
      <c r="B215" s="11" t="s">
        <v>1041</v>
      </c>
      <c r="C215" s="11" t="s">
        <v>1056</v>
      </c>
      <c r="D215" s="32"/>
      <c r="E215" s="11" t="str">
        <f t="shared" si="136"/>
        <v>Select ...</v>
      </c>
      <c r="F215" s="11">
        <v>1.5</v>
      </c>
      <c r="G215" s="11">
        <v>1</v>
      </c>
      <c r="H215" s="11">
        <f>A170</f>
        <v>164</v>
      </c>
      <c r="I215" s="11"/>
      <c r="J215" s="11"/>
      <c r="K215" s="11"/>
      <c r="L215" s="11"/>
      <c r="M215" s="11" t="s">
        <v>694</v>
      </c>
      <c r="N215" s="11" t="s">
        <v>781</v>
      </c>
      <c r="O215" s="11" t="s">
        <v>696</v>
      </c>
      <c r="P215" s="11" t="s">
        <v>881</v>
      </c>
      <c r="Q215" s="11" t="s">
        <v>1055</v>
      </c>
      <c r="R215" s="11" t="str">
        <f t="shared" si="138"/>
        <v/>
      </c>
      <c r="S215" s="11" t="str">
        <f t="shared" si="139"/>
        <v/>
      </c>
      <c r="T215" s="11" t="str">
        <f t="shared" si="140"/>
        <v/>
      </c>
      <c r="U215" s="11" t="str">
        <f t="shared" si="141"/>
        <v/>
      </c>
      <c r="V215" s="11" t="str">
        <f t="shared" si="142"/>
        <v/>
      </c>
      <c r="W215" s="11" t="str">
        <f t="shared" si="102"/>
        <v/>
      </c>
      <c r="X215" s="11" t="s">
        <v>881</v>
      </c>
      <c r="Y215" s="11" t="str">
        <f>HLOOKUP($X215,Tables_Cat!$B$6:$P$7,2,FALSE)</f>
        <v>Material</v>
      </c>
      <c r="Z215" s="24" t="s">
        <v>700</v>
      </c>
      <c r="AA215" s="11" t="s">
        <v>728</v>
      </c>
      <c r="AB215" s="13" t="str">
        <f t="shared" si="85"/>
        <v/>
      </c>
      <c r="AC215" s="11" t="s">
        <v>702</v>
      </c>
      <c r="AD215" s="11" t="str">
        <f t="shared" si="79"/>
        <v/>
      </c>
      <c r="AE215" s="11" t="s">
        <v>821</v>
      </c>
      <c r="AF215" s="11" t="str">
        <f t="shared" si="80"/>
        <v/>
      </c>
      <c r="AG215" s="11" t="str">
        <f t="shared" si="81"/>
        <v/>
      </c>
      <c r="AH215" s="11" t="str">
        <f t="shared" si="86"/>
        <v/>
      </c>
      <c r="AI215" s="11" t="str">
        <f t="shared" si="150"/>
        <v/>
      </c>
      <c r="AJ215" s="11" t="str">
        <f t="shared" si="83"/>
        <v/>
      </c>
      <c r="AK215" s="11" t="str">
        <f t="shared" si="84"/>
        <v/>
      </c>
      <c r="AN215" s="11" t="s">
        <v>778</v>
      </c>
      <c r="AO215" s="11" t="s">
        <v>993</v>
      </c>
    </row>
    <row r="216" spans="1:41" ht="47.25">
      <c r="A216" s="11">
        <v>210</v>
      </c>
      <c r="B216" s="11" t="s">
        <v>767</v>
      </c>
      <c r="C216" s="11" t="s">
        <v>1057</v>
      </c>
      <c r="D216" s="32"/>
      <c r="E216" s="11" t="s">
        <v>4</v>
      </c>
      <c r="F216" s="11">
        <v>1.5</v>
      </c>
      <c r="G216" s="11">
        <v>1</v>
      </c>
      <c r="H216" s="11">
        <f>A215</f>
        <v>209</v>
      </c>
      <c r="I216" s="11"/>
      <c r="J216" s="11"/>
      <c r="K216" s="11"/>
      <c r="L216" s="11"/>
      <c r="M216" s="11" t="s">
        <v>694</v>
      </c>
      <c r="N216" s="11" t="s">
        <v>769</v>
      </c>
      <c r="O216" s="11" t="s">
        <v>464</v>
      </c>
      <c r="P216" s="11" t="s">
        <v>764</v>
      </c>
      <c r="Q216" s="11" t="s">
        <v>770</v>
      </c>
      <c r="R216" s="11" t="str">
        <f t="shared" si="138"/>
        <v/>
      </c>
      <c r="S216" s="11" t="str">
        <f t="shared" si="139"/>
        <v/>
      </c>
      <c r="T216" s="11" t="str">
        <f t="shared" si="140"/>
        <v/>
      </c>
      <c r="U216" s="11" t="str">
        <f t="shared" si="141"/>
        <v/>
      </c>
      <c r="V216" s="11" t="str">
        <f t="shared" si="142"/>
        <v/>
      </c>
      <c r="W216" s="11" t="str">
        <f t="shared" ref="W216" si="151">IF($E216="Yes",MAX(R216:V216),"")</f>
        <v/>
      </c>
      <c r="X216" s="11" t="s">
        <v>771</v>
      </c>
      <c r="Y216" s="11" t="str">
        <f>HLOOKUP($X216,Tables_Cat!$B$6:$P$7,2,FALSE)</f>
        <v>Material</v>
      </c>
      <c r="Z216" s="24" t="s">
        <v>709</v>
      </c>
      <c r="AA216" s="11" t="s">
        <v>765</v>
      </c>
      <c r="AB216" s="13" t="str">
        <f t="shared" si="85"/>
        <v/>
      </c>
      <c r="AC216" s="11" t="s">
        <v>702</v>
      </c>
      <c r="AD216" s="11" t="str">
        <f t="shared" si="79"/>
        <v/>
      </c>
      <c r="AE216" s="11" t="s">
        <v>772</v>
      </c>
      <c r="AF216" s="11" t="str">
        <f t="shared" si="80"/>
        <v/>
      </c>
      <c r="AG216" s="11" t="str">
        <f t="shared" si="81"/>
        <v/>
      </c>
      <c r="AH216" s="11" t="str">
        <f t="shared" si="86"/>
        <v/>
      </c>
      <c r="AI216" s="11" t="str">
        <f t="shared" si="150"/>
        <v/>
      </c>
      <c r="AJ216" s="11" t="str">
        <f t="shared" si="83"/>
        <v/>
      </c>
      <c r="AK216" s="11" t="str">
        <f t="shared" si="84"/>
        <v/>
      </c>
      <c r="AN216" s="11" t="s">
        <v>714</v>
      </c>
      <c r="AO216" s="11" t="s">
        <v>766</v>
      </c>
    </row>
    <row r="217" spans="1:41" ht="31.5">
      <c r="A217" s="11">
        <v>211</v>
      </c>
      <c r="B217" s="11" t="s">
        <v>1041</v>
      </c>
      <c r="C217" s="11" t="s">
        <v>1058</v>
      </c>
      <c r="D217" s="32"/>
      <c r="E217" s="11" t="str">
        <f t="shared" ref="E217" si="152">IF(D217="","Select ...")</f>
        <v>Select ...</v>
      </c>
      <c r="F217" s="11">
        <v>1.5</v>
      </c>
      <c r="G217" s="11">
        <v>1</v>
      </c>
      <c r="H217" s="11">
        <f>A171</f>
        <v>165</v>
      </c>
      <c r="I217" s="11"/>
      <c r="J217" s="11"/>
      <c r="K217" s="11"/>
      <c r="L217" s="11"/>
      <c r="M217" s="11" t="s">
        <v>694</v>
      </c>
      <c r="N217" s="11" t="s">
        <v>781</v>
      </c>
      <c r="O217" s="11" t="s">
        <v>853</v>
      </c>
      <c r="P217" s="11" t="s">
        <v>881</v>
      </c>
      <c r="Q217" s="11" t="s">
        <v>1059</v>
      </c>
      <c r="R217" s="11" t="str">
        <f t="shared" si="138"/>
        <v/>
      </c>
      <c r="S217" s="11" t="str">
        <f t="shared" si="139"/>
        <v/>
      </c>
      <c r="T217" s="11" t="str">
        <f t="shared" si="140"/>
        <v/>
      </c>
      <c r="U217" s="11" t="str">
        <f t="shared" si="141"/>
        <v/>
      </c>
      <c r="V217" s="11" t="str">
        <f t="shared" si="142"/>
        <v/>
      </c>
      <c r="W217" s="11" t="str">
        <f t="shared" ref="W217" si="153">IF($E217="Yes",MAX(R217:V217),"")</f>
        <v/>
      </c>
      <c r="X217" s="11" t="s">
        <v>741</v>
      </c>
      <c r="Y217" s="11" t="str">
        <f>HLOOKUP($X217,Tables_Cat!$B$6:$P$7,2,FALSE)</f>
        <v>Material</v>
      </c>
      <c r="Z217" s="24" t="s">
        <v>700</v>
      </c>
      <c r="AA217" s="11" t="s">
        <v>728</v>
      </c>
      <c r="AB217" s="13" t="str">
        <f t="shared" si="85"/>
        <v/>
      </c>
      <c r="AC217" s="11" t="s">
        <v>702</v>
      </c>
      <c r="AD217" s="11" t="str">
        <f t="shared" si="79"/>
        <v/>
      </c>
      <c r="AE217" s="11" t="s">
        <v>824</v>
      </c>
      <c r="AF217" s="11" t="str">
        <f t="shared" si="80"/>
        <v/>
      </c>
      <c r="AG217" s="11" t="str">
        <f t="shared" si="81"/>
        <v/>
      </c>
      <c r="AH217" s="11" t="str">
        <f t="shared" si="86"/>
        <v/>
      </c>
      <c r="AI217" s="11" t="str">
        <f t="shared" si="150"/>
        <v/>
      </c>
      <c r="AJ217" s="11" t="str">
        <f t="shared" si="83"/>
        <v/>
      </c>
      <c r="AK217" s="11" t="str">
        <f t="shared" si="84"/>
        <v/>
      </c>
      <c r="AN217" s="11" t="s">
        <v>714</v>
      </c>
      <c r="AO217" s="11" t="s">
        <v>1060</v>
      </c>
    </row>
    <row r="218" spans="1:41" ht="47.25">
      <c r="A218" s="11">
        <v>212</v>
      </c>
      <c r="B218" s="11" t="s">
        <v>1041</v>
      </c>
      <c r="C218" s="11" t="s">
        <v>1061</v>
      </c>
      <c r="D218" s="32"/>
      <c r="E218" s="11" t="s">
        <v>3</v>
      </c>
      <c r="F218" s="11">
        <v>2.5</v>
      </c>
      <c r="G218" s="11">
        <v>2</v>
      </c>
      <c r="H218" s="11">
        <f>A170</f>
        <v>164</v>
      </c>
      <c r="I218" s="11"/>
      <c r="J218" s="11"/>
      <c r="K218" s="11"/>
      <c r="L218" s="11"/>
      <c r="M218" s="11" t="s">
        <v>694</v>
      </c>
      <c r="N218" s="11" t="s">
        <v>781</v>
      </c>
      <c r="O218" s="11" t="s">
        <v>853</v>
      </c>
      <c r="P218" s="11" t="s">
        <v>881</v>
      </c>
      <c r="Q218" s="11" t="s">
        <v>1059</v>
      </c>
      <c r="R218" s="11">
        <f t="shared" si="138"/>
        <v>10.51</v>
      </c>
      <c r="S218" s="11" t="str">
        <f t="shared" si="139"/>
        <v/>
      </c>
      <c r="T218" s="11" t="str">
        <f t="shared" si="140"/>
        <v/>
      </c>
      <c r="U218" s="11" t="str">
        <f t="shared" si="141"/>
        <v/>
      </c>
      <c r="V218" s="11" t="str">
        <f t="shared" si="142"/>
        <v/>
      </c>
      <c r="W218" s="11">
        <f t="shared" ref="W218:W221" si="154">IF($E218="Yes",MAX(R218:V218),"")</f>
        <v>10.51</v>
      </c>
      <c r="X218" s="11" t="s">
        <v>741</v>
      </c>
      <c r="Y218" s="11" t="str">
        <f>HLOOKUP($X218,Tables_Cat!$B$6:$P$7,2,FALSE)</f>
        <v>Material</v>
      </c>
      <c r="Z218" s="24" t="s">
        <v>700</v>
      </c>
      <c r="AA218" s="11" t="s">
        <v>728</v>
      </c>
      <c r="AB218" s="13">
        <f t="shared" si="85"/>
        <v>0.2</v>
      </c>
      <c r="AC218" s="11" t="s">
        <v>702</v>
      </c>
      <c r="AD218" s="11">
        <f t="shared" ref="AD218:AD315" si="155">IF($E218="Yes",$AB218+$AI218,"")</f>
        <v>0.2</v>
      </c>
      <c r="AE218" s="11" t="s">
        <v>824</v>
      </c>
      <c r="AF218" s="11">
        <f t="shared" ref="AF218:AF315" si="156">IF($E218="Yes",$F218*$W218,"")</f>
        <v>26.274999999999999</v>
      </c>
      <c r="AG218" s="11">
        <f t="shared" ref="AG218:AG315" si="157">IF($E218="Yes",$F218*$W218^2,"")</f>
        <v>276.15024999999997</v>
      </c>
      <c r="AH218" s="11">
        <f t="shared" si="86"/>
        <v>4</v>
      </c>
      <c r="AI218" s="11">
        <f t="shared" si="150"/>
        <v>0</v>
      </c>
      <c r="AJ218" s="11">
        <f t="shared" ref="AJ218:AJ315" si="158">IF($E218="Yes",$G218*$W218,"")</f>
        <v>21.02</v>
      </c>
      <c r="AK218" s="11">
        <f t="shared" ref="AK218:AK315" si="159">IF($E218="Yes",$G218*$W218^2,"")</f>
        <v>220.92019999999999</v>
      </c>
      <c r="AN218" s="11" t="s">
        <v>714</v>
      </c>
      <c r="AO218" s="11" t="s">
        <v>1060</v>
      </c>
    </row>
    <row r="219" spans="1:41" ht="31.5">
      <c r="A219" s="11">
        <v>213</v>
      </c>
      <c r="B219" s="11" t="s">
        <v>1041</v>
      </c>
      <c r="C219" s="11" t="s">
        <v>1062</v>
      </c>
      <c r="D219" s="32"/>
      <c r="E219" s="11" t="str">
        <f t="shared" ref="E219:E221" si="160">IF(D219="","Select ...")</f>
        <v>Select ...</v>
      </c>
      <c r="F219" s="11">
        <v>1.5</v>
      </c>
      <c r="G219" s="11">
        <v>1</v>
      </c>
      <c r="H219" s="11">
        <f>A194</f>
        <v>188</v>
      </c>
      <c r="I219" s="11"/>
      <c r="J219" s="11"/>
      <c r="K219" s="11"/>
      <c r="L219" s="11"/>
      <c r="M219" s="11" t="s">
        <v>694</v>
      </c>
      <c r="N219" s="11" t="s">
        <v>720</v>
      </c>
      <c r="O219" s="11" t="s">
        <v>853</v>
      </c>
      <c r="P219" s="11" t="s">
        <v>881</v>
      </c>
      <c r="Q219" s="11" t="s">
        <v>1059</v>
      </c>
      <c r="R219" s="11" t="str">
        <f t="shared" si="138"/>
        <v/>
      </c>
      <c r="S219" s="11" t="str">
        <f t="shared" si="139"/>
        <v/>
      </c>
      <c r="T219" s="11" t="str">
        <f t="shared" si="140"/>
        <v/>
      </c>
      <c r="U219" s="11" t="str">
        <f t="shared" si="141"/>
        <v/>
      </c>
      <c r="V219" s="11" t="str">
        <f t="shared" si="142"/>
        <v/>
      </c>
      <c r="W219" s="11" t="str">
        <f t="shared" si="154"/>
        <v/>
      </c>
      <c r="X219" s="11" t="s">
        <v>741</v>
      </c>
      <c r="Y219" s="11" t="str">
        <f>HLOOKUP($X219,Tables_Cat!$B$6:$P$7,2,FALSE)</f>
        <v>Material</v>
      </c>
      <c r="Z219" s="24" t="s">
        <v>700</v>
      </c>
      <c r="AA219" s="11" t="s">
        <v>728</v>
      </c>
      <c r="AB219" s="13" t="str">
        <f t="shared" ref="AB219:AB316" si="161">IF($E219="Yes",($F219-$G219)/$F219,"")</f>
        <v/>
      </c>
      <c r="AC219" s="11" t="s">
        <v>702</v>
      </c>
      <c r="AD219" s="11" t="str">
        <f t="shared" si="155"/>
        <v/>
      </c>
      <c r="AE219" s="11" t="s">
        <v>824</v>
      </c>
      <c r="AF219" s="11" t="str">
        <f t="shared" si="156"/>
        <v/>
      </c>
      <c r="AG219" s="11" t="str">
        <f t="shared" si="157"/>
        <v/>
      </c>
      <c r="AH219" s="11" t="str">
        <f t="shared" ref="AH219:AH316" si="162">IF($E219="Yes",IF($AA219="Engineer",5,IF($AA219="Implement",4,IF($AA219="Manage",3,IF($AA219="Validate",2,1)))),"")</f>
        <v/>
      </c>
      <c r="AI219" s="11" t="str">
        <f t="shared" si="150"/>
        <v/>
      </c>
      <c r="AJ219" s="11" t="str">
        <f t="shared" si="158"/>
        <v/>
      </c>
      <c r="AK219" s="11" t="str">
        <f t="shared" si="159"/>
        <v/>
      </c>
      <c r="AN219" s="11" t="s">
        <v>714</v>
      </c>
      <c r="AO219" s="11" t="s">
        <v>1060</v>
      </c>
    </row>
    <row r="220" spans="1:41" ht="47.25">
      <c r="A220" s="11">
        <v>214</v>
      </c>
      <c r="B220" s="11" t="s">
        <v>1041</v>
      </c>
      <c r="C220" s="11" t="s">
        <v>1063</v>
      </c>
      <c r="D220" s="32"/>
      <c r="E220" s="11" t="str">
        <f t="shared" ref="E220" si="163">IF(D220="","Select ...")</f>
        <v>Select ...</v>
      </c>
      <c r="F220" s="11">
        <v>1.5</v>
      </c>
      <c r="G220" s="11">
        <v>1</v>
      </c>
      <c r="H220" s="11">
        <f>A195</f>
        <v>189</v>
      </c>
      <c r="I220" s="11"/>
      <c r="J220" s="11"/>
      <c r="K220" s="11"/>
      <c r="L220" s="11"/>
      <c r="M220" s="11" t="s">
        <v>694</v>
      </c>
      <c r="N220" s="11" t="s">
        <v>720</v>
      </c>
      <c r="O220" s="11" t="s">
        <v>853</v>
      </c>
      <c r="P220" s="11" t="s">
        <v>881</v>
      </c>
      <c r="Q220" s="11" t="s">
        <v>1059</v>
      </c>
      <c r="R220" s="11" t="str">
        <f t="shared" si="138"/>
        <v/>
      </c>
      <c r="S220" s="11" t="str">
        <f t="shared" si="139"/>
        <v/>
      </c>
      <c r="T220" s="11" t="str">
        <f t="shared" si="140"/>
        <v/>
      </c>
      <c r="U220" s="11" t="str">
        <f t="shared" si="141"/>
        <v/>
      </c>
      <c r="V220" s="11" t="str">
        <f t="shared" si="142"/>
        <v/>
      </c>
      <c r="W220" s="11" t="str">
        <f t="shared" ref="W220" si="164">IF($E220="Yes",MAX(R220:V220),"")</f>
        <v/>
      </c>
      <c r="X220" s="11" t="s">
        <v>741</v>
      </c>
      <c r="Y220" s="11" t="str">
        <f>HLOOKUP($X220,Tables_Cat!$B$6:$P$7,2,FALSE)</f>
        <v>Material</v>
      </c>
      <c r="Z220" s="24" t="s">
        <v>700</v>
      </c>
      <c r="AA220" s="11" t="s">
        <v>728</v>
      </c>
      <c r="AB220" s="13" t="str">
        <f t="shared" si="161"/>
        <v/>
      </c>
      <c r="AC220" s="11" t="s">
        <v>702</v>
      </c>
      <c r="AD220" s="11" t="str">
        <f t="shared" si="155"/>
        <v/>
      </c>
      <c r="AE220" s="11" t="s">
        <v>824</v>
      </c>
      <c r="AF220" s="11" t="str">
        <f t="shared" si="156"/>
        <v/>
      </c>
      <c r="AG220" s="11" t="str">
        <f t="shared" si="157"/>
        <v/>
      </c>
      <c r="AH220" s="11" t="str">
        <f t="shared" si="162"/>
        <v/>
      </c>
      <c r="AI220" s="11" t="str">
        <f t="shared" si="150"/>
        <v/>
      </c>
      <c r="AJ220" s="11" t="str">
        <f t="shared" si="158"/>
        <v/>
      </c>
      <c r="AK220" s="11" t="str">
        <f t="shared" si="159"/>
        <v/>
      </c>
      <c r="AN220" s="11" t="s">
        <v>714</v>
      </c>
      <c r="AO220" s="11" t="s">
        <v>1060</v>
      </c>
    </row>
    <row r="221" spans="1:41" ht="31.5">
      <c r="A221" s="11">
        <v>215</v>
      </c>
      <c r="B221" s="11" t="s">
        <v>1041</v>
      </c>
      <c r="C221" s="11" t="s">
        <v>1064</v>
      </c>
      <c r="D221" s="32"/>
      <c r="E221" s="11" t="str">
        <f t="shared" si="160"/>
        <v>Select ...</v>
      </c>
      <c r="F221" s="11">
        <v>1.5</v>
      </c>
      <c r="G221" s="11">
        <v>1</v>
      </c>
      <c r="H221" s="11">
        <f>A194</f>
        <v>188</v>
      </c>
      <c r="I221" s="11"/>
      <c r="J221" s="11"/>
      <c r="K221" s="11"/>
      <c r="L221" s="11"/>
      <c r="M221" s="11" t="s">
        <v>694</v>
      </c>
      <c r="N221" s="11" t="s">
        <v>937</v>
      </c>
      <c r="O221" s="11" t="s">
        <v>696</v>
      </c>
      <c r="P221" s="11" t="s">
        <v>881</v>
      </c>
      <c r="Q221" s="11" t="s">
        <v>1059</v>
      </c>
      <c r="R221" s="11" t="str">
        <f t="shared" si="138"/>
        <v/>
      </c>
      <c r="S221" s="11" t="str">
        <f t="shared" si="139"/>
        <v/>
      </c>
      <c r="T221" s="11" t="str">
        <f t="shared" si="140"/>
        <v/>
      </c>
      <c r="U221" s="11" t="str">
        <f t="shared" si="141"/>
        <v/>
      </c>
      <c r="V221" s="11" t="str">
        <f t="shared" si="142"/>
        <v/>
      </c>
      <c r="W221" s="11" t="str">
        <f t="shared" si="154"/>
        <v/>
      </c>
      <c r="X221" s="11" t="s">
        <v>741</v>
      </c>
      <c r="Y221" s="11" t="str">
        <f>HLOOKUP($X221,Tables_Cat!$B$6:$P$7,2,FALSE)</f>
        <v>Material</v>
      </c>
      <c r="Z221" s="24" t="s">
        <v>700</v>
      </c>
      <c r="AA221" s="11" t="s">
        <v>728</v>
      </c>
      <c r="AB221" s="13" t="str">
        <f t="shared" si="161"/>
        <v/>
      </c>
      <c r="AC221" s="11" t="s">
        <v>702</v>
      </c>
      <c r="AD221" s="11" t="str">
        <f t="shared" si="155"/>
        <v/>
      </c>
      <c r="AE221" s="11" t="s">
        <v>824</v>
      </c>
      <c r="AF221" s="11" t="str">
        <f t="shared" si="156"/>
        <v/>
      </c>
      <c r="AG221" s="11" t="str">
        <f t="shared" si="157"/>
        <v/>
      </c>
      <c r="AH221" s="11" t="str">
        <f t="shared" si="162"/>
        <v/>
      </c>
      <c r="AI221" s="11" t="str">
        <f t="shared" si="150"/>
        <v/>
      </c>
      <c r="AJ221" s="11" t="str">
        <f t="shared" si="158"/>
        <v/>
      </c>
      <c r="AK221" s="11" t="str">
        <f t="shared" si="159"/>
        <v/>
      </c>
      <c r="AN221" s="11" t="s">
        <v>714</v>
      </c>
      <c r="AO221" s="11" t="s">
        <v>1060</v>
      </c>
    </row>
    <row r="222" spans="1:41" ht="47.25">
      <c r="A222" s="11">
        <v>216</v>
      </c>
      <c r="B222" s="11" t="s">
        <v>1041</v>
      </c>
      <c r="C222" s="11" t="s">
        <v>1065</v>
      </c>
      <c r="D222" s="32"/>
      <c r="E222" s="11" t="str">
        <f t="shared" ref="E222" si="165">IF(D222="","Select ...")</f>
        <v>Select ...</v>
      </c>
      <c r="F222" s="11">
        <v>1.5</v>
      </c>
      <c r="G222" s="11">
        <v>1</v>
      </c>
      <c r="H222" s="11">
        <f>A195</f>
        <v>189</v>
      </c>
      <c r="I222" s="11"/>
      <c r="J222" s="11"/>
      <c r="K222" s="11"/>
      <c r="L222" s="11"/>
      <c r="M222" s="11" t="s">
        <v>694</v>
      </c>
      <c r="N222" s="11" t="s">
        <v>937</v>
      </c>
      <c r="O222" s="11" t="s">
        <v>696</v>
      </c>
      <c r="P222" s="11" t="s">
        <v>881</v>
      </c>
      <c r="Q222" s="11" t="s">
        <v>1059</v>
      </c>
      <c r="R222" s="11" t="str">
        <f t="shared" si="138"/>
        <v/>
      </c>
      <c r="S222" s="11" t="str">
        <f t="shared" si="139"/>
        <v/>
      </c>
      <c r="T222" s="11" t="str">
        <f t="shared" si="140"/>
        <v/>
      </c>
      <c r="U222" s="11" t="str">
        <f t="shared" si="141"/>
        <v/>
      </c>
      <c r="V222" s="11" t="str">
        <f t="shared" si="142"/>
        <v/>
      </c>
      <c r="W222" s="11" t="str">
        <f t="shared" ref="W222" si="166">IF($E222="Yes",MAX(R222:V222),"")</f>
        <v/>
      </c>
      <c r="X222" s="11" t="s">
        <v>741</v>
      </c>
      <c r="Y222" s="11" t="str">
        <f>HLOOKUP($X222,Tables_Cat!$B$6:$P$7,2,FALSE)</f>
        <v>Material</v>
      </c>
      <c r="Z222" s="24" t="s">
        <v>700</v>
      </c>
      <c r="AA222" s="11" t="s">
        <v>728</v>
      </c>
      <c r="AB222" s="13" t="str">
        <f t="shared" si="161"/>
        <v/>
      </c>
      <c r="AC222" s="11" t="s">
        <v>702</v>
      </c>
      <c r="AD222" s="11" t="str">
        <f t="shared" si="155"/>
        <v/>
      </c>
      <c r="AE222" s="11" t="s">
        <v>824</v>
      </c>
      <c r="AF222" s="11" t="str">
        <f t="shared" si="156"/>
        <v/>
      </c>
      <c r="AG222" s="11" t="str">
        <f t="shared" si="157"/>
        <v/>
      </c>
      <c r="AH222" s="11" t="str">
        <f t="shared" si="162"/>
        <v/>
      </c>
      <c r="AI222" s="11" t="str">
        <f t="shared" si="150"/>
        <v/>
      </c>
      <c r="AJ222" s="11" t="str">
        <f t="shared" si="158"/>
        <v/>
      </c>
      <c r="AK222" s="11" t="str">
        <f t="shared" si="159"/>
        <v/>
      </c>
      <c r="AN222" s="11" t="s">
        <v>714</v>
      </c>
      <c r="AO222" s="11" t="s">
        <v>1060</v>
      </c>
    </row>
    <row r="223" spans="1:41" ht="31.5">
      <c r="A223" s="11">
        <v>217</v>
      </c>
      <c r="B223" s="11" t="s">
        <v>1041</v>
      </c>
      <c r="C223" s="11" t="s">
        <v>1066</v>
      </c>
      <c r="D223" s="32"/>
      <c r="E223" s="11" t="str">
        <f t="shared" si="136"/>
        <v>Select ...</v>
      </c>
      <c r="F223" s="11">
        <v>0.5</v>
      </c>
      <c r="G223" s="11">
        <v>0.5</v>
      </c>
      <c r="H223" s="11" t="str">
        <f>A6</f>
        <v>INIT</v>
      </c>
      <c r="I223" s="11"/>
      <c r="J223" s="11"/>
      <c r="K223" s="11"/>
      <c r="L223" s="11"/>
      <c r="M223" s="11" t="s">
        <v>694</v>
      </c>
      <c r="N223" s="11" t="s">
        <v>763</v>
      </c>
      <c r="O223" s="11" t="s">
        <v>464</v>
      </c>
      <c r="P223" s="11" t="s">
        <v>764</v>
      </c>
      <c r="Q223" s="11" t="s">
        <v>758</v>
      </c>
      <c r="R223" s="11" t="str">
        <f t="shared" si="138"/>
        <v/>
      </c>
      <c r="S223" s="11" t="str">
        <f t="shared" si="139"/>
        <v/>
      </c>
      <c r="T223" s="11" t="str">
        <f t="shared" si="140"/>
        <v/>
      </c>
      <c r="U223" s="11" t="str">
        <f t="shared" si="141"/>
        <v/>
      </c>
      <c r="V223" s="11" t="str">
        <f t="shared" si="142"/>
        <v/>
      </c>
      <c r="W223" s="11" t="str">
        <f t="shared" si="102"/>
        <v/>
      </c>
      <c r="X223" s="11" t="s">
        <v>741</v>
      </c>
      <c r="Y223" s="11" t="str">
        <f>HLOOKUP($X223,Tables_Cat!$B$6:$P$7,2,FALSE)</f>
        <v>Material</v>
      </c>
      <c r="Z223" s="24" t="s">
        <v>709</v>
      </c>
      <c r="AA223" s="11" t="s">
        <v>728</v>
      </c>
      <c r="AB223" s="13" t="str">
        <f t="shared" si="161"/>
        <v/>
      </c>
      <c r="AC223" s="11" t="s">
        <v>702</v>
      </c>
      <c r="AD223" s="11" t="str">
        <f t="shared" si="155"/>
        <v/>
      </c>
      <c r="AE223" s="11" t="s">
        <v>760</v>
      </c>
      <c r="AF223" s="11" t="str">
        <f t="shared" si="156"/>
        <v/>
      </c>
      <c r="AG223" s="11" t="str">
        <f t="shared" si="157"/>
        <v/>
      </c>
      <c r="AH223" s="11" t="str">
        <f t="shared" si="162"/>
        <v/>
      </c>
      <c r="AI223" s="11" t="str">
        <f t="shared" si="150"/>
        <v/>
      </c>
      <c r="AJ223" s="11" t="str">
        <f t="shared" si="158"/>
        <v/>
      </c>
      <c r="AK223" s="11" t="str">
        <f t="shared" si="159"/>
        <v/>
      </c>
      <c r="AN223" s="11" t="s">
        <v>778</v>
      </c>
      <c r="AO223" s="11" t="s">
        <v>766</v>
      </c>
    </row>
    <row r="224" spans="1:41" ht="47.25">
      <c r="A224" s="11">
        <v>218</v>
      </c>
      <c r="B224" s="11" t="s">
        <v>767</v>
      </c>
      <c r="C224" s="11" t="s">
        <v>1067</v>
      </c>
      <c r="D224" s="32"/>
      <c r="E224" s="11" t="s">
        <v>4</v>
      </c>
      <c r="F224" s="11">
        <v>1.5</v>
      </c>
      <c r="G224" s="11">
        <v>1</v>
      </c>
      <c r="H224" s="11">
        <f>A223</f>
        <v>217</v>
      </c>
      <c r="I224" s="11"/>
      <c r="J224" s="11"/>
      <c r="K224" s="11"/>
      <c r="L224" s="11"/>
      <c r="M224" s="11" t="s">
        <v>694</v>
      </c>
      <c r="N224" s="11" t="s">
        <v>769</v>
      </c>
      <c r="O224" s="11" t="s">
        <v>464</v>
      </c>
      <c r="P224" s="11" t="s">
        <v>764</v>
      </c>
      <c r="Q224" s="11" t="s">
        <v>770</v>
      </c>
      <c r="R224" s="11" t="str">
        <f t="shared" si="138"/>
        <v/>
      </c>
      <c r="S224" s="11" t="str">
        <f t="shared" si="139"/>
        <v/>
      </c>
      <c r="T224" s="11" t="str">
        <f t="shared" si="140"/>
        <v/>
      </c>
      <c r="U224" s="11" t="str">
        <f t="shared" si="141"/>
        <v/>
      </c>
      <c r="V224" s="11" t="str">
        <f t="shared" si="142"/>
        <v/>
      </c>
      <c r="W224" s="11" t="str">
        <f t="shared" si="102"/>
        <v/>
      </c>
      <c r="X224" s="11" t="s">
        <v>771</v>
      </c>
      <c r="Y224" s="11" t="str">
        <f>HLOOKUP($X224,Tables_Cat!$B$6:$P$7,2,FALSE)</f>
        <v>Material</v>
      </c>
      <c r="Z224" s="24" t="s">
        <v>709</v>
      </c>
      <c r="AA224" s="11" t="s">
        <v>765</v>
      </c>
      <c r="AB224" s="13" t="str">
        <f t="shared" si="161"/>
        <v/>
      </c>
      <c r="AC224" s="11" t="s">
        <v>702</v>
      </c>
      <c r="AD224" s="11" t="str">
        <f t="shared" si="155"/>
        <v/>
      </c>
      <c r="AE224" s="11" t="s">
        <v>772</v>
      </c>
      <c r="AF224" s="11" t="str">
        <f t="shared" si="156"/>
        <v/>
      </c>
      <c r="AG224" s="11" t="str">
        <f t="shared" si="157"/>
        <v/>
      </c>
      <c r="AH224" s="11" t="str">
        <f t="shared" si="162"/>
        <v/>
      </c>
      <c r="AI224" s="11" t="str">
        <f t="shared" si="150"/>
        <v/>
      </c>
      <c r="AJ224" s="11" t="str">
        <f t="shared" si="158"/>
        <v/>
      </c>
      <c r="AK224" s="11" t="str">
        <f t="shared" si="159"/>
        <v/>
      </c>
      <c r="AN224" s="11" t="s">
        <v>778</v>
      </c>
      <c r="AO224" s="11" t="s">
        <v>766</v>
      </c>
    </row>
    <row r="225" spans="1:41" ht="47.25">
      <c r="A225" s="11">
        <v>219</v>
      </c>
      <c r="B225" s="11" t="s">
        <v>767</v>
      </c>
      <c r="C225" s="11" t="s">
        <v>1068</v>
      </c>
      <c r="D225" s="32"/>
      <c r="E225" s="11" t="s">
        <v>4</v>
      </c>
      <c r="F225" s="11">
        <v>1.5</v>
      </c>
      <c r="G225" s="11">
        <v>1</v>
      </c>
      <c r="H225" s="11">
        <f>A224</f>
        <v>218</v>
      </c>
      <c r="I225" s="11"/>
      <c r="J225" s="11"/>
      <c r="K225" s="11"/>
      <c r="L225" s="11"/>
      <c r="M225" s="11" t="s">
        <v>694</v>
      </c>
      <c r="N225" s="11" t="s">
        <v>769</v>
      </c>
      <c r="O225" s="11" t="s">
        <v>464</v>
      </c>
      <c r="P225" s="11" t="s">
        <v>764</v>
      </c>
      <c r="Q225" s="11" t="s">
        <v>770</v>
      </c>
      <c r="R225" s="11" t="str">
        <f t="shared" si="138"/>
        <v/>
      </c>
      <c r="S225" s="11" t="str">
        <f t="shared" si="139"/>
        <v/>
      </c>
      <c r="T225" s="11" t="str">
        <f t="shared" si="140"/>
        <v/>
      </c>
      <c r="U225" s="11" t="str">
        <f t="shared" si="141"/>
        <v/>
      </c>
      <c r="V225" s="11" t="str">
        <f t="shared" si="142"/>
        <v/>
      </c>
      <c r="W225" s="11" t="str">
        <f t="shared" ref="W225:W226" si="167">IF($E225="Yes",MAX(R225:V225),"")</f>
        <v/>
      </c>
      <c r="X225" s="11" t="s">
        <v>771</v>
      </c>
      <c r="Y225" s="11" t="str">
        <f>HLOOKUP($X225,Tables_Cat!$B$6:$P$7,2,FALSE)</f>
        <v>Material</v>
      </c>
      <c r="Z225" s="24" t="s">
        <v>709</v>
      </c>
      <c r="AA225" s="11" t="s">
        <v>765</v>
      </c>
      <c r="AB225" s="13" t="str">
        <f t="shared" si="161"/>
        <v/>
      </c>
      <c r="AC225" s="11" t="s">
        <v>702</v>
      </c>
      <c r="AD225" s="11" t="str">
        <f t="shared" si="155"/>
        <v/>
      </c>
      <c r="AE225" s="11" t="s">
        <v>772</v>
      </c>
      <c r="AF225" s="11" t="str">
        <f t="shared" si="156"/>
        <v/>
      </c>
      <c r="AG225" s="11" t="str">
        <f t="shared" si="157"/>
        <v/>
      </c>
      <c r="AH225" s="11" t="str">
        <f t="shared" si="162"/>
        <v/>
      </c>
      <c r="AI225" s="11" t="str">
        <f t="shared" si="150"/>
        <v/>
      </c>
      <c r="AJ225" s="11" t="str">
        <f t="shared" si="158"/>
        <v/>
      </c>
      <c r="AK225" s="11" t="str">
        <f t="shared" si="159"/>
        <v/>
      </c>
      <c r="AN225" s="11" t="s">
        <v>778</v>
      </c>
      <c r="AO225" s="11" t="s">
        <v>766</v>
      </c>
    </row>
    <row r="226" spans="1:41" ht="31.5">
      <c r="A226" s="11">
        <v>220</v>
      </c>
      <c r="B226" s="11" t="s">
        <v>718</v>
      </c>
      <c r="C226" s="11" t="s">
        <v>1069</v>
      </c>
      <c r="D226" s="32"/>
      <c r="E226" s="11" t="s">
        <v>4</v>
      </c>
      <c r="F226" s="11">
        <v>3</v>
      </c>
      <c r="G226" s="11">
        <v>2</v>
      </c>
      <c r="H226" s="11">
        <v>1</v>
      </c>
      <c r="I226" s="11"/>
      <c r="J226" s="11"/>
      <c r="K226" s="11"/>
      <c r="L226" s="11"/>
      <c r="M226" s="11" t="s">
        <v>694</v>
      </c>
      <c r="N226" s="11" t="s">
        <v>720</v>
      </c>
      <c r="O226" s="11" t="s">
        <v>1070</v>
      </c>
      <c r="P226" s="11" t="s">
        <v>1070</v>
      </c>
      <c r="Q226" s="11" t="s">
        <v>464</v>
      </c>
      <c r="R226" s="11" t="str">
        <f t="shared" si="138"/>
        <v/>
      </c>
      <c r="S226" s="11" t="str">
        <f t="shared" si="139"/>
        <v/>
      </c>
      <c r="T226" s="11" t="str">
        <f t="shared" si="140"/>
        <v/>
      </c>
      <c r="U226" s="11" t="str">
        <f t="shared" si="141"/>
        <v/>
      </c>
      <c r="V226" s="11" t="str">
        <f t="shared" si="142"/>
        <v/>
      </c>
      <c r="W226" s="11" t="str">
        <f t="shared" si="167"/>
        <v/>
      </c>
      <c r="X226" s="11" t="s">
        <v>911</v>
      </c>
      <c r="Y226" s="11" t="str">
        <f>HLOOKUP($X226,Tables_Cat!$B$6:$P$7,2,FALSE)</f>
        <v>Material</v>
      </c>
      <c r="Z226" s="24" t="s">
        <v>709</v>
      </c>
      <c r="AA226" s="11" t="s">
        <v>728</v>
      </c>
      <c r="AB226" s="13" t="str">
        <f t="shared" si="161"/>
        <v/>
      </c>
      <c r="AC226" s="11" t="s">
        <v>702</v>
      </c>
      <c r="AD226" s="11" t="str">
        <f t="shared" si="155"/>
        <v/>
      </c>
      <c r="AE226" s="11" t="s">
        <v>721</v>
      </c>
      <c r="AF226" s="11" t="str">
        <f t="shared" si="156"/>
        <v/>
      </c>
      <c r="AG226" s="11" t="str">
        <f t="shared" si="157"/>
        <v/>
      </c>
      <c r="AH226" s="11" t="str">
        <f t="shared" si="162"/>
        <v/>
      </c>
      <c r="AI226" s="11" t="str">
        <f t="shared" si="150"/>
        <v/>
      </c>
      <c r="AJ226" s="11" t="str">
        <f t="shared" si="158"/>
        <v/>
      </c>
      <c r="AK226" s="11" t="str">
        <f t="shared" si="159"/>
        <v/>
      </c>
      <c r="AN226" s="11" t="s">
        <v>722</v>
      </c>
      <c r="AO226" s="11" t="s">
        <v>723</v>
      </c>
    </row>
    <row r="227" spans="1:41" ht="31.5">
      <c r="A227" s="11">
        <v>221</v>
      </c>
      <c r="B227" s="11" t="s">
        <v>718</v>
      </c>
      <c r="C227" s="11" t="s">
        <v>1071</v>
      </c>
      <c r="D227" s="32"/>
      <c r="E227" s="11" t="s">
        <v>4</v>
      </c>
      <c r="F227" s="11">
        <v>3</v>
      </c>
      <c r="G227" s="11">
        <v>2</v>
      </c>
      <c r="H227" s="11">
        <v>1</v>
      </c>
      <c r="I227" s="11"/>
      <c r="J227" s="11"/>
      <c r="K227" s="11"/>
      <c r="L227" s="11"/>
      <c r="M227" s="11" t="s">
        <v>694</v>
      </c>
      <c r="N227" s="11" t="s">
        <v>720</v>
      </c>
      <c r="O227" s="11" t="s">
        <v>1070</v>
      </c>
      <c r="P227" s="11" t="s">
        <v>1070</v>
      </c>
      <c r="Q227" s="11" t="s">
        <v>464</v>
      </c>
      <c r="R227" s="11" t="str">
        <f t="shared" si="138"/>
        <v/>
      </c>
      <c r="S227" s="11" t="str">
        <f t="shared" si="139"/>
        <v/>
      </c>
      <c r="T227" s="11" t="str">
        <f t="shared" si="140"/>
        <v/>
      </c>
      <c r="U227" s="11" t="str">
        <f t="shared" si="141"/>
        <v/>
      </c>
      <c r="V227" s="11" t="str">
        <f t="shared" si="142"/>
        <v/>
      </c>
      <c r="W227" s="11" t="str">
        <f t="shared" ref="W227:W228" si="168">IF($E227="Yes",MAX(R227:V227),"")</f>
        <v/>
      </c>
      <c r="X227" s="11" t="s">
        <v>911</v>
      </c>
      <c r="Y227" s="11" t="str">
        <f>HLOOKUP($X227,Tables_Cat!$B$6:$P$7,2,FALSE)</f>
        <v>Material</v>
      </c>
      <c r="Z227" s="24" t="s">
        <v>709</v>
      </c>
      <c r="AA227" s="11" t="s">
        <v>728</v>
      </c>
      <c r="AB227" s="13" t="str">
        <f t="shared" si="161"/>
        <v/>
      </c>
      <c r="AC227" s="11" t="s">
        <v>702</v>
      </c>
      <c r="AD227" s="11" t="str">
        <f t="shared" si="155"/>
        <v/>
      </c>
      <c r="AE227" s="11" t="s">
        <v>721</v>
      </c>
      <c r="AF227" s="11" t="str">
        <f t="shared" si="156"/>
        <v/>
      </c>
      <c r="AG227" s="11" t="str">
        <f t="shared" si="157"/>
        <v/>
      </c>
      <c r="AH227" s="11" t="str">
        <f t="shared" si="162"/>
        <v/>
      </c>
      <c r="AI227" s="11" t="str">
        <f t="shared" si="150"/>
        <v/>
      </c>
      <c r="AJ227" s="11" t="str">
        <f t="shared" si="158"/>
        <v/>
      </c>
      <c r="AK227" s="11" t="str">
        <f t="shared" si="159"/>
        <v/>
      </c>
      <c r="AN227" s="11" t="s">
        <v>722</v>
      </c>
      <c r="AO227" s="11" t="s">
        <v>723</v>
      </c>
    </row>
    <row r="228" spans="1:41" ht="31.5">
      <c r="A228" s="11">
        <v>222</v>
      </c>
      <c r="B228" s="11" t="s">
        <v>718</v>
      </c>
      <c r="C228" s="11" t="s">
        <v>1072</v>
      </c>
      <c r="D228" s="32"/>
      <c r="E228" s="11" t="s">
        <v>4</v>
      </c>
      <c r="F228" s="11">
        <v>3</v>
      </c>
      <c r="G228" s="11">
        <v>2</v>
      </c>
      <c r="H228" s="11">
        <v>1</v>
      </c>
      <c r="I228" s="11"/>
      <c r="J228" s="11"/>
      <c r="K228" s="11"/>
      <c r="L228" s="11"/>
      <c r="M228" s="11" t="s">
        <v>694</v>
      </c>
      <c r="N228" s="11" t="s">
        <v>720</v>
      </c>
      <c r="O228" s="11" t="s">
        <v>1070</v>
      </c>
      <c r="P228" s="11" t="s">
        <v>1070</v>
      </c>
      <c r="Q228" s="11" t="s">
        <v>464</v>
      </c>
      <c r="R228" s="11" t="str">
        <f t="shared" si="138"/>
        <v/>
      </c>
      <c r="S228" s="11" t="str">
        <f t="shared" si="139"/>
        <v/>
      </c>
      <c r="T228" s="11" t="str">
        <f t="shared" si="140"/>
        <v/>
      </c>
      <c r="U228" s="11" t="str">
        <f t="shared" si="141"/>
        <v/>
      </c>
      <c r="V228" s="11" t="str">
        <f t="shared" si="142"/>
        <v/>
      </c>
      <c r="W228" s="11" t="str">
        <f t="shared" si="168"/>
        <v/>
      </c>
      <c r="X228" s="11" t="s">
        <v>911</v>
      </c>
      <c r="Y228" s="11" t="str">
        <f>HLOOKUP($X228,Tables_Cat!$B$6:$P$7,2,FALSE)</f>
        <v>Material</v>
      </c>
      <c r="Z228" s="24" t="s">
        <v>709</v>
      </c>
      <c r="AA228" s="11" t="s">
        <v>728</v>
      </c>
      <c r="AB228" s="13" t="str">
        <f t="shared" si="161"/>
        <v/>
      </c>
      <c r="AC228" s="11" t="s">
        <v>702</v>
      </c>
      <c r="AD228" s="11" t="str">
        <f t="shared" si="155"/>
        <v/>
      </c>
      <c r="AE228" s="11" t="s">
        <v>721</v>
      </c>
      <c r="AF228" s="11" t="str">
        <f t="shared" si="156"/>
        <v/>
      </c>
      <c r="AG228" s="11" t="str">
        <f t="shared" si="157"/>
        <v/>
      </c>
      <c r="AH228" s="11" t="str">
        <f t="shared" si="162"/>
        <v/>
      </c>
      <c r="AI228" s="11" t="str">
        <f t="shared" si="150"/>
        <v/>
      </c>
      <c r="AJ228" s="11" t="str">
        <f t="shared" si="158"/>
        <v/>
      </c>
      <c r="AK228" s="11" t="str">
        <f t="shared" si="159"/>
        <v/>
      </c>
      <c r="AN228" s="11" t="s">
        <v>722</v>
      </c>
      <c r="AO228" s="11" t="s">
        <v>723</v>
      </c>
    </row>
    <row r="229" spans="1:41" ht="47.25">
      <c r="A229" s="11">
        <v>223</v>
      </c>
      <c r="B229" s="11" t="s">
        <v>718</v>
      </c>
      <c r="C229" s="11" t="s">
        <v>1073</v>
      </c>
      <c r="D229" s="32"/>
      <c r="E229" s="11" t="s">
        <v>4</v>
      </c>
      <c r="F229" s="11">
        <v>3</v>
      </c>
      <c r="G229" s="11">
        <v>2</v>
      </c>
      <c r="H229" s="11">
        <v>1</v>
      </c>
      <c r="I229" s="11"/>
      <c r="J229" s="11"/>
      <c r="K229" s="11"/>
      <c r="L229" s="11"/>
      <c r="M229" s="11" t="s">
        <v>694</v>
      </c>
      <c r="N229" s="11" t="s">
        <v>720</v>
      </c>
      <c r="O229" s="11" t="s">
        <v>1070</v>
      </c>
      <c r="P229" s="11" t="s">
        <v>1070</v>
      </c>
      <c r="Q229" s="11" t="s">
        <v>464</v>
      </c>
      <c r="R229" s="11" t="str">
        <f t="shared" si="138"/>
        <v/>
      </c>
      <c r="S229" s="11" t="str">
        <f t="shared" si="139"/>
        <v/>
      </c>
      <c r="T229" s="11" t="str">
        <f t="shared" si="140"/>
        <v/>
      </c>
      <c r="U229" s="11" t="str">
        <f t="shared" si="141"/>
        <v/>
      </c>
      <c r="V229" s="11" t="str">
        <f t="shared" si="142"/>
        <v/>
      </c>
      <c r="W229" s="11" t="str">
        <f t="shared" ref="W229" si="169">IF($E229="Yes",MAX(R229:V229),"")</f>
        <v/>
      </c>
      <c r="X229" s="11" t="s">
        <v>911</v>
      </c>
      <c r="Y229" s="11" t="str">
        <f>HLOOKUP($X229,Tables_Cat!$B$6:$P$7,2,FALSE)</f>
        <v>Material</v>
      </c>
      <c r="Z229" s="24" t="s">
        <v>709</v>
      </c>
      <c r="AA229" s="11" t="s">
        <v>728</v>
      </c>
      <c r="AB229" s="13" t="str">
        <f t="shared" si="161"/>
        <v/>
      </c>
      <c r="AC229" s="11" t="s">
        <v>702</v>
      </c>
      <c r="AD229" s="11" t="str">
        <f t="shared" si="155"/>
        <v/>
      </c>
      <c r="AE229" s="11" t="s">
        <v>721</v>
      </c>
      <c r="AF229" s="11" t="str">
        <f t="shared" si="156"/>
        <v/>
      </c>
      <c r="AG229" s="11" t="str">
        <f t="shared" si="157"/>
        <v/>
      </c>
      <c r="AH229" s="11" t="str">
        <f t="shared" si="162"/>
        <v/>
      </c>
      <c r="AI229" s="11" t="str">
        <f t="shared" si="150"/>
        <v/>
      </c>
      <c r="AJ229" s="11" t="str">
        <f t="shared" si="158"/>
        <v/>
      </c>
      <c r="AK229" s="11" t="str">
        <f t="shared" si="159"/>
        <v/>
      </c>
      <c r="AN229" s="11" t="s">
        <v>722</v>
      </c>
      <c r="AO229" s="11" t="s">
        <v>723</v>
      </c>
    </row>
    <row r="230" spans="1:41" ht="31.5">
      <c r="A230" s="11">
        <v>224</v>
      </c>
      <c r="B230" s="11" t="s">
        <v>1041</v>
      </c>
      <c r="C230" s="11" t="s">
        <v>1074</v>
      </c>
      <c r="D230" s="32"/>
      <c r="E230" s="11" t="str">
        <f t="shared" si="136"/>
        <v>Select ...</v>
      </c>
      <c r="F230" s="11">
        <v>1</v>
      </c>
      <c r="G230" s="11">
        <v>1</v>
      </c>
      <c r="H230" s="11">
        <f>A210</f>
        <v>204</v>
      </c>
      <c r="I230" s="11">
        <f>A212</f>
        <v>206</v>
      </c>
      <c r="J230" s="11">
        <f>A213</f>
        <v>207</v>
      </c>
      <c r="K230" s="11">
        <f>A214</f>
        <v>208</v>
      </c>
      <c r="L230" s="11"/>
      <c r="M230" s="11" t="s">
        <v>694</v>
      </c>
      <c r="N230" s="11" t="s">
        <v>781</v>
      </c>
      <c r="O230" s="11" t="s">
        <v>881</v>
      </c>
      <c r="P230" s="11" t="s">
        <v>881</v>
      </c>
      <c r="Q230" s="11" t="s">
        <v>1075</v>
      </c>
      <c r="R230" s="11" t="str">
        <f t="shared" si="138"/>
        <v/>
      </c>
      <c r="S230" s="11" t="str">
        <f t="shared" si="139"/>
        <v/>
      </c>
      <c r="T230" s="11" t="str">
        <f t="shared" si="140"/>
        <v/>
      </c>
      <c r="U230" s="11" t="str">
        <f t="shared" si="141"/>
        <v/>
      </c>
      <c r="V230" s="11" t="str">
        <f t="shared" si="142"/>
        <v/>
      </c>
      <c r="W230" s="11" t="str">
        <f t="shared" si="102"/>
        <v/>
      </c>
      <c r="X230" s="11" t="s">
        <v>881</v>
      </c>
      <c r="Y230" s="11" t="str">
        <f>HLOOKUP($X230,Tables_Cat!$B$6:$P$7,2,FALSE)</f>
        <v>Material</v>
      </c>
      <c r="Z230" s="24" t="s">
        <v>700</v>
      </c>
      <c r="AA230" s="11" t="s">
        <v>728</v>
      </c>
      <c r="AB230" s="13" t="str">
        <f t="shared" si="161"/>
        <v/>
      </c>
      <c r="AC230" s="11" t="s">
        <v>1008</v>
      </c>
      <c r="AD230" s="11" t="str">
        <f t="shared" si="155"/>
        <v/>
      </c>
      <c r="AE230" s="11" t="s">
        <v>1076</v>
      </c>
      <c r="AF230" s="11" t="str">
        <f t="shared" si="156"/>
        <v/>
      </c>
      <c r="AG230" s="11" t="str">
        <f t="shared" si="157"/>
        <v/>
      </c>
      <c r="AH230" s="11" t="str">
        <f t="shared" si="162"/>
        <v/>
      </c>
      <c r="AI230" s="11" t="str">
        <f t="shared" si="150"/>
        <v/>
      </c>
      <c r="AJ230" s="11" t="str">
        <f t="shared" si="158"/>
        <v/>
      </c>
      <c r="AK230" s="11" t="str">
        <f t="shared" si="159"/>
        <v/>
      </c>
      <c r="AN230" s="11" t="s">
        <v>778</v>
      </c>
      <c r="AO230" s="11" t="s">
        <v>1077</v>
      </c>
    </row>
    <row r="231" spans="1:41" ht="31.5">
      <c r="A231" s="11">
        <v>225</v>
      </c>
      <c r="B231" s="11" t="s">
        <v>1041</v>
      </c>
      <c r="C231" s="11" t="s">
        <v>1078</v>
      </c>
      <c r="D231" s="32"/>
      <c r="E231" s="11" t="str">
        <f t="shared" si="136"/>
        <v>Select ...</v>
      </c>
      <c r="F231" s="11">
        <v>0.75</v>
      </c>
      <c r="G231" s="11">
        <v>0.25</v>
      </c>
      <c r="H231" s="11">
        <f>A210</f>
        <v>204</v>
      </c>
      <c r="I231" s="11">
        <f>A212</f>
        <v>206</v>
      </c>
      <c r="J231" s="11">
        <f>A213</f>
        <v>207</v>
      </c>
      <c r="K231" s="11">
        <f>A214</f>
        <v>208</v>
      </c>
      <c r="L231" s="11"/>
      <c r="M231" s="11" t="s">
        <v>694</v>
      </c>
      <c r="N231" s="11" t="s">
        <v>781</v>
      </c>
      <c r="O231" s="11" t="s">
        <v>881</v>
      </c>
      <c r="P231" s="11" t="s">
        <v>881</v>
      </c>
      <c r="Q231" s="11" t="s">
        <v>1075</v>
      </c>
      <c r="R231" s="11" t="str">
        <f t="shared" si="138"/>
        <v/>
      </c>
      <c r="S231" s="11" t="str">
        <f t="shared" si="139"/>
        <v/>
      </c>
      <c r="T231" s="11" t="str">
        <f t="shared" si="140"/>
        <v/>
      </c>
      <c r="U231" s="11" t="str">
        <f t="shared" si="141"/>
        <v/>
      </c>
      <c r="V231" s="11" t="str">
        <f t="shared" si="142"/>
        <v/>
      </c>
      <c r="W231" s="11" t="str">
        <f t="shared" si="102"/>
        <v/>
      </c>
      <c r="X231" s="11" t="s">
        <v>881</v>
      </c>
      <c r="Y231" s="11" t="str">
        <f>HLOOKUP($X231,Tables_Cat!$B$6:$P$7,2,FALSE)</f>
        <v>Material</v>
      </c>
      <c r="Z231" s="24" t="s">
        <v>700</v>
      </c>
      <c r="AA231" s="11" t="s">
        <v>728</v>
      </c>
      <c r="AB231" s="13" t="str">
        <f t="shared" si="161"/>
        <v/>
      </c>
      <c r="AC231" s="11" t="s">
        <v>1008</v>
      </c>
      <c r="AD231" s="11" t="str">
        <f t="shared" si="155"/>
        <v/>
      </c>
      <c r="AE231" s="11" t="s">
        <v>1076</v>
      </c>
      <c r="AF231" s="11" t="str">
        <f t="shared" si="156"/>
        <v/>
      </c>
      <c r="AG231" s="11" t="str">
        <f t="shared" si="157"/>
        <v/>
      </c>
      <c r="AH231" s="11" t="str">
        <f t="shared" si="162"/>
        <v/>
      </c>
      <c r="AI231" s="11" t="str">
        <f t="shared" si="150"/>
        <v/>
      </c>
      <c r="AJ231" s="11" t="str">
        <f t="shared" si="158"/>
        <v/>
      </c>
      <c r="AK231" s="11" t="str">
        <f t="shared" si="159"/>
        <v/>
      </c>
      <c r="AN231" s="11" t="s">
        <v>778</v>
      </c>
      <c r="AO231" s="11" t="s">
        <v>1077</v>
      </c>
    </row>
    <row r="232" spans="1:41" ht="47.25">
      <c r="A232" s="11">
        <v>226</v>
      </c>
      <c r="B232" s="11" t="s">
        <v>1041</v>
      </c>
      <c r="C232" s="11" t="s">
        <v>1079</v>
      </c>
      <c r="D232" s="32"/>
      <c r="E232" s="11" t="s">
        <v>3</v>
      </c>
      <c r="F232" s="11">
        <v>0.5</v>
      </c>
      <c r="G232" s="11">
        <v>0.25</v>
      </c>
      <c r="H232" s="11">
        <f>A212</f>
        <v>206</v>
      </c>
      <c r="I232" s="11"/>
      <c r="J232" s="11"/>
      <c r="K232" s="11"/>
      <c r="L232" s="11"/>
      <c r="M232" s="11" t="s">
        <v>694</v>
      </c>
      <c r="N232" s="11" t="s">
        <v>781</v>
      </c>
      <c r="O232" s="11" t="s">
        <v>881</v>
      </c>
      <c r="P232" s="11" t="s">
        <v>881</v>
      </c>
      <c r="Q232" s="11" t="s">
        <v>1075</v>
      </c>
      <c r="R232" s="11">
        <f t="shared" si="138"/>
        <v>15.51</v>
      </c>
      <c r="S232" s="11" t="str">
        <f t="shared" si="139"/>
        <v/>
      </c>
      <c r="T232" s="11" t="str">
        <f t="shared" si="140"/>
        <v/>
      </c>
      <c r="U232" s="11" t="str">
        <f t="shared" si="141"/>
        <v/>
      </c>
      <c r="V232" s="11" t="str">
        <f t="shared" si="142"/>
        <v/>
      </c>
      <c r="W232" s="11">
        <f t="shared" si="102"/>
        <v>15.51</v>
      </c>
      <c r="X232" s="11" t="s">
        <v>881</v>
      </c>
      <c r="Y232" s="11" t="str">
        <f>HLOOKUP($X232,Tables_Cat!$B$6:$P$7,2,FALSE)</f>
        <v>Material</v>
      </c>
      <c r="Z232" s="24" t="s">
        <v>700</v>
      </c>
      <c r="AA232" s="11" t="s">
        <v>728</v>
      </c>
      <c r="AB232" s="13">
        <f t="shared" si="161"/>
        <v>0.5</v>
      </c>
      <c r="AC232" s="11" t="s">
        <v>1008</v>
      </c>
      <c r="AD232" s="11">
        <f t="shared" si="155"/>
        <v>0.5</v>
      </c>
      <c r="AE232" s="11" t="s">
        <v>1076</v>
      </c>
      <c r="AF232" s="11">
        <f t="shared" si="156"/>
        <v>7.7549999999999999</v>
      </c>
      <c r="AG232" s="11">
        <f t="shared" si="157"/>
        <v>120.28005</v>
      </c>
      <c r="AH232" s="11">
        <f t="shared" si="162"/>
        <v>4</v>
      </c>
      <c r="AI232" s="11">
        <f t="shared" si="150"/>
        <v>0</v>
      </c>
      <c r="AJ232" s="11">
        <f t="shared" si="158"/>
        <v>3.8774999999999999</v>
      </c>
      <c r="AK232" s="11">
        <f t="shared" si="159"/>
        <v>60.140025000000001</v>
      </c>
      <c r="AN232" s="11" t="s">
        <v>778</v>
      </c>
      <c r="AO232" s="11" t="s">
        <v>1077</v>
      </c>
    </row>
    <row r="233" spans="1:41" ht="31.5">
      <c r="A233" s="11">
        <v>227</v>
      </c>
      <c r="B233" s="11" t="s">
        <v>1041</v>
      </c>
      <c r="C233" s="11" t="s">
        <v>1080</v>
      </c>
      <c r="D233" s="32"/>
      <c r="E233" s="11" t="str">
        <f t="shared" si="136"/>
        <v>Select ...</v>
      </c>
      <c r="F233" s="11">
        <v>0.5</v>
      </c>
      <c r="G233" s="11">
        <v>0.25</v>
      </c>
      <c r="H233" s="11">
        <f>A231</f>
        <v>225</v>
      </c>
      <c r="I233" s="11">
        <f>A232</f>
        <v>226</v>
      </c>
      <c r="J233" s="11"/>
      <c r="K233" s="11"/>
      <c r="L233" s="11"/>
      <c r="M233" s="11" t="s">
        <v>694</v>
      </c>
      <c r="N233" s="11" t="s">
        <v>781</v>
      </c>
      <c r="O233" s="11" t="s">
        <v>881</v>
      </c>
      <c r="P233" s="11" t="s">
        <v>881</v>
      </c>
      <c r="Q233" s="11" t="s">
        <v>1075</v>
      </c>
      <c r="R233" s="11" t="str">
        <f t="shared" si="138"/>
        <v/>
      </c>
      <c r="S233" s="11" t="str">
        <f t="shared" si="139"/>
        <v/>
      </c>
      <c r="T233" s="11" t="str">
        <f t="shared" si="140"/>
        <v/>
      </c>
      <c r="U233" s="11" t="str">
        <f t="shared" si="141"/>
        <v/>
      </c>
      <c r="V233" s="11" t="str">
        <f t="shared" si="142"/>
        <v/>
      </c>
      <c r="W233" s="11" t="str">
        <f t="shared" si="102"/>
        <v/>
      </c>
      <c r="X233" s="11" t="s">
        <v>881</v>
      </c>
      <c r="Y233" s="11" t="str">
        <f>HLOOKUP($X233,Tables_Cat!$B$6:$P$7,2,FALSE)</f>
        <v>Material</v>
      </c>
      <c r="Z233" s="24" t="s">
        <v>700</v>
      </c>
      <c r="AA233" s="11" t="s">
        <v>728</v>
      </c>
      <c r="AB233" s="13" t="str">
        <f t="shared" si="161"/>
        <v/>
      </c>
      <c r="AC233" s="11" t="s">
        <v>1008</v>
      </c>
      <c r="AD233" s="11" t="str">
        <f t="shared" si="155"/>
        <v/>
      </c>
      <c r="AE233" s="11" t="s">
        <v>1076</v>
      </c>
      <c r="AF233" s="11" t="str">
        <f t="shared" si="156"/>
        <v/>
      </c>
      <c r="AG233" s="11" t="str">
        <f t="shared" si="157"/>
        <v/>
      </c>
      <c r="AH233" s="11" t="str">
        <f t="shared" si="162"/>
        <v/>
      </c>
      <c r="AI233" s="11" t="str">
        <f t="shared" si="150"/>
        <v/>
      </c>
      <c r="AJ233" s="11" t="str">
        <f t="shared" si="158"/>
        <v/>
      </c>
      <c r="AK233" s="11" t="str">
        <f t="shared" si="159"/>
        <v/>
      </c>
      <c r="AN233" s="11" t="s">
        <v>778</v>
      </c>
      <c r="AO233" s="11" t="s">
        <v>1077</v>
      </c>
    </row>
    <row r="234" spans="1:41" ht="31.5">
      <c r="A234" s="11">
        <v>228</v>
      </c>
      <c r="B234" s="11" t="s">
        <v>1041</v>
      </c>
      <c r="C234" s="11" t="s">
        <v>1081</v>
      </c>
      <c r="D234" s="32"/>
      <c r="E234" s="11" t="str">
        <f t="shared" si="136"/>
        <v>Select ...</v>
      </c>
      <c r="F234" s="11">
        <v>0.5</v>
      </c>
      <c r="G234" s="11">
        <v>0.25</v>
      </c>
      <c r="H234" s="11">
        <f>A231</f>
        <v>225</v>
      </c>
      <c r="I234" s="11">
        <f>A232</f>
        <v>226</v>
      </c>
      <c r="J234" s="11">
        <f>A233</f>
        <v>227</v>
      </c>
      <c r="K234" s="11"/>
      <c r="L234" s="11"/>
      <c r="M234" s="11" t="s">
        <v>694</v>
      </c>
      <c r="N234" s="11" t="s">
        <v>763</v>
      </c>
      <c r="O234" s="11" t="s">
        <v>464</v>
      </c>
      <c r="P234" s="11" t="s">
        <v>764</v>
      </c>
      <c r="Q234" s="11" t="s">
        <v>758</v>
      </c>
      <c r="R234" s="11" t="str">
        <f t="shared" si="138"/>
        <v/>
      </c>
      <c r="S234" s="11" t="str">
        <f t="shared" si="139"/>
        <v/>
      </c>
      <c r="T234" s="11" t="str">
        <f t="shared" si="140"/>
        <v/>
      </c>
      <c r="U234" s="11" t="str">
        <f t="shared" si="141"/>
        <v/>
      </c>
      <c r="V234" s="11" t="str">
        <f t="shared" si="142"/>
        <v/>
      </c>
      <c r="W234" s="11" t="str">
        <f t="shared" si="102"/>
        <v/>
      </c>
      <c r="X234" s="11" t="s">
        <v>741</v>
      </c>
      <c r="Y234" s="11" t="str">
        <f>HLOOKUP($X234,Tables_Cat!$B$6:$P$7,2,FALSE)</f>
        <v>Material</v>
      </c>
      <c r="Z234" s="24" t="s">
        <v>709</v>
      </c>
      <c r="AA234" s="11" t="s">
        <v>728</v>
      </c>
      <c r="AB234" s="13" t="str">
        <f t="shared" si="161"/>
        <v/>
      </c>
      <c r="AC234" s="11" t="s">
        <v>702</v>
      </c>
      <c r="AD234" s="11" t="str">
        <f t="shared" si="155"/>
        <v/>
      </c>
      <c r="AE234" s="11" t="s">
        <v>760</v>
      </c>
      <c r="AF234" s="11" t="str">
        <f t="shared" si="156"/>
        <v/>
      </c>
      <c r="AG234" s="11" t="str">
        <f t="shared" si="157"/>
        <v/>
      </c>
      <c r="AH234" s="11" t="str">
        <f t="shared" si="162"/>
        <v/>
      </c>
      <c r="AI234" s="11" t="str">
        <f t="shared" si="150"/>
        <v/>
      </c>
      <c r="AJ234" s="11" t="str">
        <f t="shared" si="158"/>
        <v/>
      </c>
      <c r="AK234" s="11" t="str">
        <f t="shared" si="159"/>
        <v/>
      </c>
      <c r="AN234" s="11" t="s">
        <v>778</v>
      </c>
      <c r="AO234" s="11" t="s">
        <v>766</v>
      </c>
    </row>
    <row r="235" spans="1:41" ht="47.25">
      <c r="A235" s="11">
        <v>229</v>
      </c>
      <c r="B235" s="11" t="s">
        <v>1041</v>
      </c>
      <c r="C235" s="11" t="s">
        <v>1082</v>
      </c>
      <c r="D235" s="32"/>
      <c r="E235" s="11" t="s">
        <v>3</v>
      </c>
      <c r="F235" s="11">
        <v>0.25</v>
      </c>
      <c r="G235" s="11">
        <v>0.25</v>
      </c>
      <c r="H235" s="11">
        <f>A232</f>
        <v>226</v>
      </c>
      <c r="I235" s="11"/>
      <c r="J235" s="11"/>
      <c r="K235" s="11"/>
      <c r="L235" s="11"/>
      <c r="M235" s="11" t="s">
        <v>750</v>
      </c>
      <c r="N235" s="11" t="s">
        <v>781</v>
      </c>
      <c r="O235" s="11" t="s">
        <v>881</v>
      </c>
      <c r="P235" s="11" t="s">
        <v>881</v>
      </c>
      <c r="Q235" s="11" t="s">
        <v>995</v>
      </c>
      <c r="R235" s="11">
        <f t="shared" si="138"/>
        <v>16.009999999999998</v>
      </c>
      <c r="S235" s="11" t="str">
        <f t="shared" si="139"/>
        <v/>
      </c>
      <c r="T235" s="11" t="str">
        <f t="shared" si="140"/>
        <v/>
      </c>
      <c r="U235" s="11" t="str">
        <f t="shared" si="141"/>
        <v/>
      </c>
      <c r="V235" s="11" t="str">
        <f t="shared" si="142"/>
        <v/>
      </c>
      <c r="W235" s="11">
        <f t="shared" si="102"/>
        <v>16.009999999999998</v>
      </c>
      <c r="X235" s="11" t="s">
        <v>881</v>
      </c>
      <c r="Y235" s="11" t="str">
        <f>HLOOKUP($X235,Tables_Cat!$B$6:$P$7,2,FALSE)</f>
        <v>Material</v>
      </c>
      <c r="Z235" s="24" t="s">
        <v>700</v>
      </c>
      <c r="AA235" s="11" t="s">
        <v>728</v>
      </c>
      <c r="AB235" s="13">
        <f t="shared" si="161"/>
        <v>0</v>
      </c>
      <c r="AC235" s="11" t="s">
        <v>912</v>
      </c>
      <c r="AD235" s="11">
        <f t="shared" si="155"/>
        <v>0</v>
      </c>
      <c r="AE235" s="11" t="s">
        <v>996</v>
      </c>
      <c r="AF235" s="11">
        <f t="shared" si="156"/>
        <v>4.0024999999999995</v>
      </c>
      <c r="AG235" s="11">
        <f t="shared" si="157"/>
        <v>64.080024999999978</v>
      </c>
      <c r="AH235" s="11">
        <f t="shared" si="162"/>
        <v>4</v>
      </c>
      <c r="AI235" s="11">
        <f t="shared" si="150"/>
        <v>0</v>
      </c>
      <c r="AJ235" s="11">
        <f t="shared" si="158"/>
        <v>4.0024999999999995</v>
      </c>
      <c r="AK235" s="11">
        <f t="shared" si="159"/>
        <v>64.080024999999978</v>
      </c>
      <c r="AN235" s="11" t="s">
        <v>778</v>
      </c>
      <c r="AO235" s="11" t="s">
        <v>1083</v>
      </c>
    </row>
    <row r="236" spans="1:41" ht="47.25">
      <c r="A236" s="11">
        <v>230</v>
      </c>
      <c r="B236" s="11" t="s">
        <v>1041</v>
      </c>
      <c r="C236" s="11" t="s">
        <v>1084</v>
      </c>
      <c r="D236" s="32"/>
      <c r="E236" s="11" t="str">
        <f t="shared" si="136"/>
        <v>Select ...</v>
      </c>
      <c r="F236" s="11">
        <v>0.25</v>
      </c>
      <c r="G236" s="11">
        <v>0</v>
      </c>
      <c r="H236" s="11">
        <f>A241</f>
        <v>235</v>
      </c>
      <c r="I236" s="11">
        <f>A242</f>
        <v>236</v>
      </c>
      <c r="J236" s="11"/>
      <c r="K236" s="11"/>
      <c r="L236" s="11"/>
      <c r="M236" s="11" t="s">
        <v>750</v>
      </c>
      <c r="N236" s="11" t="s">
        <v>781</v>
      </c>
      <c r="O236" s="11" t="s">
        <v>881</v>
      </c>
      <c r="P236" s="11" t="s">
        <v>881</v>
      </c>
      <c r="Q236" s="11" t="s">
        <v>995</v>
      </c>
      <c r="R236" s="11" t="str">
        <f t="shared" si="138"/>
        <v/>
      </c>
      <c r="S236" s="11" t="str">
        <f t="shared" si="139"/>
        <v/>
      </c>
      <c r="T236" s="11" t="str">
        <f t="shared" si="140"/>
        <v/>
      </c>
      <c r="U236" s="11" t="str">
        <f t="shared" si="141"/>
        <v/>
      </c>
      <c r="V236" s="11" t="str">
        <f t="shared" si="142"/>
        <v/>
      </c>
      <c r="W236" s="11" t="str">
        <f t="shared" si="102"/>
        <v/>
      </c>
      <c r="X236" s="11" t="s">
        <v>881</v>
      </c>
      <c r="Y236" s="11" t="str">
        <f>HLOOKUP($X236,Tables_Cat!$B$6:$P$7,2,FALSE)</f>
        <v>Material</v>
      </c>
      <c r="Z236" s="24" t="s">
        <v>700</v>
      </c>
      <c r="AA236" s="11" t="s">
        <v>728</v>
      </c>
      <c r="AB236" s="13" t="str">
        <f t="shared" si="161"/>
        <v/>
      </c>
      <c r="AC236" s="11" t="s">
        <v>912</v>
      </c>
      <c r="AD236" s="11" t="str">
        <f t="shared" si="155"/>
        <v/>
      </c>
      <c r="AE236" s="11" t="s">
        <v>996</v>
      </c>
      <c r="AF236" s="11" t="str">
        <f t="shared" si="156"/>
        <v/>
      </c>
      <c r="AG236" s="11" t="str">
        <f t="shared" si="157"/>
        <v/>
      </c>
      <c r="AH236" s="11" t="str">
        <f t="shared" si="162"/>
        <v/>
      </c>
      <c r="AI236" s="11" t="str">
        <f t="shared" si="150"/>
        <v/>
      </c>
      <c r="AJ236" s="11" t="str">
        <f t="shared" si="158"/>
        <v/>
      </c>
      <c r="AK236" s="11" t="str">
        <f t="shared" si="159"/>
        <v/>
      </c>
      <c r="AN236" s="11" t="s">
        <v>778</v>
      </c>
      <c r="AO236" s="11" t="s">
        <v>1083</v>
      </c>
    </row>
    <row r="237" spans="1:41" ht="31.5">
      <c r="A237" s="11">
        <v>231</v>
      </c>
      <c r="B237" s="11" t="s">
        <v>1041</v>
      </c>
      <c r="C237" s="11" t="s">
        <v>1085</v>
      </c>
      <c r="D237" s="32"/>
      <c r="E237" s="11" t="str">
        <f t="shared" si="136"/>
        <v>Select ...</v>
      </c>
      <c r="F237" s="11">
        <v>0.5</v>
      </c>
      <c r="G237" s="11">
        <v>0.5</v>
      </c>
      <c r="H237" s="11" t="str">
        <f>A6</f>
        <v>INIT</v>
      </c>
      <c r="I237" s="11"/>
      <c r="J237" s="11"/>
      <c r="K237" s="11"/>
      <c r="L237" s="11"/>
      <c r="M237" s="11" t="s">
        <v>694</v>
      </c>
      <c r="N237" s="11" t="s">
        <v>787</v>
      </c>
      <c r="O237" s="11" t="s">
        <v>464</v>
      </c>
      <c r="P237" s="11" t="s">
        <v>764</v>
      </c>
      <c r="Q237" s="11" t="s">
        <v>758</v>
      </c>
      <c r="R237" s="11" t="str">
        <f t="shared" si="138"/>
        <v/>
      </c>
      <c r="S237" s="11" t="str">
        <f t="shared" si="139"/>
        <v/>
      </c>
      <c r="T237" s="11" t="str">
        <f t="shared" si="140"/>
        <v/>
      </c>
      <c r="U237" s="11" t="str">
        <f t="shared" si="141"/>
        <v/>
      </c>
      <c r="V237" s="11" t="str">
        <f t="shared" si="142"/>
        <v/>
      </c>
      <c r="W237" s="11" t="str">
        <f t="shared" si="102"/>
        <v/>
      </c>
      <c r="X237" s="11" t="s">
        <v>881</v>
      </c>
      <c r="Y237" s="11" t="str">
        <f>HLOOKUP($X237,Tables_Cat!$B$6:$P$7,2,FALSE)</f>
        <v>Material</v>
      </c>
      <c r="Z237" s="24" t="s">
        <v>700</v>
      </c>
      <c r="AA237" s="11" t="s">
        <v>728</v>
      </c>
      <c r="AB237" s="13" t="str">
        <f t="shared" si="161"/>
        <v/>
      </c>
      <c r="AC237" s="11" t="s">
        <v>702</v>
      </c>
      <c r="AD237" s="11" t="str">
        <f t="shared" si="155"/>
        <v/>
      </c>
      <c r="AE237" s="11" t="s">
        <v>760</v>
      </c>
      <c r="AF237" s="11" t="str">
        <f t="shared" si="156"/>
        <v/>
      </c>
      <c r="AG237" s="11" t="str">
        <f t="shared" si="157"/>
        <v/>
      </c>
      <c r="AH237" s="11" t="str">
        <f t="shared" si="162"/>
        <v/>
      </c>
      <c r="AI237" s="11" t="str">
        <f t="shared" si="150"/>
        <v/>
      </c>
      <c r="AJ237" s="11" t="str">
        <f t="shared" si="158"/>
        <v/>
      </c>
      <c r="AK237" s="11" t="str">
        <f t="shared" si="159"/>
        <v/>
      </c>
      <c r="AN237" s="11" t="s">
        <v>778</v>
      </c>
      <c r="AO237" s="11" t="s">
        <v>1043</v>
      </c>
    </row>
    <row r="238" spans="1:41" ht="31.5">
      <c r="A238" s="11">
        <v>232</v>
      </c>
      <c r="B238" s="11" t="s">
        <v>1041</v>
      </c>
      <c r="C238" s="11" t="s">
        <v>1086</v>
      </c>
      <c r="D238" s="32"/>
      <c r="E238" s="11" t="s">
        <v>3</v>
      </c>
      <c r="F238" s="11">
        <v>0.25</v>
      </c>
      <c r="G238" s="11">
        <v>0.25</v>
      </c>
      <c r="H238" s="11">
        <f>A218</f>
        <v>212</v>
      </c>
      <c r="I238" s="11"/>
      <c r="J238" s="11"/>
      <c r="K238" s="11"/>
      <c r="L238" s="11"/>
      <c r="M238" s="11" t="s">
        <v>750</v>
      </c>
      <c r="N238" s="11" t="s">
        <v>781</v>
      </c>
      <c r="O238" s="11" t="s">
        <v>881</v>
      </c>
      <c r="P238" s="11" t="s">
        <v>881</v>
      </c>
      <c r="Q238" s="11" t="s">
        <v>1059</v>
      </c>
      <c r="R238" s="11">
        <f t="shared" si="138"/>
        <v>13.01</v>
      </c>
      <c r="S238" s="11" t="str">
        <f t="shared" si="139"/>
        <v/>
      </c>
      <c r="T238" s="11" t="str">
        <f t="shared" si="140"/>
        <v/>
      </c>
      <c r="U238" s="11" t="str">
        <f t="shared" si="141"/>
        <v/>
      </c>
      <c r="V238" s="11" t="str">
        <f t="shared" si="142"/>
        <v/>
      </c>
      <c r="W238" s="11">
        <f t="shared" ref="W238:W240" si="170">IF($E238="Yes",MAX(R238:V238),"")</f>
        <v>13.01</v>
      </c>
      <c r="X238" s="11" t="s">
        <v>727</v>
      </c>
      <c r="Y238" s="11" t="str">
        <f>HLOOKUP($X238,Tables_Cat!$B$6:$P$7,2,FALSE)</f>
        <v>Material</v>
      </c>
      <c r="Z238" s="24" t="s">
        <v>700</v>
      </c>
      <c r="AA238" s="11" t="s">
        <v>728</v>
      </c>
      <c r="AB238" s="13">
        <f t="shared" si="161"/>
        <v>0</v>
      </c>
      <c r="AC238" s="11" t="s">
        <v>912</v>
      </c>
      <c r="AD238" s="11">
        <f t="shared" si="155"/>
        <v>0</v>
      </c>
      <c r="AE238" s="11" t="s">
        <v>824</v>
      </c>
      <c r="AF238" s="11">
        <f t="shared" si="156"/>
        <v>3.2524999999999999</v>
      </c>
      <c r="AG238" s="11">
        <f t="shared" si="157"/>
        <v>42.315024999999999</v>
      </c>
      <c r="AH238" s="11">
        <f t="shared" si="162"/>
        <v>4</v>
      </c>
      <c r="AI238" s="11">
        <f t="shared" si="150"/>
        <v>0</v>
      </c>
      <c r="AJ238" s="11">
        <f t="shared" si="158"/>
        <v>3.2524999999999999</v>
      </c>
      <c r="AK238" s="11">
        <f t="shared" si="159"/>
        <v>42.315024999999999</v>
      </c>
      <c r="AN238" s="11" t="s">
        <v>714</v>
      </c>
      <c r="AO238" s="11" t="s">
        <v>1083</v>
      </c>
    </row>
    <row r="239" spans="1:41" ht="47.25">
      <c r="A239" s="11">
        <v>233</v>
      </c>
      <c r="B239" s="11" t="s">
        <v>1041</v>
      </c>
      <c r="C239" s="11" t="s">
        <v>1087</v>
      </c>
      <c r="D239" s="32"/>
      <c r="E239" s="11" t="str">
        <f t="shared" ref="E239:E240" si="171">IF(D239="","Select ...")</f>
        <v>Select ...</v>
      </c>
      <c r="F239" s="11">
        <v>0.25</v>
      </c>
      <c r="G239" s="11">
        <v>0</v>
      </c>
      <c r="H239" s="11">
        <f>A251</f>
        <v>245</v>
      </c>
      <c r="I239" s="11">
        <f>A255</f>
        <v>249</v>
      </c>
      <c r="J239" s="11"/>
      <c r="K239" s="11"/>
      <c r="L239" s="11"/>
      <c r="M239" s="11" t="s">
        <v>750</v>
      </c>
      <c r="N239" s="11" t="s">
        <v>781</v>
      </c>
      <c r="O239" s="11" t="s">
        <v>881</v>
      </c>
      <c r="P239" s="11" t="s">
        <v>881</v>
      </c>
      <c r="Q239" s="11" t="s">
        <v>1059</v>
      </c>
      <c r="R239" s="11" t="str">
        <f t="shared" si="138"/>
        <v/>
      </c>
      <c r="S239" s="11" t="str">
        <f t="shared" si="139"/>
        <v/>
      </c>
      <c r="T239" s="11" t="str">
        <f t="shared" si="140"/>
        <v/>
      </c>
      <c r="U239" s="11" t="str">
        <f t="shared" si="141"/>
        <v/>
      </c>
      <c r="V239" s="11" t="str">
        <f t="shared" si="142"/>
        <v/>
      </c>
      <c r="W239" s="11" t="str">
        <f t="shared" si="170"/>
        <v/>
      </c>
      <c r="X239" s="11" t="s">
        <v>727</v>
      </c>
      <c r="Y239" s="11" t="str">
        <f>HLOOKUP($X239,Tables_Cat!$B$6:$P$7,2,FALSE)</f>
        <v>Material</v>
      </c>
      <c r="Z239" s="24" t="s">
        <v>700</v>
      </c>
      <c r="AA239" s="11" t="s">
        <v>728</v>
      </c>
      <c r="AB239" s="13" t="str">
        <f t="shared" si="161"/>
        <v/>
      </c>
      <c r="AC239" s="11" t="s">
        <v>912</v>
      </c>
      <c r="AD239" s="11" t="str">
        <f t="shared" si="155"/>
        <v/>
      </c>
      <c r="AE239" s="11" t="s">
        <v>824</v>
      </c>
      <c r="AF239" s="11" t="str">
        <f t="shared" si="156"/>
        <v/>
      </c>
      <c r="AG239" s="11" t="str">
        <f t="shared" si="157"/>
        <v/>
      </c>
      <c r="AH239" s="11" t="str">
        <f t="shared" si="162"/>
        <v/>
      </c>
      <c r="AI239" s="11" t="str">
        <f t="shared" si="150"/>
        <v/>
      </c>
      <c r="AJ239" s="11" t="str">
        <f t="shared" si="158"/>
        <v/>
      </c>
      <c r="AK239" s="11" t="str">
        <f t="shared" si="159"/>
        <v/>
      </c>
      <c r="AN239" s="11" t="s">
        <v>714</v>
      </c>
      <c r="AO239" s="11" t="s">
        <v>1083</v>
      </c>
    </row>
    <row r="240" spans="1:41" ht="31.5">
      <c r="A240" s="11">
        <v>234</v>
      </c>
      <c r="B240" s="11" t="s">
        <v>1041</v>
      </c>
      <c r="C240" s="11" t="s">
        <v>1088</v>
      </c>
      <c r="D240" s="32"/>
      <c r="E240" s="11" t="str">
        <f t="shared" si="171"/>
        <v>Select ...</v>
      </c>
      <c r="F240" s="11">
        <v>0.5</v>
      </c>
      <c r="G240" s="11">
        <v>0.5</v>
      </c>
      <c r="H240" s="11">
        <f>A10</f>
        <v>4</v>
      </c>
      <c r="I240" s="11"/>
      <c r="J240" s="11"/>
      <c r="K240" s="11"/>
      <c r="L240" s="11"/>
      <c r="M240" s="11" t="s">
        <v>694</v>
      </c>
      <c r="N240" s="11" t="s">
        <v>781</v>
      </c>
      <c r="O240" s="11" t="s">
        <v>464</v>
      </c>
      <c r="P240" s="11" t="s">
        <v>764</v>
      </c>
      <c r="Q240" s="11" t="s">
        <v>1059</v>
      </c>
      <c r="R240" s="11" t="str">
        <f t="shared" si="138"/>
        <v/>
      </c>
      <c r="S240" s="11" t="str">
        <f t="shared" si="139"/>
        <v/>
      </c>
      <c r="T240" s="11" t="str">
        <f t="shared" si="140"/>
        <v/>
      </c>
      <c r="U240" s="11" t="str">
        <f t="shared" si="141"/>
        <v/>
      </c>
      <c r="V240" s="11" t="str">
        <f t="shared" si="142"/>
        <v/>
      </c>
      <c r="W240" s="11" t="str">
        <f t="shared" si="170"/>
        <v/>
      </c>
      <c r="X240" s="11" t="s">
        <v>727</v>
      </c>
      <c r="Y240" s="11" t="str">
        <f>HLOOKUP($X240,Tables_Cat!$B$6:$P$7,2,FALSE)</f>
        <v>Material</v>
      </c>
      <c r="Z240" s="24" t="s">
        <v>700</v>
      </c>
      <c r="AA240" s="11" t="s">
        <v>728</v>
      </c>
      <c r="AB240" s="13" t="str">
        <f t="shared" si="161"/>
        <v/>
      </c>
      <c r="AC240" s="11" t="s">
        <v>702</v>
      </c>
      <c r="AD240" s="11" t="str">
        <f t="shared" si="155"/>
        <v/>
      </c>
      <c r="AE240" s="11" t="s">
        <v>824</v>
      </c>
      <c r="AF240" s="11" t="str">
        <f t="shared" si="156"/>
        <v/>
      </c>
      <c r="AG240" s="11" t="str">
        <f t="shared" si="157"/>
        <v/>
      </c>
      <c r="AH240" s="11" t="str">
        <f t="shared" si="162"/>
        <v/>
      </c>
      <c r="AI240" s="11" t="str">
        <f t="shared" si="150"/>
        <v/>
      </c>
      <c r="AJ240" s="11" t="str">
        <f t="shared" si="158"/>
        <v/>
      </c>
      <c r="AK240" s="11" t="str">
        <f t="shared" si="159"/>
        <v/>
      </c>
      <c r="AN240" s="11" t="s">
        <v>714</v>
      </c>
      <c r="AO240" s="11" t="s">
        <v>766</v>
      </c>
    </row>
    <row r="241" spans="1:41" ht="47.25">
      <c r="A241" s="11">
        <v>235</v>
      </c>
      <c r="B241" s="11" t="s">
        <v>1041</v>
      </c>
      <c r="C241" s="11" t="s">
        <v>1089</v>
      </c>
      <c r="D241" s="32"/>
      <c r="E241" s="11" t="s">
        <v>4</v>
      </c>
      <c r="F241" s="11">
        <v>0.5</v>
      </c>
      <c r="G241" s="11">
        <v>0.5</v>
      </c>
      <c r="H241" s="11">
        <f>A210</f>
        <v>204</v>
      </c>
      <c r="I241" s="11">
        <f>A212</f>
        <v>206</v>
      </c>
      <c r="J241" s="11">
        <f>A213</f>
        <v>207</v>
      </c>
      <c r="K241" s="11">
        <f>A214</f>
        <v>208</v>
      </c>
      <c r="L241" s="11"/>
      <c r="M241" s="11" t="s">
        <v>694</v>
      </c>
      <c r="N241" s="11" t="s">
        <v>781</v>
      </c>
      <c r="O241" s="11" t="s">
        <v>881</v>
      </c>
      <c r="P241" s="11" t="s">
        <v>1020</v>
      </c>
      <c r="Q241" s="11" t="s">
        <v>995</v>
      </c>
      <c r="R241" s="11" t="str">
        <f t="shared" si="138"/>
        <v/>
      </c>
      <c r="S241" s="11" t="str">
        <f t="shared" si="139"/>
        <v/>
      </c>
      <c r="T241" s="11" t="str">
        <f t="shared" si="140"/>
        <v/>
      </c>
      <c r="U241" s="11" t="str">
        <f t="shared" si="141"/>
        <v/>
      </c>
      <c r="V241" s="11" t="str">
        <f t="shared" si="142"/>
        <v/>
      </c>
      <c r="W241" s="11" t="str">
        <f t="shared" si="102"/>
        <v/>
      </c>
      <c r="X241" s="11" t="s">
        <v>771</v>
      </c>
      <c r="Y241" s="11" t="str">
        <f>HLOOKUP($X241,Tables_Cat!$B$6:$P$7,2,FALSE)</f>
        <v>Material</v>
      </c>
      <c r="Z241" s="24" t="s">
        <v>700</v>
      </c>
      <c r="AA241" s="11" t="s">
        <v>728</v>
      </c>
      <c r="AB241" s="13" t="str">
        <f t="shared" si="161"/>
        <v/>
      </c>
      <c r="AC241" s="11" t="s">
        <v>702</v>
      </c>
      <c r="AD241" s="11" t="str">
        <f t="shared" si="155"/>
        <v/>
      </c>
      <c r="AE241" s="11" t="s">
        <v>996</v>
      </c>
      <c r="AF241" s="11" t="str">
        <f t="shared" si="156"/>
        <v/>
      </c>
      <c r="AG241" s="11" t="str">
        <f t="shared" si="157"/>
        <v/>
      </c>
      <c r="AH241" s="11" t="str">
        <f t="shared" si="162"/>
        <v/>
      </c>
      <c r="AI241" s="11" t="str">
        <f t="shared" si="150"/>
        <v/>
      </c>
      <c r="AJ241" s="11" t="str">
        <f t="shared" si="158"/>
        <v/>
      </c>
      <c r="AK241" s="11" t="str">
        <f t="shared" si="159"/>
        <v/>
      </c>
      <c r="AN241" s="11" t="s">
        <v>778</v>
      </c>
      <c r="AO241" s="11" t="s">
        <v>1083</v>
      </c>
    </row>
    <row r="242" spans="1:41" ht="47.25">
      <c r="A242" s="11">
        <v>236</v>
      </c>
      <c r="B242" s="11" t="s">
        <v>1041</v>
      </c>
      <c r="C242" s="11" t="s">
        <v>1090</v>
      </c>
      <c r="D242" s="32"/>
      <c r="E242" s="11" t="str">
        <f t="shared" si="136"/>
        <v>Select ...</v>
      </c>
      <c r="F242" s="11">
        <v>0.25</v>
      </c>
      <c r="G242" s="11">
        <v>0</v>
      </c>
      <c r="H242" s="11">
        <f>A210</f>
        <v>204</v>
      </c>
      <c r="I242" s="11">
        <f>A212</f>
        <v>206</v>
      </c>
      <c r="J242" s="11">
        <f>A213</f>
        <v>207</v>
      </c>
      <c r="K242" s="11">
        <f>A214</f>
        <v>208</v>
      </c>
      <c r="L242" s="11"/>
      <c r="M242" s="11" t="s">
        <v>694</v>
      </c>
      <c r="N242" s="11" t="s">
        <v>781</v>
      </c>
      <c r="O242" s="11" t="s">
        <v>881</v>
      </c>
      <c r="P242" s="11" t="s">
        <v>1020</v>
      </c>
      <c r="Q242" s="11" t="s">
        <v>995</v>
      </c>
      <c r="R242" s="11" t="str">
        <f t="shared" si="138"/>
        <v/>
      </c>
      <c r="S242" s="11" t="str">
        <f t="shared" si="139"/>
        <v/>
      </c>
      <c r="T242" s="11" t="str">
        <f t="shared" si="140"/>
        <v/>
      </c>
      <c r="U242" s="11" t="str">
        <f t="shared" si="141"/>
        <v/>
      </c>
      <c r="V242" s="11" t="str">
        <f t="shared" si="142"/>
        <v/>
      </c>
      <c r="W242" s="11" t="str">
        <f t="shared" si="102"/>
        <v/>
      </c>
      <c r="X242" s="11" t="s">
        <v>771</v>
      </c>
      <c r="Y242" s="11" t="str">
        <f>HLOOKUP($X242,Tables_Cat!$B$6:$P$7,2,FALSE)</f>
        <v>Material</v>
      </c>
      <c r="Z242" s="24" t="s">
        <v>700</v>
      </c>
      <c r="AA242" s="11" t="s">
        <v>728</v>
      </c>
      <c r="AB242" s="13" t="str">
        <f t="shared" si="161"/>
        <v/>
      </c>
      <c r="AC242" s="11" t="s">
        <v>702</v>
      </c>
      <c r="AD242" s="11" t="str">
        <f t="shared" si="155"/>
        <v/>
      </c>
      <c r="AE242" s="11" t="s">
        <v>996</v>
      </c>
      <c r="AF242" s="11" t="str">
        <f t="shared" si="156"/>
        <v/>
      </c>
      <c r="AG242" s="11" t="str">
        <f t="shared" si="157"/>
        <v/>
      </c>
      <c r="AH242" s="11" t="str">
        <f t="shared" si="162"/>
        <v/>
      </c>
      <c r="AI242" s="11" t="str">
        <f t="shared" si="150"/>
        <v/>
      </c>
      <c r="AJ242" s="11" t="str">
        <f t="shared" si="158"/>
        <v/>
      </c>
      <c r="AK242" s="11" t="str">
        <f t="shared" si="159"/>
        <v/>
      </c>
      <c r="AN242" s="11" t="s">
        <v>778</v>
      </c>
      <c r="AO242" s="11" t="s">
        <v>1083</v>
      </c>
    </row>
    <row r="243" spans="1:41" ht="47.25">
      <c r="A243" s="11">
        <v>237</v>
      </c>
      <c r="B243" s="11" t="s">
        <v>1091</v>
      </c>
      <c r="C243" s="11" t="s">
        <v>1092</v>
      </c>
      <c r="D243" s="32"/>
      <c r="E243" s="11" t="str">
        <f t="shared" ref="E243:E244" si="172">IF(D243="","Select ...")</f>
        <v>Select ...</v>
      </c>
      <c r="F243" s="11">
        <v>1</v>
      </c>
      <c r="G243" s="11">
        <v>1</v>
      </c>
      <c r="H243" s="11">
        <f>A255</f>
        <v>249</v>
      </c>
      <c r="I243" s="11"/>
      <c r="J243" s="11"/>
      <c r="K243" s="11"/>
      <c r="L243" s="11"/>
      <c r="M243" s="11" t="s">
        <v>750</v>
      </c>
      <c r="N243" s="11" t="s">
        <v>781</v>
      </c>
      <c r="O243" s="11" t="s">
        <v>881</v>
      </c>
      <c r="P243" s="11" t="s">
        <v>881</v>
      </c>
      <c r="Q243" s="11" t="s">
        <v>995</v>
      </c>
      <c r="R243" s="11" t="str">
        <f t="shared" si="138"/>
        <v/>
      </c>
      <c r="S243" s="11" t="str">
        <f t="shared" si="139"/>
        <v/>
      </c>
      <c r="T243" s="11" t="str">
        <f t="shared" si="140"/>
        <v/>
      </c>
      <c r="U243" s="11" t="str">
        <f t="shared" si="141"/>
        <v/>
      </c>
      <c r="V243" s="11" t="str">
        <f t="shared" si="142"/>
        <v/>
      </c>
      <c r="W243" s="11" t="str">
        <f>IF($E243="Yes",MAX(R243:V243),"")</f>
        <v/>
      </c>
      <c r="X243" s="11" t="s">
        <v>881</v>
      </c>
      <c r="Y243" s="11" t="str">
        <f>HLOOKUP($X243,Tables_Cat!$B$6:$P$7,2,FALSE)</f>
        <v>Material</v>
      </c>
      <c r="Z243" s="24" t="s">
        <v>700</v>
      </c>
      <c r="AA243" s="11" t="s">
        <v>728</v>
      </c>
      <c r="AB243" s="13" t="str">
        <f>IF($E243="Yes",($F243-$G243)/$F243,"")</f>
        <v/>
      </c>
      <c r="AC243" s="11" t="s">
        <v>912</v>
      </c>
      <c r="AD243" s="11" t="str">
        <f>IF($E243="Yes",$AB243+$AI243,"")</f>
        <v/>
      </c>
      <c r="AE243" s="11" t="s">
        <v>996</v>
      </c>
      <c r="AF243" s="11" t="str">
        <f>IF($E243="Yes",$F243*$W243,"")</f>
        <v/>
      </c>
      <c r="AG243" s="11" t="str">
        <f>IF($E243="Yes",$F243*$W243^2,"")</f>
        <v/>
      </c>
      <c r="AH243" s="11" t="str">
        <f>IF($E243="Yes",IF($AA243="Engineer",5,IF($AA243="Implement",4,IF($AA243="Manage",3,IF($AA243="Validate",2,1)))),"")</f>
        <v/>
      </c>
      <c r="AI243" s="11" t="str">
        <f t="shared" si="150"/>
        <v/>
      </c>
      <c r="AJ243" s="11" t="str">
        <f>IF($E243="Yes",$G243*$W243,"")</f>
        <v/>
      </c>
      <c r="AK243" s="11" t="str">
        <f>IF($E243="Yes",$G243*$W243^2,"")</f>
        <v/>
      </c>
      <c r="AN243" s="11" t="s">
        <v>778</v>
      </c>
      <c r="AO243" s="11" t="s">
        <v>1043</v>
      </c>
    </row>
    <row r="244" spans="1:41" ht="47.25">
      <c r="A244" s="11">
        <v>238</v>
      </c>
      <c r="B244" s="11" t="s">
        <v>1091</v>
      </c>
      <c r="C244" s="11" t="s">
        <v>1093</v>
      </c>
      <c r="D244" s="32"/>
      <c r="E244" s="11" t="str">
        <f t="shared" si="172"/>
        <v>Select ...</v>
      </c>
      <c r="F244" s="11">
        <v>1</v>
      </c>
      <c r="G244" s="11">
        <v>1</v>
      </c>
      <c r="H244" s="11">
        <f>A255</f>
        <v>249</v>
      </c>
      <c r="I244" s="11"/>
      <c r="J244" s="11"/>
      <c r="K244" s="11"/>
      <c r="L244" s="11"/>
      <c r="M244" s="11" t="s">
        <v>750</v>
      </c>
      <c r="N244" s="11" t="s">
        <v>781</v>
      </c>
      <c r="O244" s="11" t="s">
        <v>881</v>
      </c>
      <c r="P244" s="11" t="s">
        <v>881</v>
      </c>
      <c r="Q244" s="11" t="s">
        <v>995</v>
      </c>
      <c r="R244" s="11" t="str">
        <f t="shared" si="138"/>
        <v/>
      </c>
      <c r="S244" s="11" t="str">
        <f t="shared" si="139"/>
        <v/>
      </c>
      <c r="T244" s="11" t="str">
        <f t="shared" si="140"/>
        <v/>
      </c>
      <c r="U244" s="11" t="str">
        <f t="shared" si="141"/>
        <v/>
      </c>
      <c r="V244" s="11" t="str">
        <f t="shared" si="142"/>
        <v/>
      </c>
      <c r="W244" s="11" t="str">
        <f>IF($E244="Yes",MAX(R244:V244),"")</f>
        <v/>
      </c>
      <c r="X244" s="11" t="s">
        <v>881</v>
      </c>
      <c r="Y244" s="11" t="str">
        <f>HLOOKUP($X244,Tables_Cat!$B$6:$P$7,2,FALSE)</f>
        <v>Material</v>
      </c>
      <c r="Z244" s="24" t="s">
        <v>700</v>
      </c>
      <c r="AA244" s="11" t="s">
        <v>728</v>
      </c>
      <c r="AB244" s="13" t="str">
        <f>IF($E244="Yes",($F244-$G244)/$F244,"")</f>
        <v/>
      </c>
      <c r="AC244" s="11" t="s">
        <v>912</v>
      </c>
      <c r="AD244" s="11" t="str">
        <f>IF($E244="Yes",$AB244+$AI244,"")</f>
        <v/>
      </c>
      <c r="AE244" s="11" t="s">
        <v>996</v>
      </c>
      <c r="AF244" s="11" t="str">
        <f>IF($E244="Yes",$F244*$W244,"")</f>
        <v/>
      </c>
      <c r="AG244" s="11" t="str">
        <f>IF($E244="Yes",$F244*$W244^2,"")</f>
        <v/>
      </c>
      <c r="AH244" s="11" t="str">
        <f>IF($E244="Yes",IF($AA244="Engineer",5,IF($AA244="Implement",4,IF($AA244="Manage",3,IF($AA244="Validate",2,1)))),"")</f>
        <v/>
      </c>
      <c r="AI244" s="11" t="str">
        <f t="shared" si="150"/>
        <v/>
      </c>
      <c r="AJ244" s="11" t="str">
        <f>IF($E244="Yes",$G244*$W244,"")</f>
        <v/>
      </c>
      <c r="AK244" s="11" t="str">
        <f>IF($E244="Yes",$G244*$W244^2,"")</f>
        <v/>
      </c>
      <c r="AN244" s="11" t="s">
        <v>778</v>
      </c>
      <c r="AO244" s="11" t="s">
        <v>1043</v>
      </c>
    </row>
    <row r="245" spans="1:41" ht="47.25">
      <c r="A245" s="11">
        <v>239</v>
      </c>
      <c r="B245" s="11" t="s">
        <v>1091</v>
      </c>
      <c r="C245" s="11" t="s">
        <v>1094</v>
      </c>
      <c r="D245" s="32"/>
      <c r="E245" s="11" t="str">
        <f t="shared" ref="E245" si="173">IF(D245="","Select ...")</f>
        <v>Select ...</v>
      </c>
      <c r="F245" s="11">
        <v>1</v>
      </c>
      <c r="G245" s="11">
        <v>1</v>
      </c>
      <c r="H245" s="11">
        <f>A262</f>
        <v>256</v>
      </c>
      <c r="I245" s="11"/>
      <c r="J245" s="11"/>
      <c r="K245" s="11"/>
      <c r="L245" s="11"/>
      <c r="M245" s="11" t="s">
        <v>750</v>
      </c>
      <c r="N245" s="11" t="s">
        <v>781</v>
      </c>
      <c r="O245" s="11" t="s">
        <v>881</v>
      </c>
      <c r="P245" s="11" t="s">
        <v>881</v>
      </c>
      <c r="Q245" s="11" t="s">
        <v>995</v>
      </c>
      <c r="R245" s="11" t="str">
        <f t="shared" si="138"/>
        <v/>
      </c>
      <c r="S245" s="11" t="str">
        <f t="shared" si="139"/>
        <v/>
      </c>
      <c r="T245" s="11" t="str">
        <f t="shared" si="140"/>
        <v/>
      </c>
      <c r="U245" s="11" t="str">
        <f t="shared" si="141"/>
        <v/>
      </c>
      <c r="V245" s="11" t="str">
        <f t="shared" si="142"/>
        <v/>
      </c>
      <c r="W245" s="11" t="str">
        <f>IF($E245="Yes",MAX(R245:V245),"")</f>
        <v/>
      </c>
      <c r="X245" s="11" t="s">
        <v>881</v>
      </c>
      <c r="Y245" s="11" t="str">
        <f>HLOOKUP($X245,Tables_Cat!$B$6:$P$7,2,FALSE)</f>
        <v>Material</v>
      </c>
      <c r="Z245" s="24" t="s">
        <v>700</v>
      </c>
      <c r="AA245" s="11" t="s">
        <v>728</v>
      </c>
      <c r="AB245" s="13" t="str">
        <f>IF($E245="Yes",($F245-$G245)/$F245,"")</f>
        <v/>
      </c>
      <c r="AC245" s="11" t="s">
        <v>912</v>
      </c>
      <c r="AD245" s="11" t="str">
        <f>IF($E245="Yes",$AB245+$AI245,"")</f>
        <v/>
      </c>
      <c r="AE245" s="11" t="s">
        <v>996</v>
      </c>
      <c r="AF245" s="11" t="str">
        <f>IF($E245="Yes",$F245*$W245,"")</f>
        <v/>
      </c>
      <c r="AG245" s="11" t="str">
        <f>IF($E245="Yes",$F245*$W245^2,"")</f>
        <v/>
      </c>
      <c r="AH245" s="11" t="str">
        <f>IF($E245="Yes",IF($AA245="Engineer",5,IF($AA245="Implement",4,IF($AA245="Manage",3,IF($AA245="Validate",2,1)))),"")</f>
        <v/>
      </c>
      <c r="AI245" s="11" t="str">
        <f t="shared" si="150"/>
        <v/>
      </c>
      <c r="AJ245" s="11" t="str">
        <f>IF($E245="Yes",$G245*$W245,"")</f>
        <v/>
      </c>
      <c r="AK245" s="11" t="str">
        <f>IF($E245="Yes",$G245*$W245^2,"")</f>
        <v/>
      </c>
      <c r="AN245" s="11" t="s">
        <v>778</v>
      </c>
      <c r="AO245" s="11" t="s">
        <v>1043</v>
      </c>
    </row>
    <row r="246" spans="1:41" ht="47.25">
      <c r="A246" s="11">
        <v>240</v>
      </c>
      <c r="B246" s="11" t="s">
        <v>919</v>
      </c>
      <c r="C246" s="11" t="s">
        <v>1095</v>
      </c>
      <c r="D246" s="32"/>
      <c r="E246" s="11" t="s">
        <v>4</v>
      </c>
      <c r="F246" s="11">
        <v>0.01</v>
      </c>
      <c r="G246" s="11">
        <v>0.01</v>
      </c>
      <c r="H246" s="11">
        <f>A267</f>
        <v>261</v>
      </c>
      <c r="I246" s="11"/>
      <c r="J246" s="11"/>
      <c r="K246" s="11"/>
      <c r="L246" s="11"/>
      <c r="M246" s="11" t="s">
        <v>694</v>
      </c>
      <c r="N246" s="11" t="s">
        <v>769</v>
      </c>
      <c r="O246" s="11" t="s">
        <v>92</v>
      </c>
      <c r="P246" s="11" t="s">
        <v>92</v>
      </c>
      <c r="Q246" s="11" t="s">
        <v>921</v>
      </c>
      <c r="R246" s="11" t="str">
        <f t="shared" si="138"/>
        <v/>
      </c>
      <c r="S246" s="11" t="str">
        <f t="shared" si="139"/>
        <v/>
      </c>
      <c r="T246" s="11" t="str">
        <f t="shared" si="140"/>
        <v/>
      </c>
      <c r="U246" s="11" t="str">
        <f t="shared" si="141"/>
        <v/>
      </c>
      <c r="V246" s="11" t="str">
        <f t="shared" si="142"/>
        <v/>
      </c>
      <c r="W246" s="11" t="str">
        <f t="shared" ref="W246:W247" si="174">IF($E246="Yes",MAX(R246:V246),"")</f>
        <v/>
      </c>
      <c r="X246" s="11" t="s">
        <v>92</v>
      </c>
      <c r="Y246" s="11" t="str">
        <f>HLOOKUP($X246,Tables_Cat!$B$6:$P$7,2,FALSE)</f>
        <v>Material</v>
      </c>
      <c r="Z246" s="24" t="s">
        <v>904</v>
      </c>
      <c r="AA246" s="11" t="s">
        <v>728</v>
      </c>
      <c r="AB246" s="13" t="str">
        <f t="shared" ref="AB246" si="175">IF($E246="Yes",($F246-$G246)/$F246,"")</f>
        <v/>
      </c>
      <c r="AC246" s="11" t="s">
        <v>922</v>
      </c>
      <c r="AD246" s="11" t="str">
        <f t="shared" ref="AD246" si="176">IF($E246="Yes",$AB246+$AI246,"")</f>
        <v/>
      </c>
      <c r="AE246" s="11" t="s">
        <v>923</v>
      </c>
      <c r="AF246" s="11" t="str">
        <f t="shared" ref="AF246" si="177">IF($E246="Yes",$F246*$W246,"")</f>
        <v/>
      </c>
      <c r="AG246" s="11" t="str">
        <f t="shared" ref="AG246" si="178">IF($E246="Yes",$F246*$W246^2,"")</f>
        <v/>
      </c>
      <c r="AH246" s="11" t="str">
        <f t="shared" ref="AH246" si="179">IF($E246="Yes",IF($AA246="Engineer",5,IF($AA246="Implement",4,IF($AA246="Manage",3,IF($AA246="Validate",2,1)))),"")</f>
        <v/>
      </c>
      <c r="AI246" s="11" t="str">
        <f t="shared" si="150"/>
        <v/>
      </c>
      <c r="AJ246" s="11" t="str">
        <f t="shared" ref="AJ246" si="180">IF($E246="Yes",$G246*$W246,"")</f>
        <v/>
      </c>
      <c r="AK246" s="11" t="str">
        <f t="shared" ref="AK246" si="181">IF($E246="Yes",$G246*$W246^2,"")</f>
        <v/>
      </c>
      <c r="AN246" s="11" t="s">
        <v>871</v>
      </c>
      <c r="AO246" s="11" t="s">
        <v>924</v>
      </c>
    </row>
    <row r="247" spans="1:41" ht="47.25">
      <c r="A247" s="11">
        <v>241</v>
      </c>
      <c r="B247" s="11" t="s">
        <v>767</v>
      </c>
      <c r="C247" s="11" t="s">
        <v>1096</v>
      </c>
      <c r="D247" s="32"/>
      <c r="E247" s="11" t="s">
        <v>4</v>
      </c>
      <c r="F247" s="11">
        <v>1.5</v>
      </c>
      <c r="G247" s="11">
        <v>1</v>
      </c>
      <c r="H247" s="11">
        <f>A246</f>
        <v>240</v>
      </c>
      <c r="I247" s="11"/>
      <c r="J247" s="11"/>
      <c r="K247" s="11"/>
      <c r="L247" s="11"/>
      <c r="M247" s="11" t="s">
        <v>694</v>
      </c>
      <c r="N247" s="11" t="s">
        <v>769</v>
      </c>
      <c r="O247" s="11" t="s">
        <v>464</v>
      </c>
      <c r="P247" s="11" t="s">
        <v>764</v>
      </c>
      <c r="Q247" s="11" t="s">
        <v>770</v>
      </c>
      <c r="R247" s="11" t="str">
        <f t="shared" si="138"/>
        <v/>
      </c>
      <c r="S247" s="11" t="str">
        <f t="shared" si="139"/>
        <v/>
      </c>
      <c r="T247" s="11" t="str">
        <f t="shared" si="140"/>
        <v/>
      </c>
      <c r="U247" s="11" t="str">
        <f t="shared" si="141"/>
        <v/>
      </c>
      <c r="V247" s="11" t="str">
        <f t="shared" si="142"/>
        <v/>
      </c>
      <c r="W247" s="11" t="str">
        <f t="shared" si="174"/>
        <v/>
      </c>
      <c r="X247" s="11" t="s">
        <v>771</v>
      </c>
      <c r="Y247" s="11" t="str">
        <f>HLOOKUP($X247,Tables_Cat!$B$6:$P$7,2,FALSE)</f>
        <v>Material</v>
      </c>
      <c r="Z247" s="24" t="s">
        <v>709</v>
      </c>
      <c r="AA247" s="11" t="s">
        <v>765</v>
      </c>
      <c r="AB247" s="13" t="str">
        <f t="shared" si="161"/>
        <v/>
      </c>
      <c r="AC247" s="11" t="s">
        <v>702</v>
      </c>
      <c r="AD247" s="11" t="str">
        <f t="shared" si="155"/>
        <v/>
      </c>
      <c r="AE247" s="11" t="s">
        <v>772</v>
      </c>
      <c r="AF247" s="11" t="str">
        <f t="shared" si="156"/>
        <v/>
      </c>
      <c r="AG247" s="11" t="str">
        <f t="shared" si="157"/>
        <v/>
      </c>
      <c r="AH247" s="11" t="str">
        <f t="shared" si="162"/>
        <v/>
      </c>
      <c r="AI247" s="11" t="str">
        <f t="shared" si="150"/>
        <v/>
      </c>
      <c r="AJ247" s="11" t="str">
        <f t="shared" si="158"/>
        <v/>
      </c>
      <c r="AK247" s="11" t="str">
        <f t="shared" si="159"/>
        <v/>
      </c>
      <c r="AN247" s="11" t="s">
        <v>778</v>
      </c>
      <c r="AO247" s="11" t="s">
        <v>766</v>
      </c>
    </row>
    <row r="248" spans="1:41" ht="31.5">
      <c r="A248" s="11">
        <v>242</v>
      </c>
      <c r="B248" s="11" t="s">
        <v>1091</v>
      </c>
      <c r="C248" s="11" t="s">
        <v>1097</v>
      </c>
      <c r="D248" s="32"/>
      <c r="E248" s="11" t="str">
        <f t="shared" si="136"/>
        <v>Select ...</v>
      </c>
      <c r="F248" s="11">
        <v>0.75</v>
      </c>
      <c r="G248" s="11">
        <v>0.5</v>
      </c>
      <c r="H248" s="11">
        <f>A235</f>
        <v>229</v>
      </c>
      <c r="I248" s="11">
        <f>A236</f>
        <v>230</v>
      </c>
      <c r="J248" s="11"/>
      <c r="K248" s="11"/>
      <c r="L248" s="11"/>
      <c r="M248" s="11" t="s">
        <v>694</v>
      </c>
      <c r="N248" s="11" t="s">
        <v>781</v>
      </c>
      <c r="O248" s="11" t="s">
        <v>881</v>
      </c>
      <c r="P248" s="11" t="s">
        <v>881</v>
      </c>
      <c r="Q248" s="11" t="s">
        <v>1098</v>
      </c>
      <c r="R248" s="11" t="str">
        <f t="shared" si="138"/>
        <v/>
      </c>
      <c r="S248" s="11" t="str">
        <f t="shared" si="139"/>
        <v/>
      </c>
      <c r="T248" s="11" t="str">
        <f t="shared" si="140"/>
        <v/>
      </c>
      <c r="U248" s="11" t="str">
        <f t="shared" si="141"/>
        <v/>
      </c>
      <c r="V248" s="11" t="str">
        <f t="shared" si="142"/>
        <v/>
      </c>
      <c r="W248" s="11" t="str">
        <f t="shared" si="102"/>
        <v/>
      </c>
      <c r="X248" s="11" t="s">
        <v>881</v>
      </c>
      <c r="Y248" s="11" t="str">
        <f>HLOOKUP($X248,Tables_Cat!$B$6:$P$7,2,FALSE)</f>
        <v>Material</v>
      </c>
      <c r="Z248" s="24" t="s">
        <v>700</v>
      </c>
      <c r="AA248" s="11" t="s">
        <v>728</v>
      </c>
      <c r="AB248" s="13" t="str">
        <f t="shared" si="161"/>
        <v/>
      </c>
      <c r="AC248" s="11" t="s">
        <v>912</v>
      </c>
      <c r="AD248" s="11" t="str">
        <f t="shared" si="155"/>
        <v/>
      </c>
      <c r="AE248" s="11" t="s">
        <v>1099</v>
      </c>
      <c r="AF248" s="11" t="str">
        <f t="shared" si="156"/>
        <v/>
      </c>
      <c r="AG248" s="11" t="str">
        <f t="shared" si="157"/>
        <v/>
      </c>
      <c r="AH248" s="11" t="str">
        <f t="shared" si="162"/>
        <v/>
      </c>
      <c r="AI248" s="11" t="str">
        <f t="shared" si="150"/>
        <v/>
      </c>
      <c r="AJ248" s="11" t="str">
        <f t="shared" si="158"/>
        <v/>
      </c>
      <c r="AK248" s="11" t="str">
        <f t="shared" si="159"/>
        <v/>
      </c>
      <c r="AN248" s="11" t="s">
        <v>778</v>
      </c>
      <c r="AO248" s="11" t="s">
        <v>1100</v>
      </c>
    </row>
    <row r="249" spans="1:41" ht="31.5">
      <c r="A249" s="11">
        <v>243</v>
      </c>
      <c r="B249" s="11" t="s">
        <v>1091</v>
      </c>
      <c r="C249" s="11" t="s">
        <v>1101</v>
      </c>
      <c r="D249" s="32"/>
      <c r="E249" s="11" t="str">
        <f t="shared" ref="E249" si="182">IF(D249="","Select ...")</f>
        <v>Select ...</v>
      </c>
      <c r="F249" s="11">
        <v>0.75</v>
      </c>
      <c r="G249" s="11">
        <v>0.5</v>
      </c>
      <c r="H249" s="11">
        <f>A236</f>
        <v>230</v>
      </c>
      <c r="I249" s="11">
        <f>A237</f>
        <v>231</v>
      </c>
      <c r="J249" s="11"/>
      <c r="K249" s="11"/>
      <c r="L249" s="11"/>
      <c r="M249" s="11" t="s">
        <v>694</v>
      </c>
      <c r="N249" s="11" t="s">
        <v>781</v>
      </c>
      <c r="O249" s="11" t="s">
        <v>881</v>
      </c>
      <c r="P249" s="11" t="s">
        <v>881</v>
      </c>
      <c r="Q249" s="11" t="s">
        <v>1098</v>
      </c>
      <c r="R249" s="11" t="str">
        <f t="shared" si="138"/>
        <v/>
      </c>
      <c r="S249" s="11" t="str">
        <f t="shared" si="139"/>
        <v/>
      </c>
      <c r="T249" s="11" t="str">
        <f t="shared" si="140"/>
        <v/>
      </c>
      <c r="U249" s="11" t="str">
        <f t="shared" si="141"/>
        <v/>
      </c>
      <c r="V249" s="11" t="str">
        <f t="shared" si="142"/>
        <v/>
      </c>
      <c r="W249" s="11" t="str">
        <f t="shared" ref="W249" si="183">IF($E249="Yes",MAX(R249:V249),"")</f>
        <v/>
      </c>
      <c r="X249" s="11" t="s">
        <v>881</v>
      </c>
      <c r="Y249" s="11" t="str">
        <f>HLOOKUP($X249,Tables_Cat!$B$6:$P$7,2,FALSE)</f>
        <v>Material</v>
      </c>
      <c r="Z249" s="24" t="s">
        <v>700</v>
      </c>
      <c r="AA249" s="11" t="s">
        <v>728</v>
      </c>
      <c r="AB249" s="13" t="str">
        <f t="shared" si="161"/>
        <v/>
      </c>
      <c r="AC249" s="11" t="s">
        <v>912</v>
      </c>
      <c r="AD249" s="11" t="str">
        <f t="shared" si="155"/>
        <v/>
      </c>
      <c r="AE249" s="11" t="s">
        <v>1099</v>
      </c>
      <c r="AF249" s="11" t="str">
        <f t="shared" si="156"/>
        <v/>
      </c>
      <c r="AG249" s="11" t="str">
        <f t="shared" si="157"/>
        <v/>
      </c>
      <c r="AH249" s="11" t="str">
        <f t="shared" si="162"/>
        <v/>
      </c>
      <c r="AI249" s="11" t="str">
        <f t="shared" si="150"/>
        <v/>
      </c>
      <c r="AJ249" s="11" t="str">
        <f t="shared" si="158"/>
        <v/>
      </c>
      <c r="AK249" s="11" t="str">
        <f t="shared" si="159"/>
        <v/>
      </c>
      <c r="AN249" s="11" t="s">
        <v>778</v>
      </c>
      <c r="AO249" s="11" t="s">
        <v>1100</v>
      </c>
    </row>
    <row r="250" spans="1:41" ht="31.5">
      <c r="A250" s="11">
        <v>244</v>
      </c>
      <c r="B250" s="11" t="s">
        <v>1091</v>
      </c>
      <c r="C250" s="11" t="s">
        <v>1102</v>
      </c>
      <c r="D250" s="32"/>
      <c r="E250" s="11" t="str">
        <f t="shared" ref="E250" si="184">IF(D250="","Select ...")</f>
        <v>Select ...</v>
      </c>
      <c r="F250" s="11">
        <v>0.75</v>
      </c>
      <c r="G250" s="11">
        <v>0.5</v>
      </c>
      <c r="H250" s="11">
        <f>A237</f>
        <v>231</v>
      </c>
      <c r="I250" s="11">
        <f>A238</f>
        <v>232</v>
      </c>
      <c r="J250" s="11"/>
      <c r="K250" s="11"/>
      <c r="L250" s="11"/>
      <c r="M250" s="11" t="s">
        <v>694</v>
      </c>
      <c r="N250" s="11" t="s">
        <v>781</v>
      </c>
      <c r="O250" s="11" t="s">
        <v>881</v>
      </c>
      <c r="P250" s="11" t="s">
        <v>881</v>
      </c>
      <c r="Q250" s="11" t="s">
        <v>1098</v>
      </c>
      <c r="R250" s="11" t="str">
        <f t="shared" si="138"/>
        <v/>
      </c>
      <c r="S250" s="11" t="str">
        <f t="shared" si="139"/>
        <v/>
      </c>
      <c r="T250" s="11" t="str">
        <f t="shared" si="140"/>
        <v/>
      </c>
      <c r="U250" s="11" t="str">
        <f t="shared" si="141"/>
        <v/>
      </c>
      <c r="V250" s="11" t="str">
        <f t="shared" si="142"/>
        <v/>
      </c>
      <c r="W250" s="11" t="str">
        <f t="shared" ref="W250" si="185">IF($E250="Yes",MAX(R250:V250),"")</f>
        <v/>
      </c>
      <c r="X250" s="11" t="s">
        <v>881</v>
      </c>
      <c r="Y250" s="11" t="str">
        <f>HLOOKUP($X250,Tables_Cat!$B$6:$P$7,2,FALSE)</f>
        <v>Material</v>
      </c>
      <c r="Z250" s="24" t="s">
        <v>700</v>
      </c>
      <c r="AA250" s="11" t="s">
        <v>728</v>
      </c>
      <c r="AB250" s="13" t="str">
        <f t="shared" si="161"/>
        <v/>
      </c>
      <c r="AC250" s="11" t="s">
        <v>912</v>
      </c>
      <c r="AD250" s="11" t="str">
        <f t="shared" si="155"/>
        <v/>
      </c>
      <c r="AE250" s="11" t="s">
        <v>1099</v>
      </c>
      <c r="AF250" s="11" t="str">
        <f t="shared" si="156"/>
        <v/>
      </c>
      <c r="AG250" s="11" t="str">
        <f t="shared" si="157"/>
        <v/>
      </c>
      <c r="AH250" s="11" t="str">
        <f t="shared" si="162"/>
        <v/>
      </c>
      <c r="AI250" s="11" t="str">
        <f t="shared" si="150"/>
        <v/>
      </c>
      <c r="AJ250" s="11" t="str">
        <f t="shared" si="158"/>
        <v/>
      </c>
      <c r="AK250" s="11" t="str">
        <f t="shared" si="159"/>
        <v/>
      </c>
      <c r="AN250" s="11" t="s">
        <v>778</v>
      </c>
      <c r="AO250" s="11" t="s">
        <v>1100</v>
      </c>
    </row>
    <row r="251" spans="1:41" ht="47.25">
      <c r="A251" s="11">
        <v>245</v>
      </c>
      <c r="B251" s="11" t="s">
        <v>1091</v>
      </c>
      <c r="C251" s="11" t="s">
        <v>1103</v>
      </c>
      <c r="D251" s="32"/>
      <c r="E251" s="11" t="s">
        <v>3</v>
      </c>
      <c r="F251" s="11">
        <v>0.5</v>
      </c>
      <c r="G251" s="11">
        <v>0.25</v>
      </c>
      <c r="H251" s="11">
        <f>A235</f>
        <v>229</v>
      </c>
      <c r="I251" s="11"/>
      <c r="J251" s="11"/>
      <c r="K251" s="11"/>
      <c r="L251" s="11"/>
      <c r="M251" s="11" t="s">
        <v>694</v>
      </c>
      <c r="N251" s="11" t="s">
        <v>781</v>
      </c>
      <c r="O251" s="11" t="s">
        <v>881</v>
      </c>
      <c r="P251" s="11" t="s">
        <v>881</v>
      </c>
      <c r="Q251" s="11" t="s">
        <v>1098</v>
      </c>
      <c r="R251" s="11">
        <f t="shared" si="138"/>
        <v>16.259999999999998</v>
      </c>
      <c r="S251" s="11" t="str">
        <f t="shared" si="139"/>
        <v/>
      </c>
      <c r="T251" s="11" t="str">
        <f t="shared" si="140"/>
        <v/>
      </c>
      <c r="U251" s="11" t="str">
        <f t="shared" si="141"/>
        <v/>
      </c>
      <c r="V251" s="11" t="str">
        <f t="shared" si="142"/>
        <v/>
      </c>
      <c r="W251" s="11">
        <f t="shared" si="102"/>
        <v>16.259999999999998</v>
      </c>
      <c r="X251" s="11" t="s">
        <v>881</v>
      </c>
      <c r="Y251" s="11" t="str">
        <f>HLOOKUP($X251,Tables_Cat!$B$6:$P$7,2,FALSE)</f>
        <v>Material</v>
      </c>
      <c r="Z251" s="24" t="s">
        <v>700</v>
      </c>
      <c r="AA251" s="11" t="s">
        <v>728</v>
      </c>
      <c r="AB251" s="13">
        <f t="shared" si="161"/>
        <v>0.5</v>
      </c>
      <c r="AC251" s="11" t="s">
        <v>912</v>
      </c>
      <c r="AD251" s="11">
        <f t="shared" si="155"/>
        <v>0.5</v>
      </c>
      <c r="AE251" s="11" t="s">
        <v>1099</v>
      </c>
      <c r="AF251" s="11">
        <f t="shared" si="156"/>
        <v>8.129999999999999</v>
      </c>
      <c r="AG251" s="11">
        <f t="shared" si="157"/>
        <v>132.19379999999998</v>
      </c>
      <c r="AH251" s="11">
        <f t="shared" si="162"/>
        <v>4</v>
      </c>
      <c r="AI251" s="11">
        <f t="shared" si="150"/>
        <v>0</v>
      </c>
      <c r="AJ251" s="11">
        <f t="shared" si="158"/>
        <v>4.0649999999999995</v>
      </c>
      <c r="AK251" s="11">
        <f t="shared" si="159"/>
        <v>66.096899999999991</v>
      </c>
      <c r="AN251" s="11" t="s">
        <v>778</v>
      </c>
      <c r="AO251" s="11" t="s">
        <v>1100</v>
      </c>
    </row>
    <row r="252" spans="1:41" ht="47.25">
      <c r="A252" s="11">
        <v>246</v>
      </c>
      <c r="B252" s="11" t="s">
        <v>1091</v>
      </c>
      <c r="C252" s="11" t="s">
        <v>1104</v>
      </c>
      <c r="D252" s="32"/>
      <c r="E252" s="11" t="s">
        <v>4</v>
      </c>
      <c r="F252" s="11">
        <v>0.5</v>
      </c>
      <c r="G252" s="11">
        <v>0.25</v>
      </c>
      <c r="H252" s="11">
        <f>A236</f>
        <v>230</v>
      </c>
      <c r="I252" s="11"/>
      <c r="J252" s="11"/>
      <c r="K252" s="11"/>
      <c r="L252" s="11"/>
      <c r="M252" s="11" t="s">
        <v>694</v>
      </c>
      <c r="N252" s="11" t="s">
        <v>781</v>
      </c>
      <c r="O252" s="11" t="s">
        <v>881</v>
      </c>
      <c r="P252" s="11" t="s">
        <v>881</v>
      </c>
      <c r="Q252" s="11" t="s">
        <v>1098</v>
      </c>
      <c r="R252" s="11" t="str">
        <f t="shared" si="138"/>
        <v/>
      </c>
      <c r="S252" s="11" t="str">
        <f t="shared" si="139"/>
        <v/>
      </c>
      <c r="T252" s="11" t="str">
        <f t="shared" si="140"/>
        <v/>
      </c>
      <c r="U252" s="11" t="str">
        <f t="shared" si="141"/>
        <v/>
      </c>
      <c r="V252" s="11" t="str">
        <f t="shared" si="142"/>
        <v/>
      </c>
      <c r="W252" s="11" t="str">
        <f t="shared" ref="W252" si="186">IF($E252="Yes",MAX(R252:V252),"")</f>
        <v/>
      </c>
      <c r="X252" s="11" t="s">
        <v>881</v>
      </c>
      <c r="Y252" s="11" t="str">
        <f>HLOOKUP($X252,Tables_Cat!$B$6:$P$7,2,FALSE)</f>
        <v>Material</v>
      </c>
      <c r="Z252" s="24" t="s">
        <v>700</v>
      </c>
      <c r="AA252" s="11" t="s">
        <v>728</v>
      </c>
      <c r="AB252" s="13" t="str">
        <f t="shared" si="161"/>
        <v/>
      </c>
      <c r="AC252" s="11" t="s">
        <v>912</v>
      </c>
      <c r="AD252" s="11" t="str">
        <f t="shared" si="155"/>
        <v/>
      </c>
      <c r="AE252" s="11" t="s">
        <v>1099</v>
      </c>
      <c r="AF252" s="11" t="str">
        <f t="shared" si="156"/>
        <v/>
      </c>
      <c r="AG252" s="11" t="str">
        <f t="shared" si="157"/>
        <v/>
      </c>
      <c r="AH252" s="11" t="str">
        <f t="shared" si="162"/>
        <v/>
      </c>
      <c r="AI252" s="11" t="str">
        <f t="shared" si="150"/>
        <v/>
      </c>
      <c r="AJ252" s="11" t="str">
        <f t="shared" si="158"/>
        <v/>
      </c>
      <c r="AK252" s="11" t="str">
        <f t="shared" si="159"/>
        <v/>
      </c>
      <c r="AN252" s="11" t="s">
        <v>778</v>
      </c>
      <c r="AO252" s="11" t="s">
        <v>1100</v>
      </c>
    </row>
    <row r="253" spans="1:41" ht="47.25">
      <c r="A253" s="11">
        <v>247</v>
      </c>
      <c r="B253" s="11" t="s">
        <v>1091</v>
      </c>
      <c r="C253" s="11" t="s">
        <v>1105</v>
      </c>
      <c r="D253" s="32"/>
      <c r="E253" s="11" t="s">
        <v>4</v>
      </c>
      <c r="F253" s="11">
        <v>0.5</v>
      </c>
      <c r="G253" s="11">
        <v>0.25</v>
      </c>
      <c r="H253" s="11">
        <f>A237</f>
        <v>231</v>
      </c>
      <c r="I253" s="11"/>
      <c r="J253" s="11"/>
      <c r="K253" s="11"/>
      <c r="L253" s="11"/>
      <c r="M253" s="11" t="s">
        <v>694</v>
      </c>
      <c r="N253" s="11" t="s">
        <v>781</v>
      </c>
      <c r="O253" s="11" t="s">
        <v>881</v>
      </c>
      <c r="P253" s="11" t="s">
        <v>881</v>
      </c>
      <c r="Q253" s="11" t="s">
        <v>1098</v>
      </c>
      <c r="R253" s="11" t="str">
        <f t="shared" si="138"/>
        <v/>
      </c>
      <c r="S253" s="11" t="str">
        <f t="shared" si="139"/>
        <v/>
      </c>
      <c r="T253" s="11" t="str">
        <f t="shared" si="140"/>
        <v/>
      </c>
      <c r="U253" s="11" t="str">
        <f t="shared" si="141"/>
        <v/>
      </c>
      <c r="V253" s="11" t="str">
        <f t="shared" si="142"/>
        <v/>
      </c>
      <c r="W253" s="11" t="str">
        <f t="shared" ref="W253" si="187">IF($E253="Yes",MAX(R253:V253),"")</f>
        <v/>
      </c>
      <c r="X253" s="11" t="s">
        <v>881</v>
      </c>
      <c r="Y253" s="11" t="str">
        <f>HLOOKUP($X253,Tables_Cat!$B$6:$P$7,2,FALSE)</f>
        <v>Material</v>
      </c>
      <c r="Z253" s="24" t="s">
        <v>700</v>
      </c>
      <c r="AA253" s="11" t="s">
        <v>728</v>
      </c>
      <c r="AB253" s="13" t="str">
        <f t="shared" si="161"/>
        <v/>
      </c>
      <c r="AC253" s="11" t="s">
        <v>912</v>
      </c>
      <c r="AD253" s="11" t="str">
        <f t="shared" si="155"/>
        <v/>
      </c>
      <c r="AE253" s="11" t="s">
        <v>1099</v>
      </c>
      <c r="AF253" s="11" t="str">
        <f t="shared" si="156"/>
        <v/>
      </c>
      <c r="AG253" s="11" t="str">
        <f t="shared" si="157"/>
        <v/>
      </c>
      <c r="AH253" s="11" t="str">
        <f t="shared" si="162"/>
        <v/>
      </c>
      <c r="AI253" s="11" t="str">
        <f t="shared" si="150"/>
        <v/>
      </c>
      <c r="AJ253" s="11" t="str">
        <f t="shared" si="158"/>
        <v/>
      </c>
      <c r="AK253" s="11" t="str">
        <f t="shared" si="159"/>
        <v/>
      </c>
      <c r="AN253" s="11" t="s">
        <v>778</v>
      </c>
      <c r="AO253" s="11" t="s">
        <v>1100</v>
      </c>
    </row>
    <row r="254" spans="1:41" ht="47.25">
      <c r="A254" s="11">
        <v>248</v>
      </c>
      <c r="B254" s="11" t="s">
        <v>876</v>
      </c>
      <c r="C254" s="11" t="s">
        <v>1106</v>
      </c>
      <c r="D254" s="32"/>
      <c r="E254" s="11" t="str">
        <f t="shared" ref="E254" si="188">IF(D254="","Select ...")</f>
        <v>Select ...</v>
      </c>
      <c r="F254" s="11">
        <v>0.5</v>
      </c>
      <c r="G254" s="11">
        <v>0</v>
      </c>
      <c r="H254" s="11">
        <f>A235</f>
        <v>229</v>
      </c>
      <c r="I254" s="11"/>
      <c r="J254" s="11"/>
      <c r="K254" s="11"/>
      <c r="L254" s="11"/>
      <c r="M254" s="11" t="s">
        <v>750</v>
      </c>
      <c r="N254" s="11" t="s">
        <v>763</v>
      </c>
      <c r="O254" s="11" t="s">
        <v>464</v>
      </c>
      <c r="P254" s="11" t="s">
        <v>464</v>
      </c>
      <c r="Q254" s="11" t="s">
        <v>1107</v>
      </c>
      <c r="R254" s="11" t="str">
        <f t="shared" si="138"/>
        <v/>
      </c>
      <c r="S254" s="11" t="str">
        <f t="shared" si="139"/>
        <v/>
      </c>
      <c r="T254" s="11" t="str">
        <f t="shared" si="140"/>
        <v/>
      </c>
      <c r="U254" s="11" t="str">
        <f t="shared" si="141"/>
        <v/>
      </c>
      <c r="V254" s="11" t="str">
        <f t="shared" si="142"/>
        <v/>
      </c>
      <c r="W254" s="11" t="str">
        <f t="shared" ref="W254" si="189">IF($E254="Yes",MAX(R254:V254),"")</f>
        <v/>
      </c>
      <c r="X254" s="11" t="s">
        <v>759</v>
      </c>
      <c r="Y254" s="11" t="str">
        <f>HLOOKUP($X254,Tables_Cat!$B$6:$P$7,2,FALSE)</f>
        <v>Information</v>
      </c>
      <c r="Z254" s="24" t="s">
        <v>793</v>
      </c>
      <c r="AA254" s="11" t="s">
        <v>765</v>
      </c>
      <c r="AB254" s="13" t="str">
        <f t="shared" si="161"/>
        <v/>
      </c>
      <c r="AC254" s="11" t="s">
        <v>702</v>
      </c>
      <c r="AD254" s="11" t="str">
        <f t="shared" si="155"/>
        <v/>
      </c>
      <c r="AE254" s="11" t="s">
        <v>878</v>
      </c>
      <c r="AF254" s="11" t="str">
        <f t="shared" si="156"/>
        <v/>
      </c>
      <c r="AG254" s="11" t="str">
        <f t="shared" si="157"/>
        <v/>
      </c>
      <c r="AH254" s="11" t="str">
        <f t="shared" si="162"/>
        <v/>
      </c>
      <c r="AI254" s="11" t="str">
        <f t="shared" si="150"/>
        <v/>
      </c>
      <c r="AJ254" s="11" t="str">
        <f t="shared" si="158"/>
        <v/>
      </c>
      <c r="AK254" s="11" t="str">
        <f t="shared" si="159"/>
        <v/>
      </c>
      <c r="AN254" s="11" t="s">
        <v>879</v>
      </c>
      <c r="AO254" s="11" t="s">
        <v>761</v>
      </c>
    </row>
    <row r="255" spans="1:41" ht="47.25">
      <c r="A255" s="11">
        <v>249</v>
      </c>
      <c r="B255" s="11" t="s">
        <v>1091</v>
      </c>
      <c r="C255" s="11" t="s">
        <v>1108</v>
      </c>
      <c r="D255" s="32"/>
      <c r="E255" s="11" t="str">
        <f t="shared" si="136"/>
        <v>Select ...</v>
      </c>
      <c r="F255" s="11">
        <v>0.5</v>
      </c>
      <c r="G255" s="11">
        <v>0</v>
      </c>
      <c r="H255" s="11">
        <f>A236</f>
        <v>230</v>
      </c>
      <c r="I255" s="11"/>
      <c r="J255" s="11"/>
      <c r="K255" s="11"/>
      <c r="L255" s="11"/>
      <c r="M255" s="11" t="s">
        <v>694</v>
      </c>
      <c r="N255" s="11" t="s">
        <v>781</v>
      </c>
      <c r="O255" s="11" t="s">
        <v>881</v>
      </c>
      <c r="P255" s="11" t="s">
        <v>881</v>
      </c>
      <c r="Q255" s="11" t="s">
        <v>1107</v>
      </c>
      <c r="R255" s="11" t="str">
        <f t="shared" si="138"/>
        <v/>
      </c>
      <c r="S255" s="11" t="str">
        <f t="shared" si="139"/>
        <v/>
      </c>
      <c r="T255" s="11" t="str">
        <f t="shared" si="140"/>
        <v/>
      </c>
      <c r="U255" s="11" t="str">
        <f t="shared" si="141"/>
        <v/>
      </c>
      <c r="V255" s="11" t="str">
        <f t="shared" si="142"/>
        <v/>
      </c>
      <c r="W255" s="11" t="str">
        <f t="shared" si="102"/>
        <v/>
      </c>
      <c r="X255" s="11" t="s">
        <v>881</v>
      </c>
      <c r="Y255" s="11" t="str">
        <f>HLOOKUP($X255,Tables_Cat!$B$6:$P$7,2,FALSE)</f>
        <v>Material</v>
      </c>
      <c r="Z255" s="24" t="s">
        <v>793</v>
      </c>
      <c r="AA255" s="11" t="s">
        <v>728</v>
      </c>
      <c r="AB255" s="13" t="str">
        <f t="shared" si="161"/>
        <v/>
      </c>
      <c r="AC255" s="11" t="s">
        <v>912</v>
      </c>
      <c r="AD255" s="11" t="str">
        <f t="shared" si="155"/>
        <v/>
      </c>
      <c r="AE255" s="11" t="s">
        <v>878</v>
      </c>
      <c r="AF255" s="11" t="str">
        <f t="shared" si="156"/>
        <v/>
      </c>
      <c r="AG255" s="11" t="str">
        <f t="shared" si="157"/>
        <v/>
      </c>
      <c r="AH255" s="11" t="str">
        <f t="shared" si="162"/>
        <v/>
      </c>
      <c r="AI255" s="11" t="str">
        <f t="shared" si="150"/>
        <v/>
      </c>
      <c r="AJ255" s="11" t="str">
        <f t="shared" si="158"/>
        <v/>
      </c>
      <c r="AK255" s="11" t="str">
        <f t="shared" si="159"/>
        <v/>
      </c>
      <c r="AN255" s="11" t="s">
        <v>778</v>
      </c>
      <c r="AO255" s="11" t="s">
        <v>1100</v>
      </c>
    </row>
    <row r="256" spans="1:41" ht="47.25">
      <c r="A256" s="11">
        <v>250</v>
      </c>
      <c r="B256" s="11" t="s">
        <v>1091</v>
      </c>
      <c r="C256" s="11" t="s">
        <v>1109</v>
      </c>
      <c r="D256" s="32"/>
      <c r="E256" s="11" t="str">
        <f t="shared" ref="E256" si="190">IF(D256="","Select ...")</f>
        <v>Select ...</v>
      </c>
      <c r="F256" s="11">
        <v>0.5</v>
      </c>
      <c r="G256" s="11">
        <v>0</v>
      </c>
      <c r="H256" s="11">
        <f>A237</f>
        <v>231</v>
      </c>
      <c r="I256" s="11"/>
      <c r="J256" s="11"/>
      <c r="K256" s="11"/>
      <c r="L256" s="11"/>
      <c r="M256" s="11" t="s">
        <v>694</v>
      </c>
      <c r="N256" s="11" t="s">
        <v>781</v>
      </c>
      <c r="O256" s="11" t="s">
        <v>881</v>
      </c>
      <c r="P256" s="11" t="s">
        <v>881</v>
      </c>
      <c r="Q256" s="11" t="s">
        <v>1107</v>
      </c>
      <c r="R256" s="11" t="str">
        <f t="shared" si="138"/>
        <v/>
      </c>
      <c r="S256" s="11" t="str">
        <f t="shared" si="139"/>
        <v/>
      </c>
      <c r="T256" s="11" t="str">
        <f t="shared" si="140"/>
        <v/>
      </c>
      <c r="U256" s="11" t="str">
        <f t="shared" si="141"/>
        <v/>
      </c>
      <c r="V256" s="11" t="str">
        <f t="shared" si="142"/>
        <v/>
      </c>
      <c r="W256" s="11" t="str">
        <f t="shared" ref="W256" si="191">IF($E256="Yes",MAX(R256:V256),"")</f>
        <v/>
      </c>
      <c r="X256" s="11" t="s">
        <v>881</v>
      </c>
      <c r="Y256" s="11" t="str">
        <f>HLOOKUP($X256,Tables_Cat!$B$6:$P$7,2,FALSE)</f>
        <v>Material</v>
      </c>
      <c r="Z256" s="24" t="s">
        <v>793</v>
      </c>
      <c r="AA256" s="11" t="s">
        <v>728</v>
      </c>
      <c r="AB256" s="13" t="str">
        <f t="shared" si="161"/>
        <v/>
      </c>
      <c r="AC256" s="11" t="s">
        <v>912</v>
      </c>
      <c r="AD256" s="11" t="str">
        <f t="shared" si="155"/>
        <v/>
      </c>
      <c r="AE256" s="11" t="s">
        <v>878</v>
      </c>
      <c r="AF256" s="11" t="str">
        <f t="shared" si="156"/>
        <v/>
      </c>
      <c r="AG256" s="11" t="str">
        <f t="shared" si="157"/>
        <v/>
      </c>
      <c r="AH256" s="11" t="str">
        <f t="shared" si="162"/>
        <v/>
      </c>
      <c r="AI256" s="11" t="str">
        <f t="shared" si="150"/>
        <v/>
      </c>
      <c r="AJ256" s="11" t="str">
        <f t="shared" si="158"/>
        <v/>
      </c>
      <c r="AK256" s="11" t="str">
        <f t="shared" si="159"/>
        <v/>
      </c>
      <c r="AN256" s="11" t="s">
        <v>778</v>
      </c>
      <c r="AO256" s="11" t="s">
        <v>1100</v>
      </c>
    </row>
    <row r="257" spans="1:41" ht="47.25">
      <c r="A257" s="11">
        <v>251</v>
      </c>
      <c r="B257" s="11" t="s">
        <v>1091</v>
      </c>
      <c r="C257" s="11" t="s">
        <v>1110</v>
      </c>
      <c r="D257" s="32"/>
      <c r="E257" s="11" t="str">
        <f t="shared" ref="E257" si="192">IF(D257="","Select ...")</f>
        <v>Select ...</v>
      </c>
      <c r="F257" s="11">
        <v>0.5</v>
      </c>
      <c r="G257" s="11">
        <v>0</v>
      </c>
      <c r="H257" s="11">
        <f>A238</f>
        <v>232</v>
      </c>
      <c r="I257" s="11"/>
      <c r="J257" s="11"/>
      <c r="K257" s="11"/>
      <c r="L257" s="11"/>
      <c r="M257" s="11" t="s">
        <v>694</v>
      </c>
      <c r="N257" s="11" t="s">
        <v>781</v>
      </c>
      <c r="O257" s="11" t="s">
        <v>881</v>
      </c>
      <c r="P257" s="11" t="s">
        <v>881</v>
      </c>
      <c r="Q257" s="11" t="s">
        <v>1107</v>
      </c>
      <c r="R257" s="11" t="str">
        <f t="shared" si="138"/>
        <v/>
      </c>
      <c r="S257" s="11" t="str">
        <f t="shared" si="139"/>
        <v/>
      </c>
      <c r="T257" s="11" t="str">
        <f t="shared" si="140"/>
        <v/>
      </c>
      <c r="U257" s="11" t="str">
        <f t="shared" si="141"/>
        <v/>
      </c>
      <c r="V257" s="11" t="str">
        <f t="shared" si="142"/>
        <v/>
      </c>
      <c r="W257" s="11" t="str">
        <f t="shared" ref="W257:W260" si="193">IF($E257="Yes",MAX(R257:V257),"")</f>
        <v/>
      </c>
      <c r="X257" s="11" t="s">
        <v>881</v>
      </c>
      <c r="Y257" s="11" t="str">
        <f>HLOOKUP($X257,Tables_Cat!$B$6:$P$7,2,FALSE)</f>
        <v>Material</v>
      </c>
      <c r="Z257" s="24" t="s">
        <v>793</v>
      </c>
      <c r="AA257" s="11" t="s">
        <v>728</v>
      </c>
      <c r="AB257" s="13" t="str">
        <f t="shared" si="161"/>
        <v/>
      </c>
      <c r="AC257" s="11" t="s">
        <v>912</v>
      </c>
      <c r="AD257" s="11" t="str">
        <f t="shared" si="155"/>
        <v/>
      </c>
      <c r="AE257" s="11" t="s">
        <v>878</v>
      </c>
      <c r="AF257" s="11" t="str">
        <f t="shared" si="156"/>
        <v/>
      </c>
      <c r="AG257" s="11" t="str">
        <f t="shared" si="157"/>
        <v/>
      </c>
      <c r="AH257" s="11" t="str">
        <f t="shared" si="162"/>
        <v/>
      </c>
      <c r="AI257" s="11" t="str">
        <f t="shared" si="150"/>
        <v/>
      </c>
      <c r="AJ257" s="11" t="str">
        <f t="shared" si="158"/>
        <v/>
      </c>
      <c r="AK257" s="11" t="str">
        <f t="shared" si="159"/>
        <v/>
      </c>
      <c r="AN257" s="11" t="s">
        <v>778</v>
      </c>
      <c r="AO257" s="11" t="s">
        <v>1100</v>
      </c>
    </row>
    <row r="258" spans="1:41" ht="31.5">
      <c r="A258" s="11">
        <v>252</v>
      </c>
      <c r="B258" s="11" t="s">
        <v>718</v>
      </c>
      <c r="C258" s="11" t="s">
        <v>1111</v>
      </c>
      <c r="D258" s="32"/>
      <c r="E258" s="11" t="s">
        <v>4</v>
      </c>
      <c r="F258" s="11">
        <v>3</v>
      </c>
      <c r="G258" s="11">
        <v>2</v>
      </c>
      <c r="H258" s="11">
        <v>1</v>
      </c>
      <c r="I258" s="11"/>
      <c r="J258" s="11"/>
      <c r="K258" s="11"/>
      <c r="L258" s="11"/>
      <c r="M258" s="11" t="s">
        <v>694</v>
      </c>
      <c r="N258" s="11" t="s">
        <v>720</v>
      </c>
      <c r="O258" s="11" t="s">
        <v>1070</v>
      </c>
      <c r="P258" s="11" t="s">
        <v>1112</v>
      </c>
      <c r="Q258" s="11" t="s">
        <v>758</v>
      </c>
      <c r="R258" s="11" t="str">
        <f t="shared" si="138"/>
        <v/>
      </c>
      <c r="S258" s="11" t="str">
        <f t="shared" si="139"/>
        <v/>
      </c>
      <c r="T258" s="11" t="str">
        <f t="shared" si="140"/>
        <v/>
      </c>
      <c r="U258" s="11" t="str">
        <f t="shared" si="141"/>
        <v/>
      </c>
      <c r="V258" s="11" t="str">
        <f t="shared" si="142"/>
        <v/>
      </c>
      <c r="W258" s="11" t="str">
        <f t="shared" ref="W258:W259" si="194">IF($E258="Yes",MAX(R258:V258),"")</f>
        <v/>
      </c>
      <c r="X258" s="11" t="s">
        <v>911</v>
      </c>
      <c r="Y258" s="11" t="str">
        <f>HLOOKUP($X258,Tables_Cat!$B$6:$P$7,2,FALSE)</f>
        <v>Material</v>
      </c>
      <c r="Z258" s="24" t="s">
        <v>709</v>
      </c>
      <c r="AA258" s="11" t="s">
        <v>728</v>
      </c>
      <c r="AB258" s="13" t="str">
        <f t="shared" si="161"/>
        <v/>
      </c>
      <c r="AC258" s="11" t="s">
        <v>912</v>
      </c>
      <c r="AD258" s="11" t="str">
        <f t="shared" si="155"/>
        <v/>
      </c>
      <c r="AE258" s="11" t="s">
        <v>760</v>
      </c>
      <c r="AF258" s="11" t="str">
        <f t="shared" si="156"/>
        <v/>
      </c>
      <c r="AG258" s="11" t="str">
        <f t="shared" si="157"/>
        <v/>
      </c>
      <c r="AH258" s="11" t="str">
        <f t="shared" si="162"/>
        <v/>
      </c>
      <c r="AI258" s="11" t="str">
        <f t="shared" si="150"/>
        <v/>
      </c>
      <c r="AJ258" s="11" t="str">
        <f t="shared" si="158"/>
        <v/>
      </c>
      <c r="AK258" s="11" t="str">
        <f t="shared" si="159"/>
        <v/>
      </c>
      <c r="AN258" s="11" t="s">
        <v>722</v>
      </c>
      <c r="AO258" s="11" t="s">
        <v>982</v>
      </c>
    </row>
    <row r="259" spans="1:41" ht="47.25">
      <c r="A259" s="11">
        <v>253</v>
      </c>
      <c r="B259" s="11" t="s">
        <v>718</v>
      </c>
      <c r="C259" s="11" t="s">
        <v>1113</v>
      </c>
      <c r="D259" s="32"/>
      <c r="E259" s="11" t="s">
        <v>4</v>
      </c>
      <c r="F259" s="11">
        <v>3</v>
      </c>
      <c r="G259" s="11">
        <v>2</v>
      </c>
      <c r="H259" s="11">
        <v>1</v>
      </c>
      <c r="I259" s="11"/>
      <c r="J259" s="11"/>
      <c r="K259" s="11"/>
      <c r="L259" s="11"/>
      <c r="M259" s="11" t="s">
        <v>694</v>
      </c>
      <c r="N259" s="11" t="s">
        <v>720</v>
      </c>
      <c r="O259" s="11" t="s">
        <v>1070</v>
      </c>
      <c r="P259" s="11" t="s">
        <v>1112</v>
      </c>
      <c r="Q259" s="11" t="s">
        <v>1107</v>
      </c>
      <c r="R259" s="11" t="str">
        <f t="shared" si="138"/>
        <v/>
      </c>
      <c r="S259" s="11" t="str">
        <f t="shared" si="139"/>
        <v/>
      </c>
      <c r="T259" s="11" t="str">
        <f t="shared" si="140"/>
        <v/>
      </c>
      <c r="U259" s="11" t="str">
        <f t="shared" si="141"/>
        <v/>
      </c>
      <c r="V259" s="11" t="str">
        <f t="shared" si="142"/>
        <v/>
      </c>
      <c r="W259" s="11" t="str">
        <f t="shared" si="194"/>
        <v/>
      </c>
      <c r="X259" s="11" t="s">
        <v>911</v>
      </c>
      <c r="Y259" s="11" t="str">
        <f>HLOOKUP($X259,Tables_Cat!$B$6:$P$7,2,FALSE)</f>
        <v>Material</v>
      </c>
      <c r="Z259" s="24" t="s">
        <v>793</v>
      </c>
      <c r="AA259" s="11" t="s">
        <v>728</v>
      </c>
      <c r="AB259" s="13" t="str">
        <f t="shared" si="161"/>
        <v/>
      </c>
      <c r="AC259" s="11" t="s">
        <v>912</v>
      </c>
      <c r="AD259" s="11" t="str">
        <f t="shared" si="155"/>
        <v/>
      </c>
      <c r="AE259" s="11" t="s">
        <v>878</v>
      </c>
      <c r="AF259" s="11" t="str">
        <f t="shared" si="156"/>
        <v/>
      </c>
      <c r="AG259" s="11" t="str">
        <f t="shared" si="157"/>
        <v/>
      </c>
      <c r="AH259" s="11" t="str">
        <f t="shared" si="162"/>
        <v/>
      </c>
      <c r="AI259" s="11" t="str">
        <f t="shared" si="150"/>
        <v/>
      </c>
      <c r="AJ259" s="11" t="str">
        <f t="shared" si="158"/>
        <v/>
      </c>
      <c r="AK259" s="11" t="str">
        <f t="shared" si="159"/>
        <v/>
      </c>
      <c r="AN259" s="11" t="s">
        <v>722</v>
      </c>
      <c r="AO259" s="11" t="s">
        <v>982</v>
      </c>
    </row>
    <row r="260" spans="1:41" ht="31.5">
      <c r="A260" s="11">
        <v>254</v>
      </c>
      <c r="B260" s="11" t="s">
        <v>718</v>
      </c>
      <c r="C260" s="11" t="s">
        <v>1114</v>
      </c>
      <c r="D260" s="32"/>
      <c r="E260" s="11" t="s">
        <v>4</v>
      </c>
      <c r="F260" s="11">
        <v>3</v>
      </c>
      <c r="G260" s="11">
        <v>2</v>
      </c>
      <c r="H260" s="11">
        <v>1</v>
      </c>
      <c r="I260" s="11"/>
      <c r="J260" s="11"/>
      <c r="K260" s="11"/>
      <c r="L260" s="11"/>
      <c r="M260" s="11" t="s">
        <v>694</v>
      </c>
      <c r="N260" s="11" t="s">
        <v>720</v>
      </c>
      <c r="O260" s="11" t="s">
        <v>1070</v>
      </c>
      <c r="P260" s="11" t="s">
        <v>1112</v>
      </c>
      <c r="Q260" s="11" t="s">
        <v>758</v>
      </c>
      <c r="R260" s="11" t="str">
        <f t="shared" si="138"/>
        <v/>
      </c>
      <c r="S260" s="11" t="str">
        <f t="shared" si="139"/>
        <v/>
      </c>
      <c r="T260" s="11" t="str">
        <f t="shared" si="140"/>
        <v/>
      </c>
      <c r="U260" s="11" t="str">
        <f t="shared" si="141"/>
        <v/>
      </c>
      <c r="V260" s="11" t="str">
        <f t="shared" si="142"/>
        <v/>
      </c>
      <c r="W260" s="11" t="str">
        <f t="shared" si="193"/>
        <v/>
      </c>
      <c r="X260" s="11" t="s">
        <v>911</v>
      </c>
      <c r="Y260" s="11" t="str">
        <f>HLOOKUP($X260,Tables_Cat!$B$6:$P$7,2,FALSE)</f>
        <v>Material</v>
      </c>
      <c r="Z260" s="24" t="s">
        <v>709</v>
      </c>
      <c r="AA260" s="11" t="s">
        <v>728</v>
      </c>
      <c r="AB260" s="13" t="str">
        <f t="shared" si="161"/>
        <v/>
      </c>
      <c r="AC260" s="11" t="s">
        <v>912</v>
      </c>
      <c r="AD260" s="11" t="str">
        <f t="shared" si="155"/>
        <v/>
      </c>
      <c r="AE260" s="11" t="s">
        <v>760</v>
      </c>
      <c r="AF260" s="11" t="str">
        <f t="shared" si="156"/>
        <v/>
      </c>
      <c r="AG260" s="11" t="str">
        <f t="shared" si="157"/>
        <v/>
      </c>
      <c r="AH260" s="11" t="str">
        <f t="shared" si="162"/>
        <v/>
      </c>
      <c r="AI260" s="11" t="str">
        <f t="shared" si="150"/>
        <v/>
      </c>
      <c r="AJ260" s="11" t="str">
        <f t="shared" si="158"/>
        <v/>
      </c>
      <c r="AK260" s="11" t="str">
        <f t="shared" si="159"/>
        <v/>
      </c>
      <c r="AN260" s="11" t="s">
        <v>722</v>
      </c>
      <c r="AO260" s="11" t="s">
        <v>982</v>
      </c>
    </row>
    <row r="261" spans="1:41" ht="47.25">
      <c r="A261" s="11">
        <v>255</v>
      </c>
      <c r="B261" s="11" t="s">
        <v>718</v>
      </c>
      <c r="C261" s="11" t="s">
        <v>1115</v>
      </c>
      <c r="D261" s="32"/>
      <c r="E261" s="11" t="s">
        <v>4</v>
      </c>
      <c r="F261" s="11">
        <v>3</v>
      </c>
      <c r="G261" s="11">
        <v>2</v>
      </c>
      <c r="H261" s="11">
        <v>1</v>
      </c>
      <c r="I261" s="11"/>
      <c r="J261" s="11"/>
      <c r="K261" s="11"/>
      <c r="L261" s="11"/>
      <c r="M261" s="11" t="s">
        <v>694</v>
      </c>
      <c r="N261" s="11" t="s">
        <v>720</v>
      </c>
      <c r="O261" s="11" t="s">
        <v>1070</v>
      </c>
      <c r="P261" s="11" t="s">
        <v>1112</v>
      </c>
      <c r="Q261" s="11" t="s">
        <v>1107</v>
      </c>
      <c r="R261" s="11" t="str">
        <f t="shared" si="138"/>
        <v/>
      </c>
      <c r="S261" s="11" t="str">
        <f t="shared" si="139"/>
        <v/>
      </c>
      <c r="T261" s="11" t="str">
        <f t="shared" si="140"/>
        <v/>
      </c>
      <c r="U261" s="11" t="str">
        <f t="shared" si="141"/>
        <v/>
      </c>
      <c r="V261" s="11" t="str">
        <f t="shared" si="142"/>
        <v/>
      </c>
      <c r="W261" s="11" t="str">
        <f t="shared" ref="W261" si="195">IF($E261="Yes",MAX(R261:V261),"")</f>
        <v/>
      </c>
      <c r="X261" s="11" t="s">
        <v>911</v>
      </c>
      <c r="Y261" s="11" t="str">
        <f>HLOOKUP($X261,Tables_Cat!$B$6:$P$7,2,FALSE)</f>
        <v>Material</v>
      </c>
      <c r="Z261" s="24" t="s">
        <v>793</v>
      </c>
      <c r="AA261" s="11" t="s">
        <v>728</v>
      </c>
      <c r="AB261" s="13" t="str">
        <f t="shared" si="161"/>
        <v/>
      </c>
      <c r="AC261" s="11" t="s">
        <v>912</v>
      </c>
      <c r="AD261" s="11" t="str">
        <f t="shared" si="155"/>
        <v/>
      </c>
      <c r="AE261" s="11" t="s">
        <v>878</v>
      </c>
      <c r="AF261" s="11" t="str">
        <f t="shared" si="156"/>
        <v/>
      </c>
      <c r="AG261" s="11" t="str">
        <f t="shared" si="157"/>
        <v/>
      </c>
      <c r="AH261" s="11" t="str">
        <f t="shared" si="162"/>
        <v/>
      </c>
      <c r="AI261" s="11" t="str">
        <f t="shared" si="150"/>
        <v/>
      </c>
      <c r="AJ261" s="11" t="str">
        <f t="shared" si="158"/>
        <v/>
      </c>
      <c r="AK261" s="11" t="str">
        <f t="shared" si="159"/>
        <v/>
      </c>
      <c r="AN261" s="11" t="s">
        <v>722</v>
      </c>
      <c r="AO261" s="11" t="s">
        <v>982</v>
      </c>
    </row>
    <row r="262" spans="1:41" ht="31.5">
      <c r="A262" s="11">
        <v>256</v>
      </c>
      <c r="B262" s="11" t="s">
        <v>1091</v>
      </c>
      <c r="C262" s="11" t="s">
        <v>1116</v>
      </c>
      <c r="D262" s="32"/>
      <c r="E262" s="11" t="str">
        <f t="shared" si="136"/>
        <v>Select ...</v>
      </c>
      <c r="F262" s="11">
        <v>0.5</v>
      </c>
      <c r="G262" s="11">
        <v>0.5</v>
      </c>
      <c r="H262" s="11">
        <f>A248</f>
        <v>242</v>
      </c>
      <c r="I262" s="11">
        <f>A251</f>
        <v>245</v>
      </c>
      <c r="J262" s="11">
        <f>A255</f>
        <v>249</v>
      </c>
      <c r="K262" s="11">
        <f>A263</f>
        <v>257</v>
      </c>
      <c r="L262" s="11">
        <f>A264</f>
        <v>258</v>
      </c>
      <c r="M262" s="11" t="s">
        <v>694</v>
      </c>
      <c r="N262" s="11" t="s">
        <v>781</v>
      </c>
      <c r="O262" s="11" t="s">
        <v>881</v>
      </c>
      <c r="P262" s="11" t="s">
        <v>764</v>
      </c>
      <c r="Q262" s="11" t="s">
        <v>758</v>
      </c>
      <c r="R262" s="11" t="str">
        <f t="shared" si="138"/>
        <v/>
      </c>
      <c r="S262" s="11" t="str">
        <f t="shared" si="139"/>
        <v/>
      </c>
      <c r="T262" s="11" t="str">
        <f t="shared" si="140"/>
        <v/>
      </c>
      <c r="U262" s="11" t="str">
        <f t="shared" si="141"/>
        <v/>
      </c>
      <c r="V262" s="11" t="str">
        <f t="shared" si="142"/>
        <v/>
      </c>
      <c r="W262" s="11" t="str">
        <f t="shared" si="102"/>
        <v/>
      </c>
      <c r="X262" s="11" t="s">
        <v>741</v>
      </c>
      <c r="Y262" s="11" t="str">
        <f>HLOOKUP($X262,Tables_Cat!$B$6:$P$7,2,FALSE)</f>
        <v>Material</v>
      </c>
      <c r="Z262" s="24" t="s">
        <v>709</v>
      </c>
      <c r="AA262" s="11" t="s">
        <v>728</v>
      </c>
      <c r="AB262" s="13" t="str">
        <f t="shared" si="161"/>
        <v/>
      </c>
      <c r="AC262" s="11" t="s">
        <v>912</v>
      </c>
      <c r="AD262" s="11" t="str">
        <f t="shared" si="155"/>
        <v/>
      </c>
      <c r="AE262" s="11" t="s">
        <v>760</v>
      </c>
      <c r="AF262" s="11" t="str">
        <f t="shared" si="156"/>
        <v/>
      </c>
      <c r="AG262" s="11" t="str">
        <f t="shared" si="157"/>
        <v/>
      </c>
      <c r="AH262" s="11" t="str">
        <f t="shared" si="162"/>
        <v/>
      </c>
      <c r="AI262" s="11" t="str">
        <f t="shared" si="150"/>
        <v/>
      </c>
      <c r="AJ262" s="11" t="str">
        <f t="shared" si="158"/>
        <v/>
      </c>
      <c r="AK262" s="11" t="str">
        <f t="shared" si="159"/>
        <v/>
      </c>
      <c r="AN262" s="11" t="s">
        <v>778</v>
      </c>
      <c r="AO262" s="11" t="s">
        <v>766</v>
      </c>
    </row>
    <row r="263" spans="1:41" ht="31.5">
      <c r="A263" s="11">
        <v>257</v>
      </c>
      <c r="B263" s="11" t="s">
        <v>1091</v>
      </c>
      <c r="C263" s="11" t="s">
        <v>1117</v>
      </c>
      <c r="D263" s="32"/>
      <c r="E263" s="11" t="str">
        <f t="shared" si="136"/>
        <v>Select ...</v>
      </c>
      <c r="F263" s="11">
        <v>1</v>
      </c>
      <c r="G263" s="11">
        <v>1</v>
      </c>
      <c r="H263" s="11">
        <f>A235</f>
        <v>229</v>
      </c>
      <c r="I263" s="11">
        <f>A236</f>
        <v>230</v>
      </c>
      <c r="J263" s="11"/>
      <c r="K263" s="11"/>
      <c r="L263" s="11"/>
      <c r="M263" s="11" t="s">
        <v>694</v>
      </c>
      <c r="N263" s="11" t="s">
        <v>781</v>
      </c>
      <c r="O263" s="11" t="s">
        <v>881</v>
      </c>
      <c r="P263" s="11" t="s">
        <v>1006</v>
      </c>
      <c r="Q263" s="11" t="s">
        <v>1118</v>
      </c>
      <c r="R263" s="11" t="str">
        <f t="shared" ref="R263:R326" si="196">IF(OR(H263="INIT",H263&gt;0),IF(AND($E263="Yes",VLOOKUP(H263,$A$6:$E$461,5,FALSE)="Yes"),VLOOKUP(H263,$A$6:$W$461,23,FALSE)+VLOOKUP(H263,$A$6:$F$461,6,FALSE),""),"")</f>
        <v/>
      </c>
      <c r="S263" s="11" t="str">
        <f t="shared" ref="S263:S326" si="197">IF(OR(I263="INIT",I263&gt;0),IF(AND($E263="Yes",VLOOKUP(I263,$A$6:$E$461,5,FALSE)="Yes"),VLOOKUP(I263,$A$6:$W$461,23,FALSE)+VLOOKUP(I263,$A$6:$F$461,6,FALSE),""),"")</f>
        <v/>
      </c>
      <c r="T263" s="11" t="str">
        <f t="shared" ref="T263:T326" si="198">IF(OR(J263="INIT",J263&gt;0),IF(AND($E263="Yes",VLOOKUP(J263,$A$6:$E$461,5,FALSE)="Yes"),VLOOKUP(J263,$A$6:$W$461,23,FALSE)+VLOOKUP(J263,$A$6:$F$461,6,FALSE),""),"")</f>
        <v/>
      </c>
      <c r="U263" s="11" t="str">
        <f t="shared" ref="U263:U326" si="199">IF(OR(K263="INIT",K263&gt;0),IF(AND($E263="Yes",VLOOKUP(K263,$A$6:$E$461,5,FALSE)="Yes"),VLOOKUP(K263,$A$6:$W$461,23,FALSE)+VLOOKUP(K263,$A$6:$F$461,6,FALSE),""),"")</f>
        <v/>
      </c>
      <c r="V263" s="11" t="str">
        <f t="shared" ref="V263:V326" si="200">IF(OR(L263="INIT",L263&gt;0),IF(AND($E263="Yes",VLOOKUP(L263,$A$6:$E$461,5,FALSE)="Yes"),VLOOKUP(L263,$A$6:$W$461,23,FALSE)+VLOOKUP(L263,$A$6:$F$461,6,FALSE),""),"")</f>
        <v/>
      </c>
      <c r="W263" s="11" t="str">
        <f t="shared" si="102"/>
        <v/>
      </c>
      <c r="X263" s="11" t="s">
        <v>1007</v>
      </c>
      <c r="Y263" s="11" t="str">
        <f>HLOOKUP($X263,Tables_Cat!$B$6:$P$7,2,FALSE)</f>
        <v>Information</v>
      </c>
      <c r="Z263" s="24" t="s">
        <v>700</v>
      </c>
      <c r="AA263" s="11" t="s">
        <v>728</v>
      </c>
      <c r="AB263" s="13" t="str">
        <f t="shared" si="161"/>
        <v/>
      </c>
      <c r="AC263" s="11" t="s">
        <v>1008</v>
      </c>
      <c r="AD263" s="11" t="str">
        <f t="shared" si="155"/>
        <v/>
      </c>
      <c r="AE263" s="11" t="s">
        <v>1119</v>
      </c>
      <c r="AF263" s="11" t="str">
        <f t="shared" si="156"/>
        <v/>
      </c>
      <c r="AG263" s="11" t="str">
        <f t="shared" si="157"/>
        <v/>
      </c>
      <c r="AH263" s="11" t="str">
        <f t="shared" si="162"/>
        <v/>
      </c>
      <c r="AI263" s="11" t="str">
        <f t="shared" si="150"/>
        <v/>
      </c>
      <c r="AJ263" s="11" t="str">
        <f t="shared" si="158"/>
        <v/>
      </c>
      <c r="AK263" s="11" t="str">
        <f t="shared" si="159"/>
        <v/>
      </c>
      <c r="AN263" s="11" t="s">
        <v>1120</v>
      </c>
      <c r="AO263" s="11" t="s">
        <v>1009</v>
      </c>
    </row>
    <row r="264" spans="1:41" ht="31.5">
      <c r="A264" s="11">
        <v>258</v>
      </c>
      <c r="B264" s="11" t="s">
        <v>1091</v>
      </c>
      <c r="C264" s="11" t="s">
        <v>1121</v>
      </c>
      <c r="D264" s="32"/>
      <c r="E264" s="11" t="s">
        <v>3</v>
      </c>
      <c r="F264" s="11">
        <v>0.5</v>
      </c>
      <c r="G264" s="11">
        <v>0.25</v>
      </c>
      <c r="H264" s="11">
        <f>A235</f>
        <v>229</v>
      </c>
      <c r="I264" s="11"/>
      <c r="J264" s="11"/>
      <c r="K264" s="11"/>
      <c r="L264" s="11"/>
      <c r="M264" s="11" t="s">
        <v>694</v>
      </c>
      <c r="N264" s="11" t="s">
        <v>781</v>
      </c>
      <c r="O264" s="11" t="s">
        <v>881</v>
      </c>
      <c r="P264" s="11" t="s">
        <v>1006</v>
      </c>
      <c r="Q264" s="11" t="s">
        <v>1118</v>
      </c>
      <c r="R264" s="11">
        <f t="shared" si="196"/>
        <v>16.259999999999998</v>
      </c>
      <c r="S264" s="11" t="str">
        <f t="shared" si="197"/>
        <v/>
      </c>
      <c r="T264" s="11" t="str">
        <f t="shared" si="198"/>
        <v/>
      </c>
      <c r="U264" s="11" t="str">
        <f t="shared" si="199"/>
        <v/>
      </c>
      <c r="V264" s="11" t="str">
        <f t="shared" si="200"/>
        <v/>
      </c>
      <c r="W264" s="11">
        <f t="shared" si="102"/>
        <v>16.259999999999998</v>
      </c>
      <c r="X264" s="11" t="s">
        <v>1007</v>
      </c>
      <c r="Y264" s="11" t="str">
        <f>HLOOKUP($X264,Tables_Cat!$B$6:$P$7,2,FALSE)</f>
        <v>Information</v>
      </c>
      <c r="Z264" s="24" t="s">
        <v>700</v>
      </c>
      <c r="AA264" s="11" t="s">
        <v>728</v>
      </c>
      <c r="AB264" s="13">
        <f t="shared" si="161"/>
        <v>0.5</v>
      </c>
      <c r="AC264" s="11" t="s">
        <v>1008</v>
      </c>
      <c r="AD264" s="11">
        <f t="shared" si="155"/>
        <v>0.5</v>
      </c>
      <c r="AE264" s="11" t="s">
        <v>1119</v>
      </c>
      <c r="AF264" s="11">
        <f t="shared" si="156"/>
        <v>8.129999999999999</v>
      </c>
      <c r="AG264" s="11">
        <f t="shared" si="157"/>
        <v>132.19379999999998</v>
      </c>
      <c r="AH264" s="11">
        <f t="shared" si="162"/>
        <v>4</v>
      </c>
      <c r="AI264" s="11">
        <f t="shared" si="150"/>
        <v>0</v>
      </c>
      <c r="AJ264" s="11">
        <f t="shared" si="158"/>
        <v>4.0649999999999995</v>
      </c>
      <c r="AK264" s="11">
        <f t="shared" si="159"/>
        <v>66.096899999999991</v>
      </c>
      <c r="AN264" s="11" t="s">
        <v>1120</v>
      </c>
      <c r="AO264" s="11" t="s">
        <v>1009</v>
      </c>
    </row>
    <row r="265" spans="1:41" ht="31.5">
      <c r="A265" s="11">
        <v>259</v>
      </c>
      <c r="B265" s="11" t="s">
        <v>1091</v>
      </c>
      <c r="C265" s="11" t="s">
        <v>1122</v>
      </c>
      <c r="D265" s="32"/>
      <c r="E265" s="11" t="str">
        <f t="shared" ref="E265" si="201">IF(D265="","Select ...")</f>
        <v>Select ...</v>
      </c>
      <c r="F265" s="11">
        <v>1</v>
      </c>
      <c r="G265" s="11">
        <v>1</v>
      </c>
      <c r="H265" s="11">
        <f>A237</f>
        <v>231</v>
      </c>
      <c r="I265" s="11">
        <f>A238</f>
        <v>232</v>
      </c>
      <c r="J265" s="11"/>
      <c r="K265" s="11"/>
      <c r="L265" s="11"/>
      <c r="M265" s="11" t="s">
        <v>694</v>
      </c>
      <c r="N265" s="11" t="s">
        <v>781</v>
      </c>
      <c r="O265" s="11" t="s">
        <v>881</v>
      </c>
      <c r="P265" s="11" t="s">
        <v>1006</v>
      </c>
      <c r="Q265" s="11" t="s">
        <v>1118</v>
      </c>
      <c r="R265" s="11" t="str">
        <f t="shared" si="196"/>
        <v/>
      </c>
      <c r="S265" s="11" t="str">
        <f t="shared" si="197"/>
        <v/>
      </c>
      <c r="T265" s="11" t="str">
        <f t="shared" si="198"/>
        <v/>
      </c>
      <c r="U265" s="11" t="str">
        <f t="shared" si="199"/>
        <v/>
      </c>
      <c r="V265" s="11" t="str">
        <f t="shared" si="200"/>
        <v/>
      </c>
      <c r="W265" s="11" t="str">
        <f t="shared" ref="W265:W266" si="202">IF($E265="Yes",MAX(R265:V265),"")</f>
        <v/>
      </c>
      <c r="X265" s="11" t="s">
        <v>1007</v>
      </c>
      <c r="Y265" s="11" t="str">
        <f>HLOOKUP($X265,Tables_Cat!$B$6:$P$7,2,FALSE)</f>
        <v>Information</v>
      </c>
      <c r="Z265" s="24" t="s">
        <v>700</v>
      </c>
      <c r="AA265" s="11" t="s">
        <v>728</v>
      </c>
      <c r="AB265" s="13" t="str">
        <f t="shared" si="161"/>
        <v/>
      </c>
      <c r="AC265" s="11" t="s">
        <v>1008</v>
      </c>
      <c r="AD265" s="11" t="str">
        <f t="shared" si="155"/>
        <v/>
      </c>
      <c r="AE265" s="11" t="s">
        <v>1119</v>
      </c>
      <c r="AF265" s="11" t="str">
        <f t="shared" si="156"/>
        <v/>
      </c>
      <c r="AG265" s="11" t="str">
        <f t="shared" si="157"/>
        <v/>
      </c>
      <c r="AH265" s="11" t="str">
        <f t="shared" si="162"/>
        <v/>
      </c>
      <c r="AI265" s="11" t="str">
        <f t="shared" si="150"/>
        <v/>
      </c>
      <c r="AJ265" s="11" t="str">
        <f t="shared" si="158"/>
        <v/>
      </c>
      <c r="AK265" s="11" t="str">
        <f t="shared" si="159"/>
        <v/>
      </c>
      <c r="AN265" s="11" t="s">
        <v>1120</v>
      </c>
      <c r="AO265" s="11" t="s">
        <v>1009</v>
      </c>
    </row>
    <row r="266" spans="1:41" ht="31.5">
      <c r="A266" s="11">
        <v>260</v>
      </c>
      <c r="B266" s="11" t="s">
        <v>1091</v>
      </c>
      <c r="C266" s="11" t="s">
        <v>1123</v>
      </c>
      <c r="D266" s="32"/>
      <c r="E266" s="11" t="s">
        <v>3</v>
      </c>
      <c r="F266" s="11">
        <v>0.5</v>
      </c>
      <c r="G266" s="11">
        <v>0.25</v>
      </c>
      <c r="H266" s="11">
        <f>A238</f>
        <v>232</v>
      </c>
      <c r="I266" s="11"/>
      <c r="J266" s="11"/>
      <c r="K266" s="11"/>
      <c r="L266" s="11"/>
      <c r="M266" s="11" t="s">
        <v>694</v>
      </c>
      <c r="N266" s="11" t="s">
        <v>781</v>
      </c>
      <c r="O266" s="11" t="s">
        <v>881</v>
      </c>
      <c r="P266" s="11" t="s">
        <v>1006</v>
      </c>
      <c r="Q266" s="11" t="s">
        <v>1118</v>
      </c>
      <c r="R266" s="11">
        <f t="shared" si="196"/>
        <v>13.26</v>
      </c>
      <c r="S266" s="11" t="str">
        <f t="shared" si="197"/>
        <v/>
      </c>
      <c r="T266" s="11" t="str">
        <f t="shared" si="198"/>
        <v/>
      </c>
      <c r="U266" s="11" t="str">
        <f t="shared" si="199"/>
        <v/>
      </c>
      <c r="V266" s="11" t="str">
        <f t="shared" si="200"/>
        <v/>
      </c>
      <c r="W266" s="11">
        <f t="shared" si="202"/>
        <v>13.26</v>
      </c>
      <c r="X266" s="11" t="s">
        <v>1007</v>
      </c>
      <c r="Y266" s="11" t="str">
        <f>HLOOKUP($X266,Tables_Cat!$B$6:$P$7,2,FALSE)</f>
        <v>Information</v>
      </c>
      <c r="Z266" s="24" t="s">
        <v>700</v>
      </c>
      <c r="AA266" s="11" t="s">
        <v>728</v>
      </c>
      <c r="AB266" s="13">
        <f t="shared" si="161"/>
        <v>0.5</v>
      </c>
      <c r="AC266" s="11" t="s">
        <v>1008</v>
      </c>
      <c r="AD266" s="11">
        <f t="shared" si="155"/>
        <v>0.5</v>
      </c>
      <c r="AE266" s="11" t="s">
        <v>1119</v>
      </c>
      <c r="AF266" s="11">
        <f t="shared" si="156"/>
        <v>6.63</v>
      </c>
      <c r="AG266" s="11">
        <f t="shared" si="157"/>
        <v>87.913799999999995</v>
      </c>
      <c r="AH266" s="11">
        <f t="shared" si="162"/>
        <v>4</v>
      </c>
      <c r="AI266" s="11">
        <f t="shared" si="150"/>
        <v>0</v>
      </c>
      <c r="AJ266" s="11">
        <f t="shared" si="158"/>
        <v>3.3149999999999999</v>
      </c>
      <c r="AK266" s="11">
        <f t="shared" si="159"/>
        <v>43.956899999999997</v>
      </c>
      <c r="AN266" s="11" t="s">
        <v>1120</v>
      </c>
      <c r="AO266" s="11" t="s">
        <v>1009</v>
      </c>
    </row>
    <row r="267" spans="1:41" ht="31.5">
      <c r="A267" s="11">
        <v>261</v>
      </c>
      <c r="B267" s="11" t="s">
        <v>1091</v>
      </c>
      <c r="C267" s="11" t="s">
        <v>1124</v>
      </c>
      <c r="D267" s="32"/>
      <c r="E267" s="11" t="str">
        <f t="shared" si="136"/>
        <v>Select ...</v>
      </c>
      <c r="F267" s="11">
        <v>1</v>
      </c>
      <c r="G267" s="11">
        <v>1</v>
      </c>
      <c r="H267" s="11">
        <f>A262</f>
        <v>256</v>
      </c>
      <c r="I267" s="11"/>
      <c r="J267" s="11"/>
      <c r="K267" s="11"/>
      <c r="L267" s="11"/>
      <c r="M267" s="11" t="s">
        <v>750</v>
      </c>
      <c r="N267" s="11" t="s">
        <v>735</v>
      </c>
      <c r="O267" s="11" t="s">
        <v>92</v>
      </c>
      <c r="P267" s="11" t="s">
        <v>881</v>
      </c>
      <c r="Q267" s="11" t="s">
        <v>1125</v>
      </c>
      <c r="R267" s="11" t="str">
        <f t="shared" si="196"/>
        <v/>
      </c>
      <c r="S267" s="11" t="str">
        <f t="shared" si="197"/>
        <v/>
      </c>
      <c r="T267" s="11" t="str">
        <f t="shared" si="198"/>
        <v/>
      </c>
      <c r="U267" s="11" t="str">
        <f t="shared" si="199"/>
        <v/>
      </c>
      <c r="V267" s="11" t="str">
        <f t="shared" si="200"/>
        <v/>
      </c>
      <c r="W267" s="11" t="str">
        <f t="shared" si="102"/>
        <v/>
      </c>
      <c r="X267" s="11" t="s">
        <v>881</v>
      </c>
      <c r="Y267" s="11" t="str">
        <f>HLOOKUP($X267,Tables_Cat!$B$6:$P$7,2,FALSE)</f>
        <v>Material</v>
      </c>
      <c r="Z267" s="24" t="s">
        <v>700</v>
      </c>
      <c r="AA267" s="11" t="s">
        <v>728</v>
      </c>
      <c r="AB267" s="13" t="str">
        <f t="shared" si="161"/>
        <v/>
      </c>
      <c r="AC267" s="11" t="s">
        <v>702</v>
      </c>
      <c r="AD267" s="11" t="str">
        <f t="shared" si="155"/>
        <v/>
      </c>
      <c r="AE267" s="11" t="s">
        <v>839</v>
      </c>
      <c r="AF267" s="11" t="str">
        <f t="shared" si="156"/>
        <v/>
      </c>
      <c r="AG267" s="11" t="str">
        <f t="shared" si="157"/>
        <v/>
      </c>
      <c r="AH267" s="11" t="str">
        <f t="shared" si="162"/>
        <v/>
      </c>
      <c r="AI267" s="11" t="str">
        <f t="shared" si="150"/>
        <v/>
      </c>
      <c r="AJ267" s="11" t="str">
        <f t="shared" si="158"/>
        <v/>
      </c>
      <c r="AK267" s="11" t="str">
        <f t="shared" si="159"/>
        <v/>
      </c>
      <c r="AN267" s="11" t="s">
        <v>710</v>
      </c>
      <c r="AO267" s="11" t="s">
        <v>1126</v>
      </c>
    </row>
    <row r="268" spans="1:41" ht="31.5">
      <c r="A268" s="11">
        <v>262</v>
      </c>
      <c r="B268" s="11" t="s">
        <v>1091</v>
      </c>
      <c r="C268" s="11" t="s">
        <v>1127</v>
      </c>
      <c r="D268" s="32"/>
      <c r="E268" s="11" t="str">
        <f t="shared" si="136"/>
        <v>Select ...</v>
      </c>
      <c r="F268" s="11">
        <v>0.5</v>
      </c>
      <c r="G268" s="11">
        <v>0.25</v>
      </c>
      <c r="H268" s="11">
        <f>A262</f>
        <v>256</v>
      </c>
      <c r="I268" s="11"/>
      <c r="J268" s="11"/>
      <c r="K268" s="11"/>
      <c r="L268" s="11"/>
      <c r="M268" s="11" t="s">
        <v>750</v>
      </c>
      <c r="N268" s="11" t="s">
        <v>735</v>
      </c>
      <c r="O268" s="11" t="s">
        <v>92</v>
      </c>
      <c r="P268" s="11" t="s">
        <v>881</v>
      </c>
      <c r="Q268" s="11" t="s">
        <v>1125</v>
      </c>
      <c r="R268" s="11" t="str">
        <f t="shared" si="196"/>
        <v/>
      </c>
      <c r="S268" s="11" t="str">
        <f t="shared" si="197"/>
        <v/>
      </c>
      <c r="T268" s="11" t="str">
        <f t="shared" si="198"/>
        <v/>
      </c>
      <c r="U268" s="11" t="str">
        <f t="shared" si="199"/>
        <v/>
      </c>
      <c r="V268" s="11" t="str">
        <f t="shared" si="200"/>
        <v/>
      </c>
      <c r="W268" s="11" t="str">
        <f t="shared" si="102"/>
        <v/>
      </c>
      <c r="X268" s="11" t="s">
        <v>881</v>
      </c>
      <c r="Y268" s="11" t="str">
        <f>HLOOKUP($X268,Tables_Cat!$B$6:$P$7,2,FALSE)</f>
        <v>Material</v>
      </c>
      <c r="Z268" s="24" t="s">
        <v>793</v>
      </c>
      <c r="AA268" s="11" t="s">
        <v>728</v>
      </c>
      <c r="AB268" s="13" t="str">
        <f t="shared" si="161"/>
        <v/>
      </c>
      <c r="AC268" s="11" t="s">
        <v>702</v>
      </c>
      <c r="AD268" s="11" t="str">
        <f t="shared" si="155"/>
        <v/>
      </c>
      <c r="AE268" s="11" t="s">
        <v>839</v>
      </c>
      <c r="AF268" s="11" t="str">
        <f t="shared" si="156"/>
        <v/>
      </c>
      <c r="AG268" s="11" t="str">
        <f t="shared" si="157"/>
        <v/>
      </c>
      <c r="AH268" s="11" t="str">
        <f t="shared" si="162"/>
        <v/>
      </c>
      <c r="AI268" s="11" t="str">
        <f t="shared" si="150"/>
        <v/>
      </c>
      <c r="AJ268" s="11" t="str">
        <f t="shared" si="158"/>
        <v/>
      </c>
      <c r="AK268" s="11" t="str">
        <f t="shared" si="159"/>
        <v/>
      </c>
      <c r="AN268" s="11" t="s">
        <v>710</v>
      </c>
      <c r="AO268" s="11" t="s">
        <v>1126</v>
      </c>
    </row>
    <row r="269" spans="1:41" ht="31.5">
      <c r="A269" s="11">
        <v>263</v>
      </c>
      <c r="B269" s="11" t="s">
        <v>1091</v>
      </c>
      <c r="C269" s="11" t="s">
        <v>1128</v>
      </c>
      <c r="D269" s="32"/>
      <c r="E269" s="11" t="str">
        <f t="shared" ref="E269:E270" si="203">IF(D269="","Select ...")</f>
        <v>Select ...</v>
      </c>
      <c r="F269" s="11">
        <v>1</v>
      </c>
      <c r="G269" s="11">
        <v>1</v>
      </c>
      <c r="H269" s="11">
        <f>A266</f>
        <v>260</v>
      </c>
      <c r="I269" s="11"/>
      <c r="J269" s="11"/>
      <c r="K269" s="11"/>
      <c r="L269" s="11"/>
      <c r="M269" s="11" t="s">
        <v>750</v>
      </c>
      <c r="N269" s="11" t="s">
        <v>735</v>
      </c>
      <c r="O269" s="11" t="s">
        <v>92</v>
      </c>
      <c r="P269" s="11" t="s">
        <v>881</v>
      </c>
      <c r="Q269" s="11" t="s">
        <v>1125</v>
      </c>
      <c r="R269" s="11" t="str">
        <f t="shared" si="196"/>
        <v/>
      </c>
      <c r="S269" s="11" t="str">
        <f t="shared" si="197"/>
        <v/>
      </c>
      <c r="T269" s="11" t="str">
        <f t="shared" si="198"/>
        <v/>
      </c>
      <c r="U269" s="11" t="str">
        <f t="shared" si="199"/>
        <v/>
      </c>
      <c r="V269" s="11" t="str">
        <f t="shared" si="200"/>
        <v/>
      </c>
      <c r="W269" s="11" t="str">
        <f t="shared" ref="W269:W270" si="204">IF($E269="Yes",MAX(R269:V269),"")</f>
        <v/>
      </c>
      <c r="X269" s="11" t="s">
        <v>727</v>
      </c>
      <c r="Y269" s="11" t="str">
        <f>HLOOKUP($X269,Tables_Cat!$B$6:$P$7,2,FALSE)</f>
        <v>Material</v>
      </c>
      <c r="Z269" s="24" t="s">
        <v>700</v>
      </c>
      <c r="AA269" s="11" t="s">
        <v>728</v>
      </c>
      <c r="AB269" s="13" t="str">
        <f t="shared" si="161"/>
        <v/>
      </c>
      <c r="AC269" s="11" t="s">
        <v>702</v>
      </c>
      <c r="AD269" s="11" t="str">
        <f t="shared" si="155"/>
        <v/>
      </c>
      <c r="AE269" s="11" t="s">
        <v>839</v>
      </c>
      <c r="AF269" s="11" t="str">
        <f t="shared" si="156"/>
        <v/>
      </c>
      <c r="AG269" s="11" t="str">
        <f t="shared" si="157"/>
        <v/>
      </c>
      <c r="AH269" s="11" t="str">
        <f t="shared" si="162"/>
        <v/>
      </c>
      <c r="AI269" s="11" t="str">
        <f t="shared" si="150"/>
        <v/>
      </c>
      <c r="AJ269" s="11" t="str">
        <f t="shared" si="158"/>
        <v/>
      </c>
      <c r="AK269" s="11" t="str">
        <f t="shared" si="159"/>
        <v/>
      </c>
      <c r="AN269" s="11" t="s">
        <v>714</v>
      </c>
      <c r="AO269" s="11" t="s">
        <v>1126</v>
      </c>
    </row>
    <row r="270" spans="1:41" ht="31.5">
      <c r="A270" s="11">
        <v>264</v>
      </c>
      <c r="B270" s="11" t="s">
        <v>1091</v>
      </c>
      <c r="C270" s="11" t="s">
        <v>1129</v>
      </c>
      <c r="D270" s="32"/>
      <c r="E270" s="11" t="str">
        <f t="shared" si="203"/>
        <v>Select ...</v>
      </c>
      <c r="F270" s="11">
        <v>0.5</v>
      </c>
      <c r="G270" s="11">
        <v>0.25</v>
      </c>
      <c r="H270" s="11">
        <f>A266</f>
        <v>260</v>
      </c>
      <c r="I270" s="11"/>
      <c r="J270" s="11"/>
      <c r="K270" s="11"/>
      <c r="L270" s="11"/>
      <c r="M270" s="11" t="s">
        <v>750</v>
      </c>
      <c r="N270" s="11" t="s">
        <v>735</v>
      </c>
      <c r="O270" s="11" t="s">
        <v>92</v>
      </c>
      <c r="P270" s="11" t="s">
        <v>881</v>
      </c>
      <c r="Q270" s="11" t="s">
        <v>1125</v>
      </c>
      <c r="R270" s="11" t="str">
        <f t="shared" si="196"/>
        <v/>
      </c>
      <c r="S270" s="11" t="str">
        <f t="shared" si="197"/>
        <v/>
      </c>
      <c r="T270" s="11" t="str">
        <f t="shared" si="198"/>
        <v/>
      </c>
      <c r="U270" s="11" t="str">
        <f t="shared" si="199"/>
        <v/>
      </c>
      <c r="V270" s="11" t="str">
        <f t="shared" si="200"/>
        <v/>
      </c>
      <c r="W270" s="11" t="str">
        <f t="shared" si="204"/>
        <v/>
      </c>
      <c r="X270" s="11" t="s">
        <v>727</v>
      </c>
      <c r="Y270" s="11" t="str">
        <f>HLOOKUP($X270,Tables_Cat!$B$6:$P$7,2,FALSE)</f>
        <v>Material</v>
      </c>
      <c r="Z270" s="24" t="s">
        <v>793</v>
      </c>
      <c r="AA270" s="11" t="s">
        <v>728</v>
      </c>
      <c r="AB270" s="13" t="str">
        <f t="shared" si="161"/>
        <v/>
      </c>
      <c r="AC270" s="11" t="s">
        <v>702</v>
      </c>
      <c r="AD270" s="11" t="str">
        <f t="shared" si="155"/>
        <v/>
      </c>
      <c r="AE270" s="11" t="s">
        <v>839</v>
      </c>
      <c r="AF270" s="11" t="str">
        <f t="shared" si="156"/>
        <v/>
      </c>
      <c r="AG270" s="11" t="str">
        <f t="shared" si="157"/>
        <v/>
      </c>
      <c r="AH270" s="11" t="str">
        <f t="shared" si="162"/>
        <v/>
      </c>
      <c r="AI270" s="11" t="str">
        <f t="shared" si="150"/>
        <v/>
      </c>
      <c r="AJ270" s="11" t="str">
        <f t="shared" si="158"/>
        <v/>
      </c>
      <c r="AK270" s="11" t="str">
        <f t="shared" si="159"/>
        <v/>
      </c>
      <c r="AN270" s="11" t="s">
        <v>714</v>
      </c>
      <c r="AO270" s="11" t="s">
        <v>1126</v>
      </c>
    </row>
    <row r="271" spans="1:41" ht="31.5">
      <c r="A271" s="11">
        <v>265</v>
      </c>
      <c r="B271" s="11" t="s">
        <v>1091</v>
      </c>
      <c r="C271" s="11" t="s">
        <v>1130</v>
      </c>
      <c r="D271" s="32"/>
      <c r="E271" s="11" t="str">
        <f t="shared" si="136"/>
        <v>Select ...</v>
      </c>
      <c r="F271" s="11">
        <v>0.25</v>
      </c>
      <c r="G271" s="11">
        <v>0.25</v>
      </c>
      <c r="H271" s="11">
        <f>A262</f>
        <v>256</v>
      </c>
      <c r="I271" s="11"/>
      <c r="J271" s="11"/>
      <c r="K271" s="11"/>
      <c r="L271" s="11"/>
      <c r="M271" s="11" t="s">
        <v>694</v>
      </c>
      <c r="N271" s="11" t="s">
        <v>781</v>
      </c>
      <c r="O271" s="11" t="s">
        <v>881</v>
      </c>
      <c r="P271" s="11" t="s">
        <v>464</v>
      </c>
      <c r="Q271" s="11" t="s">
        <v>1028</v>
      </c>
      <c r="R271" s="11" t="str">
        <f t="shared" si="196"/>
        <v/>
      </c>
      <c r="S271" s="11" t="str">
        <f t="shared" si="197"/>
        <v/>
      </c>
      <c r="T271" s="11" t="str">
        <f t="shared" si="198"/>
        <v/>
      </c>
      <c r="U271" s="11" t="str">
        <f t="shared" si="199"/>
        <v/>
      </c>
      <c r="V271" s="11" t="str">
        <f t="shared" si="200"/>
        <v/>
      </c>
      <c r="W271" s="11" t="str">
        <f t="shared" si="102"/>
        <v/>
      </c>
      <c r="X271" s="11" t="s">
        <v>759</v>
      </c>
      <c r="Y271" s="11" t="str">
        <f>HLOOKUP($X271,Tables_Cat!$B$6:$P$7,2,FALSE)</f>
        <v>Information</v>
      </c>
      <c r="Z271" s="24" t="s">
        <v>700</v>
      </c>
      <c r="AA271" s="11" t="s">
        <v>728</v>
      </c>
      <c r="AB271" s="13" t="str">
        <f t="shared" si="161"/>
        <v/>
      </c>
      <c r="AC271" s="11" t="s">
        <v>912</v>
      </c>
      <c r="AD271" s="11" t="str">
        <f t="shared" si="155"/>
        <v/>
      </c>
      <c r="AE271" s="11" t="s">
        <v>1029</v>
      </c>
      <c r="AF271" s="11" t="str">
        <f t="shared" si="156"/>
        <v/>
      </c>
      <c r="AG271" s="11" t="str">
        <f t="shared" si="157"/>
        <v/>
      </c>
      <c r="AH271" s="11" t="str">
        <f t="shared" si="162"/>
        <v/>
      </c>
      <c r="AI271" s="11" t="str">
        <f t="shared" si="150"/>
        <v/>
      </c>
      <c r="AJ271" s="11" t="str">
        <f t="shared" si="158"/>
        <v/>
      </c>
      <c r="AK271" s="11" t="str">
        <f t="shared" si="159"/>
        <v/>
      </c>
      <c r="AN271" s="11" t="s">
        <v>1131</v>
      </c>
      <c r="AO271" s="11" t="s">
        <v>993</v>
      </c>
    </row>
    <row r="272" spans="1:41" ht="47.25">
      <c r="A272" s="11">
        <v>266</v>
      </c>
      <c r="B272" s="11" t="s">
        <v>1091</v>
      </c>
      <c r="C272" s="11" t="s">
        <v>1132</v>
      </c>
      <c r="D272" s="32"/>
      <c r="E272" s="11" t="str">
        <f t="shared" si="136"/>
        <v>Select ...</v>
      </c>
      <c r="F272" s="11">
        <v>0.25</v>
      </c>
      <c r="G272" s="11">
        <v>0</v>
      </c>
      <c r="H272" s="11">
        <f>A262</f>
        <v>256</v>
      </c>
      <c r="I272" s="11"/>
      <c r="J272" s="11"/>
      <c r="K272" s="11"/>
      <c r="L272" s="11"/>
      <c r="M272" s="11" t="s">
        <v>694</v>
      </c>
      <c r="N272" s="11" t="s">
        <v>781</v>
      </c>
      <c r="O272" s="11" t="s">
        <v>881</v>
      </c>
      <c r="P272" s="11" t="s">
        <v>464</v>
      </c>
      <c r="Q272" s="11" t="s">
        <v>1107</v>
      </c>
      <c r="R272" s="11" t="str">
        <f t="shared" si="196"/>
        <v/>
      </c>
      <c r="S272" s="11" t="str">
        <f t="shared" si="197"/>
        <v/>
      </c>
      <c r="T272" s="11" t="str">
        <f t="shared" si="198"/>
        <v/>
      </c>
      <c r="U272" s="11" t="str">
        <f t="shared" si="199"/>
        <v/>
      </c>
      <c r="V272" s="11" t="str">
        <f t="shared" si="200"/>
        <v/>
      </c>
      <c r="W272" s="11" t="str">
        <f t="shared" si="102"/>
        <v/>
      </c>
      <c r="X272" s="11" t="s">
        <v>759</v>
      </c>
      <c r="Y272" s="11" t="str">
        <f>HLOOKUP($X272,Tables_Cat!$B$6:$P$7,2,FALSE)</f>
        <v>Information</v>
      </c>
      <c r="Z272" s="24" t="s">
        <v>793</v>
      </c>
      <c r="AA272" s="11" t="s">
        <v>728</v>
      </c>
      <c r="AB272" s="13" t="str">
        <f t="shared" si="161"/>
        <v/>
      </c>
      <c r="AC272" s="11" t="s">
        <v>912</v>
      </c>
      <c r="AD272" s="11" t="str">
        <f t="shared" si="155"/>
        <v/>
      </c>
      <c r="AE272" s="11" t="s">
        <v>878</v>
      </c>
      <c r="AF272" s="11" t="str">
        <f t="shared" si="156"/>
        <v/>
      </c>
      <c r="AG272" s="11" t="str">
        <f t="shared" si="157"/>
        <v/>
      </c>
      <c r="AH272" s="11" t="str">
        <f t="shared" si="162"/>
        <v/>
      </c>
      <c r="AI272" s="11" t="str">
        <f t="shared" si="150"/>
        <v/>
      </c>
      <c r="AJ272" s="11" t="str">
        <f t="shared" si="158"/>
        <v/>
      </c>
      <c r="AK272" s="11" t="str">
        <f t="shared" si="159"/>
        <v/>
      </c>
      <c r="AN272" s="11" t="s">
        <v>977</v>
      </c>
      <c r="AO272" s="11" t="s">
        <v>993</v>
      </c>
    </row>
    <row r="273" spans="1:41" ht="31.5">
      <c r="A273" s="11">
        <v>267</v>
      </c>
      <c r="B273" s="11" t="s">
        <v>718</v>
      </c>
      <c r="C273" s="11" t="s">
        <v>1133</v>
      </c>
      <c r="D273" s="32"/>
      <c r="E273" s="11" t="s">
        <v>4</v>
      </c>
      <c r="F273" s="11">
        <v>3</v>
      </c>
      <c r="G273" s="11">
        <v>2</v>
      </c>
      <c r="H273" s="11">
        <v>1</v>
      </c>
      <c r="I273" s="11"/>
      <c r="J273" s="11"/>
      <c r="K273" s="11"/>
      <c r="L273" s="11"/>
      <c r="M273" s="11" t="s">
        <v>694</v>
      </c>
      <c r="N273" s="11" t="s">
        <v>720</v>
      </c>
      <c r="O273" s="11" t="s">
        <v>1070</v>
      </c>
      <c r="P273" s="11" t="s">
        <v>464</v>
      </c>
      <c r="Q273" s="11" t="s">
        <v>464</v>
      </c>
      <c r="R273" s="11" t="str">
        <f t="shared" si="196"/>
        <v/>
      </c>
      <c r="S273" s="11" t="str">
        <f t="shared" si="197"/>
        <v/>
      </c>
      <c r="T273" s="11" t="str">
        <f t="shared" si="198"/>
        <v/>
      </c>
      <c r="U273" s="11" t="str">
        <f t="shared" si="199"/>
        <v/>
      </c>
      <c r="V273" s="11" t="str">
        <f t="shared" si="200"/>
        <v/>
      </c>
      <c r="W273" s="11" t="str">
        <f t="shared" si="102"/>
        <v/>
      </c>
      <c r="X273" s="11" t="s">
        <v>759</v>
      </c>
      <c r="Y273" s="11" t="str">
        <f>HLOOKUP($X273,Tables_Cat!$B$6:$P$7,2,FALSE)</f>
        <v>Information</v>
      </c>
      <c r="Z273" s="24" t="s">
        <v>709</v>
      </c>
      <c r="AA273" s="11" t="s">
        <v>728</v>
      </c>
      <c r="AB273" s="13" t="str">
        <f t="shared" si="161"/>
        <v/>
      </c>
      <c r="AC273" s="11" t="s">
        <v>912</v>
      </c>
      <c r="AD273" s="11" t="str">
        <f t="shared" si="155"/>
        <v/>
      </c>
      <c r="AE273" s="11" t="s">
        <v>1029</v>
      </c>
      <c r="AF273" s="11" t="str">
        <f t="shared" si="156"/>
        <v/>
      </c>
      <c r="AG273" s="11" t="str">
        <f t="shared" si="157"/>
        <v/>
      </c>
      <c r="AH273" s="11" t="str">
        <f t="shared" si="162"/>
        <v/>
      </c>
      <c r="AI273" s="11" t="str">
        <f t="shared" si="150"/>
        <v/>
      </c>
      <c r="AJ273" s="11" t="str">
        <f t="shared" si="158"/>
        <v/>
      </c>
      <c r="AK273" s="11" t="str">
        <f t="shared" si="159"/>
        <v/>
      </c>
      <c r="AN273" s="11" t="s">
        <v>722</v>
      </c>
      <c r="AO273" s="11" t="s">
        <v>982</v>
      </c>
    </row>
    <row r="274" spans="1:41" ht="47.25">
      <c r="A274" s="11">
        <v>268</v>
      </c>
      <c r="B274" s="11" t="s">
        <v>718</v>
      </c>
      <c r="C274" s="11" t="s">
        <v>1134</v>
      </c>
      <c r="D274" s="32"/>
      <c r="E274" s="11" t="s">
        <v>4</v>
      </c>
      <c r="F274" s="11">
        <v>3</v>
      </c>
      <c r="G274" s="11">
        <v>2</v>
      </c>
      <c r="H274" s="11">
        <v>1</v>
      </c>
      <c r="I274" s="11"/>
      <c r="J274" s="11"/>
      <c r="K274" s="11"/>
      <c r="L274" s="11"/>
      <c r="M274" s="11" t="s">
        <v>694</v>
      </c>
      <c r="N274" s="11" t="s">
        <v>720</v>
      </c>
      <c r="O274" s="11" t="s">
        <v>1070</v>
      </c>
      <c r="P274" s="11" t="s">
        <v>464</v>
      </c>
      <c r="Q274" s="11" t="s">
        <v>1107</v>
      </c>
      <c r="R274" s="11" t="str">
        <f t="shared" si="196"/>
        <v/>
      </c>
      <c r="S274" s="11" t="str">
        <f t="shared" si="197"/>
        <v/>
      </c>
      <c r="T274" s="11" t="str">
        <f t="shared" si="198"/>
        <v/>
      </c>
      <c r="U274" s="11" t="str">
        <f t="shared" si="199"/>
        <v/>
      </c>
      <c r="V274" s="11" t="str">
        <f t="shared" si="200"/>
        <v/>
      </c>
      <c r="W274" s="11" t="str">
        <f t="shared" ref="W274:W275" si="205">IF($E274="Yes",MAX(R274:V274),"")</f>
        <v/>
      </c>
      <c r="X274" s="11" t="s">
        <v>759</v>
      </c>
      <c r="Y274" s="11" t="str">
        <f>HLOOKUP($X274,Tables_Cat!$B$6:$P$7,2,FALSE)</f>
        <v>Information</v>
      </c>
      <c r="Z274" s="24" t="s">
        <v>793</v>
      </c>
      <c r="AA274" s="11" t="s">
        <v>728</v>
      </c>
      <c r="AB274" s="13" t="str">
        <f t="shared" si="161"/>
        <v/>
      </c>
      <c r="AC274" s="11" t="s">
        <v>912</v>
      </c>
      <c r="AD274" s="11" t="str">
        <f t="shared" si="155"/>
        <v/>
      </c>
      <c r="AE274" s="11" t="s">
        <v>878</v>
      </c>
      <c r="AF274" s="11" t="str">
        <f t="shared" si="156"/>
        <v/>
      </c>
      <c r="AG274" s="11" t="str">
        <f t="shared" si="157"/>
        <v/>
      </c>
      <c r="AH274" s="11" t="str">
        <f t="shared" si="162"/>
        <v/>
      </c>
      <c r="AI274" s="11" t="str">
        <f t="shared" si="150"/>
        <v/>
      </c>
      <c r="AJ274" s="11" t="str">
        <f t="shared" si="158"/>
        <v/>
      </c>
      <c r="AK274" s="11" t="str">
        <f t="shared" si="159"/>
        <v/>
      </c>
      <c r="AN274" s="11" t="s">
        <v>722</v>
      </c>
      <c r="AO274" s="11" t="s">
        <v>982</v>
      </c>
    </row>
    <row r="275" spans="1:41" ht="31.5">
      <c r="A275" s="11">
        <v>269</v>
      </c>
      <c r="B275" s="11" t="s">
        <v>718</v>
      </c>
      <c r="C275" s="11" t="s">
        <v>1135</v>
      </c>
      <c r="D275" s="32"/>
      <c r="E275" s="11" t="s">
        <v>4</v>
      </c>
      <c r="F275" s="11">
        <v>3</v>
      </c>
      <c r="G275" s="11">
        <v>2</v>
      </c>
      <c r="H275" s="11">
        <v>1</v>
      </c>
      <c r="I275" s="11"/>
      <c r="J275" s="11"/>
      <c r="K275" s="11"/>
      <c r="L275" s="11"/>
      <c r="M275" s="11" t="s">
        <v>694</v>
      </c>
      <c r="N275" s="11" t="s">
        <v>720</v>
      </c>
      <c r="O275" s="11" t="s">
        <v>1070</v>
      </c>
      <c r="P275" s="11" t="s">
        <v>464</v>
      </c>
      <c r="Q275" s="11" t="s">
        <v>1136</v>
      </c>
      <c r="R275" s="11" t="str">
        <f t="shared" si="196"/>
        <v/>
      </c>
      <c r="S275" s="11" t="str">
        <f t="shared" si="197"/>
        <v/>
      </c>
      <c r="T275" s="11" t="str">
        <f t="shared" si="198"/>
        <v/>
      </c>
      <c r="U275" s="11" t="str">
        <f t="shared" si="199"/>
        <v/>
      </c>
      <c r="V275" s="11" t="str">
        <f t="shared" si="200"/>
        <v/>
      </c>
      <c r="W275" s="11" t="str">
        <f t="shared" si="205"/>
        <v/>
      </c>
      <c r="X275" s="11" t="s">
        <v>759</v>
      </c>
      <c r="Y275" s="11" t="str">
        <f>HLOOKUP($X275,Tables_Cat!$B$6:$P$7,2,FALSE)</f>
        <v>Information</v>
      </c>
      <c r="Z275" s="24" t="s">
        <v>709</v>
      </c>
      <c r="AA275" s="11" t="s">
        <v>728</v>
      </c>
      <c r="AB275" s="13" t="str">
        <f t="shared" si="161"/>
        <v/>
      </c>
      <c r="AC275" s="11" t="s">
        <v>912</v>
      </c>
      <c r="AD275" s="11" t="str">
        <f t="shared" si="155"/>
        <v/>
      </c>
      <c r="AE275" s="11" t="s">
        <v>824</v>
      </c>
      <c r="AF275" s="11" t="str">
        <f t="shared" si="156"/>
        <v/>
      </c>
      <c r="AG275" s="11" t="str">
        <f t="shared" si="157"/>
        <v/>
      </c>
      <c r="AH275" s="11" t="str">
        <f t="shared" si="162"/>
        <v/>
      </c>
      <c r="AI275" s="11" t="str">
        <f t="shared" si="150"/>
        <v/>
      </c>
      <c r="AJ275" s="11" t="str">
        <f t="shared" si="158"/>
        <v/>
      </c>
      <c r="AK275" s="11" t="str">
        <f t="shared" si="159"/>
        <v/>
      </c>
      <c r="AN275" s="11" t="s">
        <v>722</v>
      </c>
      <c r="AO275" s="11" t="s">
        <v>982</v>
      </c>
    </row>
    <row r="276" spans="1:41" ht="47.25">
      <c r="A276" s="11">
        <v>270</v>
      </c>
      <c r="B276" s="11" t="s">
        <v>718</v>
      </c>
      <c r="C276" s="11" t="s">
        <v>1137</v>
      </c>
      <c r="D276" s="32"/>
      <c r="E276" s="11" t="s">
        <v>4</v>
      </c>
      <c r="F276" s="11">
        <v>3</v>
      </c>
      <c r="G276" s="11">
        <v>2</v>
      </c>
      <c r="H276" s="11">
        <v>1</v>
      </c>
      <c r="I276" s="11"/>
      <c r="J276" s="11"/>
      <c r="K276" s="11"/>
      <c r="L276" s="11"/>
      <c r="M276" s="11" t="s">
        <v>694</v>
      </c>
      <c r="N276" s="11" t="s">
        <v>720</v>
      </c>
      <c r="O276" s="11" t="s">
        <v>1070</v>
      </c>
      <c r="P276" s="11" t="s">
        <v>464</v>
      </c>
      <c r="Q276" s="11" t="s">
        <v>1107</v>
      </c>
      <c r="R276" s="11" t="str">
        <f t="shared" si="196"/>
        <v/>
      </c>
      <c r="S276" s="11" t="str">
        <f t="shared" si="197"/>
        <v/>
      </c>
      <c r="T276" s="11" t="str">
        <f t="shared" si="198"/>
        <v/>
      </c>
      <c r="U276" s="11" t="str">
        <f t="shared" si="199"/>
        <v/>
      </c>
      <c r="V276" s="11" t="str">
        <f t="shared" si="200"/>
        <v/>
      </c>
      <c r="W276" s="11" t="str">
        <f t="shared" ref="W276:W277" si="206">IF($E276="Yes",MAX(R276:V276),"")</f>
        <v/>
      </c>
      <c r="X276" s="11" t="s">
        <v>759</v>
      </c>
      <c r="Y276" s="11" t="str">
        <f>HLOOKUP($X276,Tables_Cat!$B$6:$P$7,2,FALSE)</f>
        <v>Information</v>
      </c>
      <c r="Z276" s="24" t="s">
        <v>793</v>
      </c>
      <c r="AA276" s="11" t="s">
        <v>728</v>
      </c>
      <c r="AB276" s="13" t="str">
        <f t="shared" si="161"/>
        <v/>
      </c>
      <c r="AC276" s="11" t="s">
        <v>912</v>
      </c>
      <c r="AD276" s="11" t="str">
        <f t="shared" si="155"/>
        <v/>
      </c>
      <c r="AE276" s="11" t="s">
        <v>878</v>
      </c>
      <c r="AF276" s="11" t="str">
        <f t="shared" si="156"/>
        <v/>
      </c>
      <c r="AG276" s="11" t="str">
        <f t="shared" si="157"/>
        <v/>
      </c>
      <c r="AH276" s="11" t="str">
        <f t="shared" si="162"/>
        <v/>
      </c>
      <c r="AI276" s="11" t="str">
        <f t="shared" si="150"/>
        <v/>
      </c>
      <c r="AJ276" s="11" t="str">
        <f t="shared" si="158"/>
        <v/>
      </c>
      <c r="AK276" s="11" t="str">
        <f t="shared" si="159"/>
        <v/>
      </c>
      <c r="AN276" s="11" t="s">
        <v>722</v>
      </c>
      <c r="AO276" s="11" t="s">
        <v>982</v>
      </c>
    </row>
    <row r="277" spans="1:41" ht="31.5">
      <c r="A277" s="11">
        <v>271</v>
      </c>
      <c r="B277" s="11" t="s">
        <v>718</v>
      </c>
      <c r="C277" s="11" t="s">
        <v>1138</v>
      </c>
      <c r="D277" s="32"/>
      <c r="E277" s="11" t="s">
        <v>4</v>
      </c>
      <c r="F277" s="11">
        <v>3</v>
      </c>
      <c r="G277" s="11">
        <v>2</v>
      </c>
      <c r="H277" s="11">
        <v>1</v>
      </c>
      <c r="I277" s="11"/>
      <c r="J277" s="11"/>
      <c r="K277" s="11"/>
      <c r="L277" s="11"/>
      <c r="M277" s="11" t="s">
        <v>694</v>
      </c>
      <c r="N277" s="11" t="s">
        <v>720</v>
      </c>
      <c r="O277" s="11" t="s">
        <v>1070</v>
      </c>
      <c r="P277" s="11" t="s">
        <v>464</v>
      </c>
      <c r="Q277" s="11" t="s">
        <v>1136</v>
      </c>
      <c r="R277" s="11" t="str">
        <f t="shared" si="196"/>
        <v/>
      </c>
      <c r="S277" s="11" t="str">
        <f t="shared" si="197"/>
        <v/>
      </c>
      <c r="T277" s="11" t="str">
        <f t="shared" si="198"/>
        <v/>
      </c>
      <c r="U277" s="11" t="str">
        <f t="shared" si="199"/>
        <v/>
      </c>
      <c r="V277" s="11" t="str">
        <f t="shared" si="200"/>
        <v/>
      </c>
      <c r="W277" s="11" t="str">
        <f t="shared" si="206"/>
        <v/>
      </c>
      <c r="X277" s="11" t="s">
        <v>759</v>
      </c>
      <c r="Y277" s="11" t="str">
        <f>HLOOKUP($X277,Tables_Cat!$B$6:$P$7,2,FALSE)</f>
        <v>Information</v>
      </c>
      <c r="Z277" s="24" t="s">
        <v>709</v>
      </c>
      <c r="AA277" s="11" t="s">
        <v>728</v>
      </c>
      <c r="AB277" s="13" t="str">
        <f t="shared" si="161"/>
        <v/>
      </c>
      <c r="AC277" s="11" t="s">
        <v>912</v>
      </c>
      <c r="AD277" s="11" t="str">
        <f t="shared" si="155"/>
        <v/>
      </c>
      <c r="AE277" s="11" t="s">
        <v>824</v>
      </c>
      <c r="AF277" s="11" t="str">
        <f t="shared" si="156"/>
        <v/>
      </c>
      <c r="AG277" s="11" t="str">
        <f t="shared" si="157"/>
        <v/>
      </c>
      <c r="AH277" s="11" t="str">
        <f t="shared" si="162"/>
        <v/>
      </c>
      <c r="AI277" s="11" t="str">
        <f t="shared" si="150"/>
        <v/>
      </c>
      <c r="AJ277" s="11" t="str">
        <f t="shared" si="158"/>
        <v/>
      </c>
      <c r="AK277" s="11" t="str">
        <f t="shared" si="159"/>
        <v/>
      </c>
      <c r="AN277" s="11" t="s">
        <v>722</v>
      </c>
      <c r="AO277" s="11" t="s">
        <v>982</v>
      </c>
    </row>
    <row r="278" spans="1:41" ht="47.25">
      <c r="A278" s="11">
        <v>272</v>
      </c>
      <c r="B278" s="11" t="s">
        <v>718</v>
      </c>
      <c r="C278" s="11" t="s">
        <v>1139</v>
      </c>
      <c r="D278" s="32"/>
      <c r="E278" s="11" t="s">
        <v>4</v>
      </c>
      <c r="F278" s="11">
        <v>3</v>
      </c>
      <c r="G278" s="11">
        <v>2</v>
      </c>
      <c r="H278" s="11">
        <v>1</v>
      </c>
      <c r="I278" s="11"/>
      <c r="J278" s="11"/>
      <c r="K278" s="11"/>
      <c r="L278" s="11"/>
      <c r="M278" s="11" t="s">
        <v>694</v>
      </c>
      <c r="N278" s="11" t="s">
        <v>720</v>
      </c>
      <c r="O278" s="11" t="s">
        <v>1070</v>
      </c>
      <c r="P278" s="11" t="s">
        <v>464</v>
      </c>
      <c r="Q278" s="11" t="s">
        <v>1107</v>
      </c>
      <c r="R278" s="11" t="str">
        <f t="shared" si="196"/>
        <v/>
      </c>
      <c r="S278" s="11" t="str">
        <f t="shared" si="197"/>
        <v/>
      </c>
      <c r="T278" s="11" t="str">
        <f t="shared" si="198"/>
        <v/>
      </c>
      <c r="U278" s="11" t="str">
        <f t="shared" si="199"/>
        <v/>
      </c>
      <c r="V278" s="11" t="str">
        <f t="shared" si="200"/>
        <v/>
      </c>
      <c r="W278" s="11" t="str">
        <f t="shared" ref="W278" si="207">IF($E278="Yes",MAX(R278:V278),"")</f>
        <v/>
      </c>
      <c r="X278" s="11" t="s">
        <v>759</v>
      </c>
      <c r="Y278" s="11" t="str">
        <f>HLOOKUP($X278,Tables_Cat!$B$6:$P$7,2,FALSE)</f>
        <v>Information</v>
      </c>
      <c r="Z278" s="24" t="s">
        <v>793</v>
      </c>
      <c r="AA278" s="11" t="s">
        <v>728</v>
      </c>
      <c r="AB278" s="13" t="str">
        <f t="shared" si="161"/>
        <v/>
      </c>
      <c r="AC278" s="11" t="s">
        <v>912</v>
      </c>
      <c r="AD278" s="11" t="str">
        <f t="shared" si="155"/>
        <v/>
      </c>
      <c r="AE278" s="11" t="s">
        <v>878</v>
      </c>
      <c r="AF278" s="11" t="str">
        <f t="shared" si="156"/>
        <v/>
      </c>
      <c r="AG278" s="11" t="str">
        <f t="shared" si="157"/>
        <v/>
      </c>
      <c r="AH278" s="11" t="str">
        <f t="shared" si="162"/>
        <v/>
      </c>
      <c r="AI278" s="11" t="str">
        <f t="shared" si="150"/>
        <v/>
      </c>
      <c r="AJ278" s="11" t="str">
        <f t="shared" si="158"/>
        <v/>
      </c>
      <c r="AK278" s="11" t="str">
        <f t="shared" si="159"/>
        <v/>
      </c>
      <c r="AN278" s="11" t="s">
        <v>722</v>
      </c>
      <c r="AO278" s="11" t="s">
        <v>982</v>
      </c>
    </row>
    <row r="279" spans="1:41" ht="31.5">
      <c r="A279" s="11">
        <v>273</v>
      </c>
      <c r="B279" s="11" t="s">
        <v>1002</v>
      </c>
      <c r="C279" s="11" t="s">
        <v>1140</v>
      </c>
      <c r="D279" s="32"/>
      <c r="E279" s="11" t="s">
        <v>3</v>
      </c>
      <c r="F279" s="11">
        <v>0.5</v>
      </c>
      <c r="G279" s="11">
        <v>0.25</v>
      </c>
      <c r="H279" s="11">
        <f>A133</f>
        <v>127</v>
      </c>
      <c r="I279" s="11"/>
      <c r="J279" s="11"/>
      <c r="K279" s="11"/>
      <c r="L279" s="11"/>
      <c r="M279" s="11" t="s">
        <v>750</v>
      </c>
      <c r="N279" s="11" t="s">
        <v>787</v>
      </c>
      <c r="O279" s="11" t="s">
        <v>931</v>
      </c>
      <c r="P279" s="11" t="s">
        <v>92</v>
      </c>
      <c r="Q279" s="11" t="s">
        <v>868</v>
      </c>
      <c r="R279" s="11">
        <f t="shared" si="196"/>
        <v>9.75</v>
      </c>
      <c r="S279" s="11" t="str">
        <f t="shared" si="197"/>
        <v/>
      </c>
      <c r="T279" s="11" t="str">
        <f t="shared" si="198"/>
        <v/>
      </c>
      <c r="U279" s="11" t="str">
        <f t="shared" si="199"/>
        <v/>
      </c>
      <c r="V279" s="11" t="str">
        <f t="shared" si="200"/>
        <v/>
      </c>
      <c r="W279" s="11">
        <f t="shared" si="102"/>
        <v>9.75</v>
      </c>
      <c r="X279" s="11" t="s">
        <v>914</v>
      </c>
      <c r="Y279" s="11" t="str">
        <f>HLOOKUP($X279,Tables_Cat!$B$6:$P$7,2,FALSE)</f>
        <v>Information</v>
      </c>
      <c r="Z279" s="24" t="s">
        <v>700</v>
      </c>
      <c r="AA279" s="11" t="s">
        <v>701</v>
      </c>
      <c r="AB279" s="13">
        <f t="shared" si="161"/>
        <v>0.5</v>
      </c>
      <c r="AC279" s="11" t="s">
        <v>702</v>
      </c>
      <c r="AD279" s="11">
        <f t="shared" si="155"/>
        <v>0.5</v>
      </c>
      <c r="AE279" s="11" t="s">
        <v>870</v>
      </c>
      <c r="AF279" s="11">
        <f t="shared" si="156"/>
        <v>4.875</v>
      </c>
      <c r="AG279" s="11">
        <f t="shared" si="157"/>
        <v>47.53125</v>
      </c>
      <c r="AH279" s="11">
        <f t="shared" si="162"/>
        <v>3</v>
      </c>
      <c r="AI279" s="11">
        <f t="shared" si="150"/>
        <v>0</v>
      </c>
      <c r="AJ279" s="11">
        <f t="shared" si="158"/>
        <v>2.4375</v>
      </c>
      <c r="AK279" s="11">
        <f t="shared" si="159"/>
        <v>23.765625</v>
      </c>
      <c r="AN279" s="11" t="s">
        <v>871</v>
      </c>
      <c r="AO279" s="11" t="s">
        <v>918</v>
      </c>
    </row>
    <row r="280" spans="1:41" ht="47.25">
      <c r="A280" s="11">
        <v>274</v>
      </c>
      <c r="B280" s="11" t="s">
        <v>1002</v>
      </c>
      <c r="C280" s="11" t="s">
        <v>1141</v>
      </c>
      <c r="D280" s="32"/>
      <c r="E280" s="11" t="s">
        <v>3</v>
      </c>
      <c r="F280" s="11">
        <v>3</v>
      </c>
      <c r="G280" s="11">
        <v>2.5</v>
      </c>
      <c r="H280" s="11">
        <f>A45</f>
        <v>39</v>
      </c>
      <c r="I280" s="11"/>
      <c r="J280" s="11"/>
      <c r="K280" s="11"/>
      <c r="L280" s="11"/>
      <c r="M280" s="11" t="s">
        <v>694</v>
      </c>
      <c r="N280" s="11" t="s">
        <v>787</v>
      </c>
      <c r="O280" s="11" t="s">
        <v>696</v>
      </c>
      <c r="P280" s="11" t="s">
        <v>791</v>
      </c>
      <c r="Q280" s="11" t="s">
        <v>792</v>
      </c>
      <c r="R280" s="11">
        <f t="shared" si="196"/>
        <v>21</v>
      </c>
      <c r="S280" s="11" t="str">
        <f t="shared" si="197"/>
        <v/>
      </c>
      <c r="T280" s="11" t="str">
        <f t="shared" si="198"/>
        <v/>
      </c>
      <c r="U280" s="11" t="str">
        <f t="shared" si="199"/>
        <v/>
      </c>
      <c r="V280" s="11" t="str">
        <f t="shared" si="200"/>
        <v/>
      </c>
      <c r="W280" s="11">
        <f t="shared" si="102"/>
        <v>21</v>
      </c>
      <c r="X280" s="11" t="s">
        <v>745</v>
      </c>
      <c r="Y280" s="11" t="str">
        <f>HLOOKUP($X280,Tables_Cat!$B$6:$P$7,2,FALSE)</f>
        <v>Information</v>
      </c>
      <c r="Z280" s="24" t="s">
        <v>700</v>
      </c>
      <c r="AA280" s="11" t="s">
        <v>701</v>
      </c>
      <c r="AB280" s="13">
        <f t="shared" si="161"/>
        <v>0.16666666666666666</v>
      </c>
      <c r="AC280" s="11" t="s">
        <v>702</v>
      </c>
      <c r="AD280" s="11">
        <f t="shared" si="155"/>
        <v>0.16666666666666666</v>
      </c>
      <c r="AE280" s="11" t="s">
        <v>794</v>
      </c>
      <c r="AF280" s="11">
        <f t="shared" si="156"/>
        <v>63</v>
      </c>
      <c r="AG280" s="11">
        <f t="shared" si="157"/>
        <v>1323</v>
      </c>
      <c r="AH280" s="11">
        <f t="shared" si="162"/>
        <v>3</v>
      </c>
      <c r="AI280" s="11">
        <f t="shared" si="150"/>
        <v>0</v>
      </c>
      <c r="AJ280" s="11">
        <f t="shared" si="158"/>
        <v>52.5</v>
      </c>
      <c r="AK280" s="11">
        <f t="shared" si="159"/>
        <v>1102.5</v>
      </c>
      <c r="AN280" s="11" t="s">
        <v>1142</v>
      </c>
      <c r="AO280" s="11" t="s">
        <v>789</v>
      </c>
    </row>
    <row r="281" spans="1:41" ht="47.25">
      <c r="A281" s="11">
        <v>275</v>
      </c>
      <c r="B281" s="11" t="s">
        <v>1002</v>
      </c>
      <c r="C281" s="11" t="s">
        <v>1143</v>
      </c>
      <c r="D281" s="32"/>
      <c r="E281" s="11" t="str">
        <f t="shared" si="136"/>
        <v>Select ...</v>
      </c>
      <c r="F281" s="11">
        <v>2</v>
      </c>
      <c r="G281" s="11">
        <v>1.5</v>
      </c>
      <c r="H281" s="11">
        <f>A33</f>
        <v>27</v>
      </c>
      <c r="I281" s="11">
        <f>A45</f>
        <v>39</v>
      </c>
      <c r="J281" s="11"/>
      <c r="K281" s="11"/>
      <c r="L281" s="11"/>
      <c r="M281" s="11" t="s">
        <v>694</v>
      </c>
      <c r="N281" s="11" t="s">
        <v>787</v>
      </c>
      <c r="O281" s="11" t="s">
        <v>696</v>
      </c>
      <c r="P281" s="11" t="s">
        <v>791</v>
      </c>
      <c r="Q281" s="11" t="s">
        <v>792</v>
      </c>
      <c r="R281" s="11" t="str">
        <f t="shared" si="196"/>
        <v/>
      </c>
      <c r="S281" s="11" t="str">
        <f t="shared" si="197"/>
        <v/>
      </c>
      <c r="T281" s="11" t="str">
        <f t="shared" si="198"/>
        <v/>
      </c>
      <c r="U281" s="11" t="str">
        <f t="shared" si="199"/>
        <v/>
      </c>
      <c r="V281" s="11" t="str">
        <f t="shared" si="200"/>
        <v/>
      </c>
      <c r="W281" s="11" t="str">
        <f t="shared" si="102"/>
        <v/>
      </c>
      <c r="X281" s="11" t="s">
        <v>745</v>
      </c>
      <c r="Y281" s="11" t="str">
        <f>HLOOKUP($X281,Tables_Cat!$B$6:$P$7,2,FALSE)</f>
        <v>Information</v>
      </c>
      <c r="Z281" s="24" t="s">
        <v>700</v>
      </c>
      <c r="AA281" s="11" t="s">
        <v>701</v>
      </c>
      <c r="AB281" s="13" t="str">
        <f t="shared" si="161"/>
        <v/>
      </c>
      <c r="AC281" s="11" t="s">
        <v>702</v>
      </c>
      <c r="AD281" s="11" t="str">
        <f t="shared" si="155"/>
        <v/>
      </c>
      <c r="AE281" s="11" t="s">
        <v>794</v>
      </c>
      <c r="AF281" s="11" t="str">
        <f t="shared" si="156"/>
        <v/>
      </c>
      <c r="AG281" s="11" t="str">
        <f t="shared" si="157"/>
        <v/>
      </c>
      <c r="AH281" s="11" t="str">
        <f t="shared" si="162"/>
        <v/>
      </c>
      <c r="AI281" s="11" t="str">
        <f t="shared" si="150"/>
        <v/>
      </c>
      <c r="AJ281" s="11" t="str">
        <f t="shared" si="158"/>
        <v/>
      </c>
      <c r="AK281" s="11" t="str">
        <f t="shared" si="159"/>
        <v/>
      </c>
      <c r="AN281" s="11" t="s">
        <v>1142</v>
      </c>
      <c r="AO281" s="11" t="s">
        <v>789</v>
      </c>
    </row>
    <row r="282" spans="1:41" ht="47.25">
      <c r="A282" s="11">
        <v>276</v>
      </c>
      <c r="B282" s="11" t="s">
        <v>1002</v>
      </c>
      <c r="C282" s="11" t="s">
        <v>1144</v>
      </c>
      <c r="D282" s="32"/>
      <c r="E282" s="11" t="str">
        <f t="shared" si="136"/>
        <v>Select ...</v>
      </c>
      <c r="F282" s="11">
        <v>2</v>
      </c>
      <c r="G282" s="11">
        <v>1</v>
      </c>
      <c r="H282" s="11">
        <f>A46</f>
        <v>40</v>
      </c>
      <c r="I282" s="11">
        <f>A52</f>
        <v>46</v>
      </c>
      <c r="J282" s="11"/>
      <c r="K282" s="11"/>
      <c r="L282" s="11"/>
      <c r="M282" s="11" t="s">
        <v>694</v>
      </c>
      <c r="N282" s="11" t="s">
        <v>787</v>
      </c>
      <c r="O282" s="11" t="s">
        <v>791</v>
      </c>
      <c r="P282" s="11" t="s">
        <v>800</v>
      </c>
      <c r="Q282" s="11" t="s">
        <v>792</v>
      </c>
      <c r="R282" s="11" t="str">
        <f t="shared" si="196"/>
        <v/>
      </c>
      <c r="S282" s="11" t="str">
        <f t="shared" si="197"/>
        <v/>
      </c>
      <c r="T282" s="11" t="str">
        <f t="shared" si="198"/>
        <v/>
      </c>
      <c r="U282" s="11" t="str">
        <f t="shared" si="199"/>
        <v/>
      </c>
      <c r="V282" s="11" t="str">
        <f t="shared" si="200"/>
        <v/>
      </c>
      <c r="W282" s="11" t="str">
        <f t="shared" si="102"/>
        <v/>
      </c>
      <c r="X282" s="11" t="s">
        <v>801</v>
      </c>
      <c r="Y282" s="11" t="str">
        <f>HLOOKUP($X282,Tables_Cat!$B$6:$P$7,2,FALSE)</f>
        <v>Material</v>
      </c>
      <c r="Z282" s="24" t="s">
        <v>700</v>
      </c>
      <c r="AA282" s="11" t="s">
        <v>728</v>
      </c>
      <c r="AB282" s="13" t="str">
        <f t="shared" si="161"/>
        <v/>
      </c>
      <c r="AC282" s="11" t="s">
        <v>702</v>
      </c>
      <c r="AD282" s="11" t="str">
        <f t="shared" si="155"/>
        <v/>
      </c>
      <c r="AE282" s="11" t="s">
        <v>794</v>
      </c>
      <c r="AF282" s="11" t="str">
        <f t="shared" si="156"/>
        <v/>
      </c>
      <c r="AG282" s="11" t="str">
        <f t="shared" si="157"/>
        <v/>
      </c>
      <c r="AH282" s="11" t="str">
        <f t="shared" si="162"/>
        <v/>
      </c>
      <c r="AI282" s="11" t="str">
        <f t="shared" si="150"/>
        <v/>
      </c>
      <c r="AJ282" s="11" t="str">
        <f t="shared" si="158"/>
        <v/>
      </c>
      <c r="AK282" s="11" t="str">
        <f t="shared" si="159"/>
        <v/>
      </c>
      <c r="AN282" s="11" t="s">
        <v>800</v>
      </c>
      <c r="AO282" s="11" t="s">
        <v>789</v>
      </c>
    </row>
    <row r="283" spans="1:41" ht="47.25">
      <c r="A283" s="11">
        <v>277</v>
      </c>
      <c r="B283" s="11" t="s">
        <v>1002</v>
      </c>
      <c r="C283" s="11" t="s">
        <v>1145</v>
      </c>
      <c r="D283" s="32"/>
      <c r="E283" s="11" t="str">
        <f t="shared" si="136"/>
        <v>Select ...</v>
      </c>
      <c r="F283" s="11">
        <v>1.5</v>
      </c>
      <c r="G283" s="11">
        <v>0.5</v>
      </c>
      <c r="H283" s="11">
        <f>A45</f>
        <v>39</v>
      </c>
      <c r="I283" s="11">
        <f>A46</f>
        <v>40</v>
      </c>
      <c r="J283" s="11">
        <f>A48</f>
        <v>42</v>
      </c>
      <c r="K283" s="11">
        <f>A54</f>
        <v>48</v>
      </c>
      <c r="L283" s="11"/>
      <c r="M283" s="11" t="s">
        <v>694</v>
      </c>
      <c r="N283" s="11" t="s">
        <v>787</v>
      </c>
      <c r="O283" s="11" t="s">
        <v>696</v>
      </c>
      <c r="P283" s="11" t="s">
        <v>791</v>
      </c>
      <c r="Q283" s="11" t="s">
        <v>792</v>
      </c>
      <c r="R283" s="11" t="str">
        <f t="shared" si="196"/>
        <v/>
      </c>
      <c r="S283" s="11" t="str">
        <f t="shared" si="197"/>
        <v/>
      </c>
      <c r="T283" s="11" t="str">
        <f t="shared" si="198"/>
        <v/>
      </c>
      <c r="U283" s="11" t="str">
        <f t="shared" si="199"/>
        <v/>
      </c>
      <c r="V283" s="11" t="str">
        <f t="shared" si="200"/>
        <v/>
      </c>
      <c r="W283" s="11" t="str">
        <f t="shared" si="102"/>
        <v/>
      </c>
      <c r="X283" s="11" t="s">
        <v>745</v>
      </c>
      <c r="Y283" s="11" t="str">
        <f>HLOOKUP($X283,Tables_Cat!$B$6:$P$7,2,FALSE)</f>
        <v>Information</v>
      </c>
      <c r="Z283" s="24" t="s">
        <v>700</v>
      </c>
      <c r="AA283" s="11" t="s">
        <v>701</v>
      </c>
      <c r="AB283" s="13" t="str">
        <f t="shared" si="161"/>
        <v/>
      </c>
      <c r="AC283" s="11" t="s">
        <v>702</v>
      </c>
      <c r="AD283" s="11" t="str">
        <f t="shared" si="155"/>
        <v/>
      </c>
      <c r="AE283" s="11" t="s">
        <v>794</v>
      </c>
      <c r="AF283" s="11" t="str">
        <f t="shared" si="156"/>
        <v/>
      </c>
      <c r="AG283" s="11" t="str">
        <f t="shared" si="157"/>
        <v/>
      </c>
      <c r="AH283" s="11" t="str">
        <f t="shared" si="162"/>
        <v/>
      </c>
      <c r="AI283" s="11" t="str">
        <f t="shared" si="150"/>
        <v/>
      </c>
      <c r="AJ283" s="11" t="str">
        <f t="shared" si="158"/>
        <v/>
      </c>
      <c r="AK283" s="11" t="str">
        <f t="shared" si="159"/>
        <v/>
      </c>
      <c r="AN283" s="11" t="s">
        <v>1142</v>
      </c>
      <c r="AO283" s="11" t="s">
        <v>789</v>
      </c>
    </row>
    <row r="284" spans="1:41" ht="47.25">
      <c r="A284" s="11">
        <v>278</v>
      </c>
      <c r="B284" s="11" t="s">
        <v>1002</v>
      </c>
      <c r="C284" s="11" t="s">
        <v>1146</v>
      </c>
      <c r="D284" s="32"/>
      <c r="E284" s="11" t="str">
        <f t="shared" ref="E284" si="208">IF(D284="","Select ...")</f>
        <v>Select ...</v>
      </c>
      <c r="F284" s="11">
        <v>2</v>
      </c>
      <c r="G284" s="11">
        <v>1.5</v>
      </c>
      <c r="H284" s="11">
        <f>A37</f>
        <v>31</v>
      </c>
      <c r="I284" s="11">
        <f>A48</f>
        <v>42</v>
      </c>
      <c r="J284" s="11"/>
      <c r="K284" s="11"/>
      <c r="L284" s="11"/>
      <c r="M284" s="11" t="s">
        <v>694</v>
      </c>
      <c r="N284" s="11" t="s">
        <v>787</v>
      </c>
      <c r="O284" s="11" t="s">
        <v>696</v>
      </c>
      <c r="P284" s="11" t="s">
        <v>791</v>
      </c>
      <c r="Q284" s="11" t="s">
        <v>792</v>
      </c>
      <c r="R284" s="11" t="str">
        <f t="shared" si="196"/>
        <v/>
      </c>
      <c r="S284" s="11" t="str">
        <f t="shared" si="197"/>
        <v/>
      </c>
      <c r="T284" s="11" t="str">
        <f t="shared" si="198"/>
        <v/>
      </c>
      <c r="U284" s="11" t="str">
        <f t="shared" si="199"/>
        <v/>
      </c>
      <c r="V284" s="11" t="str">
        <f t="shared" si="200"/>
        <v/>
      </c>
      <c r="W284" s="11" t="str">
        <f t="shared" ref="W284" si="209">IF($E284="Yes",MAX(R284:V284),"")</f>
        <v/>
      </c>
      <c r="X284" s="11" t="s">
        <v>745</v>
      </c>
      <c r="Y284" s="11" t="str">
        <f>HLOOKUP($X284,Tables_Cat!$B$6:$P$7,2,FALSE)</f>
        <v>Information</v>
      </c>
      <c r="Z284" s="24" t="s">
        <v>700</v>
      </c>
      <c r="AA284" s="11" t="s">
        <v>701</v>
      </c>
      <c r="AB284" s="13" t="str">
        <f t="shared" si="161"/>
        <v/>
      </c>
      <c r="AC284" s="11" t="s">
        <v>702</v>
      </c>
      <c r="AD284" s="11" t="str">
        <f t="shared" si="155"/>
        <v/>
      </c>
      <c r="AE284" s="11" t="s">
        <v>794</v>
      </c>
      <c r="AF284" s="11" t="str">
        <f t="shared" si="156"/>
        <v/>
      </c>
      <c r="AG284" s="11" t="str">
        <f t="shared" si="157"/>
        <v/>
      </c>
      <c r="AH284" s="11" t="str">
        <f t="shared" si="162"/>
        <v/>
      </c>
      <c r="AI284" s="11" t="str">
        <f t="shared" si="150"/>
        <v/>
      </c>
      <c r="AJ284" s="11" t="str">
        <f t="shared" si="158"/>
        <v/>
      </c>
      <c r="AK284" s="11" t="str">
        <f t="shared" si="159"/>
        <v/>
      </c>
      <c r="AN284" s="11" t="s">
        <v>1142</v>
      </c>
      <c r="AO284" s="11" t="s">
        <v>789</v>
      </c>
    </row>
    <row r="285" spans="1:41" ht="31.5">
      <c r="A285" s="11">
        <v>279</v>
      </c>
      <c r="B285" s="11" t="s">
        <v>1002</v>
      </c>
      <c r="C285" s="11" t="s">
        <v>1147</v>
      </c>
      <c r="D285" s="32"/>
      <c r="E285" s="11" t="s">
        <v>3</v>
      </c>
      <c r="F285" s="11">
        <v>2</v>
      </c>
      <c r="G285" s="11">
        <v>1.5</v>
      </c>
      <c r="H285" s="11">
        <f>A52</f>
        <v>46</v>
      </c>
      <c r="I285" s="11"/>
      <c r="J285" s="11"/>
      <c r="K285" s="11"/>
      <c r="L285" s="11"/>
      <c r="M285" s="11" t="s">
        <v>694</v>
      </c>
      <c r="N285" s="11" t="s">
        <v>787</v>
      </c>
      <c r="O285" s="11" t="s">
        <v>791</v>
      </c>
      <c r="P285" s="11" t="s">
        <v>800</v>
      </c>
      <c r="Q285" s="11" t="s">
        <v>1118</v>
      </c>
      <c r="R285" s="11">
        <f t="shared" si="196"/>
        <v>25</v>
      </c>
      <c r="S285" s="11" t="str">
        <f t="shared" si="197"/>
        <v/>
      </c>
      <c r="T285" s="11" t="str">
        <f t="shared" si="198"/>
        <v/>
      </c>
      <c r="U285" s="11" t="str">
        <f t="shared" si="199"/>
        <v/>
      </c>
      <c r="V285" s="11" t="str">
        <f t="shared" si="200"/>
        <v/>
      </c>
      <c r="W285" s="11">
        <f t="shared" si="102"/>
        <v>25</v>
      </c>
      <c r="X285" s="11" t="s">
        <v>801</v>
      </c>
      <c r="Y285" s="11" t="str">
        <f>HLOOKUP($X285,Tables_Cat!$B$6:$P$7,2,FALSE)</f>
        <v>Material</v>
      </c>
      <c r="Z285" s="24" t="s">
        <v>700</v>
      </c>
      <c r="AA285" s="11" t="s">
        <v>728</v>
      </c>
      <c r="AB285" s="13">
        <f t="shared" si="161"/>
        <v>0.25</v>
      </c>
      <c r="AC285" s="11" t="s">
        <v>702</v>
      </c>
      <c r="AD285" s="11">
        <f t="shared" si="155"/>
        <v>0.25</v>
      </c>
      <c r="AE285" s="11" t="s">
        <v>1119</v>
      </c>
      <c r="AF285" s="11">
        <f t="shared" si="156"/>
        <v>50</v>
      </c>
      <c r="AG285" s="11">
        <f t="shared" si="157"/>
        <v>1250</v>
      </c>
      <c r="AH285" s="11">
        <f t="shared" si="162"/>
        <v>4</v>
      </c>
      <c r="AI285" s="11">
        <f t="shared" si="150"/>
        <v>0</v>
      </c>
      <c r="AJ285" s="11">
        <f t="shared" si="158"/>
        <v>37.5</v>
      </c>
      <c r="AK285" s="11">
        <f t="shared" si="159"/>
        <v>937.5</v>
      </c>
      <c r="AN285" s="11" t="s">
        <v>800</v>
      </c>
      <c r="AO285" s="11" t="s">
        <v>789</v>
      </c>
    </row>
    <row r="286" spans="1:41" ht="31.5">
      <c r="A286" s="11">
        <v>280</v>
      </c>
      <c r="B286" s="11" t="s">
        <v>1002</v>
      </c>
      <c r="C286" s="11" t="s">
        <v>1148</v>
      </c>
      <c r="D286" s="32"/>
      <c r="E286" s="11" t="s">
        <v>3</v>
      </c>
      <c r="F286" s="11">
        <v>2</v>
      </c>
      <c r="G286" s="11">
        <v>1.5</v>
      </c>
      <c r="H286" s="11">
        <f>A53</f>
        <v>47</v>
      </c>
      <c r="I286" s="11"/>
      <c r="J286" s="11"/>
      <c r="K286" s="11"/>
      <c r="L286" s="11"/>
      <c r="M286" s="11" t="s">
        <v>694</v>
      </c>
      <c r="N286" s="11" t="s">
        <v>787</v>
      </c>
      <c r="O286" s="11" t="s">
        <v>791</v>
      </c>
      <c r="P286" s="11" t="s">
        <v>800</v>
      </c>
      <c r="Q286" s="11" t="s">
        <v>1118</v>
      </c>
      <c r="R286" s="11">
        <f t="shared" si="196"/>
        <v>25</v>
      </c>
      <c r="S286" s="11" t="str">
        <f t="shared" si="197"/>
        <v/>
      </c>
      <c r="T286" s="11" t="str">
        <f t="shared" si="198"/>
        <v/>
      </c>
      <c r="U286" s="11" t="str">
        <f t="shared" si="199"/>
        <v/>
      </c>
      <c r="V286" s="11" t="str">
        <f t="shared" si="200"/>
        <v/>
      </c>
      <c r="W286" s="11">
        <f t="shared" ref="W286" si="210">IF($E286="Yes",MAX(R286:V286),"")</f>
        <v>25</v>
      </c>
      <c r="X286" s="11" t="s">
        <v>801</v>
      </c>
      <c r="Y286" s="11" t="str">
        <f>HLOOKUP($X286,Tables_Cat!$B$6:$P$7,2,FALSE)</f>
        <v>Material</v>
      </c>
      <c r="Z286" s="24" t="s">
        <v>700</v>
      </c>
      <c r="AA286" s="11" t="s">
        <v>728</v>
      </c>
      <c r="AB286" s="13">
        <f t="shared" si="161"/>
        <v>0.25</v>
      </c>
      <c r="AC286" s="11" t="s">
        <v>702</v>
      </c>
      <c r="AD286" s="11">
        <f t="shared" si="155"/>
        <v>0.25</v>
      </c>
      <c r="AE286" s="11" t="s">
        <v>1119</v>
      </c>
      <c r="AF286" s="11">
        <f t="shared" si="156"/>
        <v>50</v>
      </c>
      <c r="AG286" s="11">
        <f t="shared" si="157"/>
        <v>1250</v>
      </c>
      <c r="AH286" s="11">
        <f t="shared" si="162"/>
        <v>4</v>
      </c>
      <c r="AI286" s="11">
        <f t="shared" si="150"/>
        <v>0</v>
      </c>
      <c r="AJ286" s="11">
        <f t="shared" si="158"/>
        <v>37.5</v>
      </c>
      <c r="AK286" s="11">
        <f t="shared" si="159"/>
        <v>937.5</v>
      </c>
      <c r="AN286" s="11" t="s">
        <v>800</v>
      </c>
      <c r="AO286" s="11" t="s">
        <v>789</v>
      </c>
    </row>
    <row r="287" spans="1:41" ht="47.25">
      <c r="A287" s="11">
        <v>281</v>
      </c>
      <c r="B287" s="11" t="s">
        <v>1002</v>
      </c>
      <c r="C287" s="11" t="s">
        <v>1149</v>
      </c>
      <c r="D287" s="32"/>
      <c r="E287" s="11" t="s">
        <v>4</v>
      </c>
      <c r="F287" s="11">
        <v>2</v>
      </c>
      <c r="G287" s="11">
        <v>1.5</v>
      </c>
      <c r="H287" s="11">
        <f>A54</f>
        <v>48</v>
      </c>
      <c r="I287" s="11">
        <f>A64</f>
        <v>58</v>
      </c>
      <c r="J287" s="11"/>
      <c r="K287" s="11"/>
      <c r="L287" s="11"/>
      <c r="M287" s="11" t="s">
        <v>694</v>
      </c>
      <c r="N287" s="11" t="s">
        <v>787</v>
      </c>
      <c r="O287" s="11" t="s">
        <v>791</v>
      </c>
      <c r="P287" s="11" t="s">
        <v>800</v>
      </c>
      <c r="Q287" s="11" t="s">
        <v>1118</v>
      </c>
      <c r="R287" s="11" t="str">
        <f t="shared" si="196"/>
        <v/>
      </c>
      <c r="S287" s="11" t="str">
        <f t="shared" si="197"/>
        <v/>
      </c>
      <c r="T287" s="11" t="str">
        <f t="shared" si="198"/>
        <v/>
      </c>
      <c r="U287" s="11" t="str">
        <f t="shared" si="199"/>
        <v/>
      </c>
      <c r="V287" s="11" t="str">
        <f t="shared" si="200"/>
        <v/>
      </c>
      <c r="W287" s="11" t="str">
        <f t="shared" ref="W287" si="211">IF($E287="Yes",MAX(R287:V287),"")</f>
        <v/>
      </c>
      <c r="X287" s="11" t="s">
        <v>801</v>
      </c>
      <c r="Y287" s="11" t="str">
        <f>HLOOKUP($X287,Tables_Cat!$B$6:$P$7,2,FALSE)</f>
        <v>Material</v>
      </c>
      <c r="Z287" s="24" t="s">
        <v>700</v>
      </c>
      <c r="AA287" s="11" t="s">
        <v>728</v>
      </c>
      <c r="AB287" s="13" t="str">
        <f t="shared" si="161"/>
        <v/>
      </c>
      <c r="AC287" s="11" t="s">
        <v>702</v>
      </c>
      <c r="AD287" s="11" t="str">
        <f t="shared" si="155"/>
        <v/>
      </c>
      <c r="AE287" s="11" t="s">
        <v>1119</v>
      </c>
      <c r="AF287" s="11" t="str">
        <f t="shared" si="156"/>
        <v/>
      </c>
      <c r="AG287" s="11" t="str">
        <f t="shared" si="157"/>
        <v/>
      </c>
      <c r="AH287" s="11" t="str">
        <f t="shared" si="162"/>
        <v/>
      </c>
      <c r="AI287" s="11" t="str">
        <f t="shared" si="150"/>
        <v/>
      </c>
      <c r="AJ287" s="11" t="str">
        <f t="shared" si="158"/>
        <v/>
      </c>
      <c r="AK287" s="11" t="str">
        <f t="shared" si="159"/>
        <v/>
      </c>
      <c r="AN287" s="11" t="s">
        <v>800</v>
      </c>
      <c r="AO287" s="11" t="s">
        <v>789</v>
      </c>
    </row>
    <row r="288" spans="1:41" ht="31.5">
      <c r="A288" s="11">
        <v>282</v>
      </c>
      <c r="B288" s="11" t="s">
        <v>1002</v>
      </c>
      <c r="C288" s="11" t="s">
        <v>1150</v>
      </c>
      <c r="D288" s="32"/>
      <c r="E288" s="11" t="str">
        <f t="shared" si="136"/>
        <v>Select ...</v>
      </c>
      <c r="F288" s="11">
        <v>0.5</v>
      </c>
      <c r="G288" s="11">
        <v>0.5</v>
      </c>
      <c r="H288" s="11">
        <f>A52</f>
        <v>46</v>
      </c>
      <c r="I288" s="11">
        <f>A56</f>
        <v>50</v>
      </c>
      <c r="J288" s="11"/>
      <c r="K288" s="11"/>
      <c r="L288" s="11"/>
      <c r="M288" s="11" t="s">
        <v>694</v>
      </c>
      <c r="N288" s="11" t="s">
        <v>787</v>
      </c>
      <c r="O288" s="11" t="s">
        <v>791</v>
      </c>
      <c r="P288" s="11" t="s">
        <v>800</v>
      </c>
      <c r="Q288" s="11" t="s">
        <v>1118</v>
      </c>
      <c r="R288" s="11" t="str">
        <f t="shared" si="196"/>
        <v/>
      </c>
      <c r="S288" s="11" t="str">
        <f t="shared" si="197"/>
        <v/>
      </c>
      <c r="T288" s="11" t="str">
        <f t="shared" si="198"/>
        <v/>
      </c>
      <c r="U288" s="11" t="str">
        <f t="shared" si="199"/>
        <v/>
      </c>
      <c r="V288" s="11" t="str">
        <f t="shared" si="200"/>
        <v/>
      </c>
      <c r="W288" s="11" t="str">
        <f t="shared" si="102"/>
        <v/>
      </c>
      <c r="X288" s="11" t="s">
        <v>801</v>
      </c>
      <c r="Y288" s="11" t="str">
        <f>HLOOKUP($X288,Tables_Cat!$B$6:$P$7,2,FALSE)</f>
        <v>Material</v>
      </c>
      <c r="Z288" s="24" t="s">
        <v>700</v>
      </c>
      <c r="AA288" s="11" t="s">
        <v>728</v>
      </c>
      <c r="AB288" s="13" t="str">
        <f t="shared" si="161"/>
        <v/>
      </c>
      <c r="AC288" s="11" t="s">
        <v>702</v>
      </c>
      <c r="AD288" s="11" t="str">
        <f t="shared" si="155"/>
        <v/>
      </c>
      <c r="AE288" s="11" t="s">
        <v>1119</v>
      </c>
      <c r="AF288" s="11" t="str">
        <f t="shared" si="156"/>
        <v/>
      </c>
      <c r="AG288" s="11" t="str">
        <f t="shared" si="157"/>
        <v/>
      </c>
      <c r="AH288" s="11" t="str">
        <f t="shared" si="162"/>
        <v/>
      </c>
      <c r="AI288" s="11" t="str">
        <f t="shared" si="150"/>
        <v/>
      </c>
      <c r="AJ288" s="11" t="str">
        <f t="shared" si="158"/>
        <v/>
      </c>
      <c r="AK288" s="11" t="str">
        <f t="shared" si="159"/>
        <v/>
      </c>
      <c r="AN288" s="11" t="s">
        <v>800</v>
      </c>
      <c r="AO288" s="11" t="s">
        <v>789</v>
      </c>
    </row>
    <row r="289" spans="1:41" ht="31.5">
      <c r="A289" s="11">
        <v>283</v>
      </c>
      <c r="B289" s="11" t="s">
        <v>1002</v>
      </c>
      <c r="C289" s="11" t="s">
        <v>1151</v>
      </c>
      <c r="D289" s="32"/>
      <c r="E289" s="11" t="s">
        <v>3</v>
      </c>
      <c r="F289" s="11">
        <v>0.5</v>
      </c>
      <c r="G289" s="11">
        <v>0.5</v>
      </c>
      <c r="H289" s="11">
        <f>A52</f>
        <v>46</v>
      </c>
      <c r="I289" s="11">
        <f>A56</f>
        <v>50</v>
      </c>
      <c r="J289" s="11"/>
      <c r="K289" s="11"/>
      <c r="L289" s="11"/>
      <c r="M289" s="11" t="s">
        <v>694</v>
      </c>
      <c r="N289" s="11" t="s">
        <v>787</v>
      </c>
      <c r="O289" s="11" t="s">
        <v>791</v>
      </c>
      <c r="P289" s="11" t="s">
        <v>800</v>
      </c>
      <c r="Q289" s="11" t="s">
        <v>1152</v>
      </c>
      <c r="R289" s="11">
        <f t="shared" si="196"/>
        <v>25</v>
      </c>
      <c r="S289" s="11">
        <f t="shared" si="197"/>
        <v>17</v>
      </c>
      <c r="T289" s="11" t="str">
        <f t="shared" si="198"/>
        <v/>
      </c>
      <c r="U289" s="11" t="str">
        <f t="shared" si="199"/>
        <v/>
      </c>
      <c r="V289" s="11" t="str">
        <f t="shared" si="200"/>
        <v/>
      </c>
      <c r="W289" s="11">
        <f t="shared" si="102"/>
        <v>25</v>
      </c>
      <c r="X289" s="11" t="s">
        <v>801</v>
      </c>
      <c r="Y289" s="11" t="str">
        <f>HLOOKUP($X289,Tables_Cat!$B$6:$P$7,2,FALSE)</f>
        <v>Material</v>
      </c>
      <c r="Z289" s="24" t="s">
        <v>700</v>
      </c>
      <c r="AA289" s="11" t="s">
        <v>728</v>
      </c>
      <c r="AB289" s="13">
        <f t="shared" si="161"/>
        <v>0</v>
      </c>
      <c r="AC289" s="11" t="s">
        <v>702</v>
      </c>
      <c r="AD289" s="11">
        <f t="shared" si="155"/>
        <v>0</v>
      </c>
      <c r="AE289" s="11" t="s">
        <v>1153</v>
      </c>
      <c r="AF289" s="11">
        <f t="shared" si="156"/>
        <v>12.5</v>
      </c>
      <c r="AG289" s="11">
        <f t="shared" si="157"/>
        <v>312.5</v>
      </c>
      <c r="AH289" s="11">
        <f t="shared" si="162"/>
        <v>4</v>
      </c>
      <c r="AI289" s="11">
        <f t="shared" si="150"/>
        <v>0</v>
      </c>
      <c r="AJ289" s="11">
        <f t="shared" si="158"/>
        <v>12.5</v>
      </c>
      <c r="AK289" s="11">
        <f t="shared" si="159"/>
        <v>312.5</v>
      </c>
      <c r="AN289" s="11" t="s">
        <v>800</v>
      </c>
      <c r="AO289" s="11" t="s">
        <v>789</v>
      </c>
    </row>
    <row r="290" spans="1:41" ht="47.25">
      <c r="A290" s="11">
        <v>284</v>
      </c>
      <c r="B290" s="11" t="s">
        <v>1002</v>
      </c>
      <c r="C290" s="11" t="s">
        <v>1154</v>
      </c>
      <c r="D290" s="32"/>
      <c r="E290" s="11" t="s">
        <v>3</v>
      </c>
      <c r="F290" s="11">
        <v>0.5</v>
      </c>
      <c r="G290" s="11">
        <v>0.5</v>
      </c>
      <c r="H290" s="11">
        <f>A53</f>
        <v>47</v>
      </c>
      <c r="I290" s="11">
        <f>A56</f>
        <v>50</v>
      </c>
      <c r="J290" s="11"/>
      <c r="K290" s="11"/>
      <c r="L290" s="11"/>
      <c r="M290" s="11" t="s">
        <v>694</v>
      </c>
      <c r="N290" s="11" t="s">
        <v>787</v>
      </c>
      <c r="O290" s="11" t="s">
        <v>791</v>
      </c>
      <c r="P290" s="11" t="s">
        <v>800</v>
      </c>
      <c r="Q290" s="11" t="s">
        <v>1152</v>
      </c>
      <c r="R290" s="11">
        <f t="shared" si="196"/>
        <v>25</v>
      </c>
      <c r="S290" s="11">
        <f t="shared" si="197"/>
        <v>17</v>
      </c>
      <c r="T290" s="11" t="str">
        <f t="shared" si="198"/>
        <v/>
      </c>
      <c r="U290" s="11" t="str">
        <f t="shared" si="199"/>
        <v/>
      </c>
      <c r="V290" s="11" t="str">
        <f t="shared" si="200"/>
        <v/>
      </c>
      <c r="W290" s="11">
        <f t="shared" ref="W290" si="212">IF($E290="Yes",MAX(R290:V290),"")</f>
        <v>25</v>
      </c>
      <c r="X290" s="11" t="s">
        <v>801</v>
      </c>
      <c r="Y290" s="11" t="str">
        <f>HLOOKUP($X290,Tables_Cat!$B$6:$P$7,2,FALSE)</f>
        <v>Material</v>
      </c>
      <c r="Z290" s="24" t="s">
        <v>700</v>
      </c>
      <c r="AA290" s="11" t="s">
        <v>728</v>
      </c>
      <c r="AB290" s="13">
        <f t="shared" si="161"/>
        <v>0</v>
      </c>
      <c r="AC290" s="11" t="s">
        <v>702</v>
      </c>
      <c r="AD290" s="11">
        <f t="shared" si="155"/>
        <v>0</v>
      </c>
      <c r="AE290" s="11" t="s">
        <v>1153</v>
      </c>
      <c r="AF290" s="11">
        <f t="shared" si="156"/>
        <v>12.5</v>
      </c>
      <c r="AG290" s="11">
        <f t="shared" si="157"/>
        <v>312.5</v>
      </c>
      <c r="AH290" s="11">
        <f t="shared" si="162"/>
        <v>4</v>
      </c>
      <c r="AI290" s="11">
        <f t="shared" si="150"/>
        <v>0</v>
      </c>
      <c r="AJ290" s="11">
        <f t="shared" si="158"/>
        <v>12.5</v>
      </c>
      <c r="AK290" s="11">
        <f t="shared" si="159"/>
        <v>312.5</v>
      </c>
      <c r="AN290" s="11" t="s">
        <v>800</v>
      </c>
      <c r="AO290" s="11" t="s">
        <v>789</v>
      </c>
    </row>
    <row r="291" spans="1:41" ht="31.5">
      <c r="A291" s="11">
        <v>285</v>
      </c>
      <c r="B291" s="11" t="s">
        <v>1002</v>
      </c>
      <c r="C291" s="11" t="s">
        <v>1155</v>
      </c>
      <c r="D291" s="32"/>
      <c r="E291" s="11" t="str">
        <f t="shared" si="136"/>
        <v>Select ...</v>
      </c>
      <c r="F291" s="11">
        <v>0.5</v>
      </c>
      <c r="G291" s="11">
        <v>0.5</v>
      </c>
      <c r="H291" s="11">
        <f>A54</f>
        <v>48</v>
      </c>
      <c r="I291" s="11">
        <f>A56</f>
        <v>50</v>
      </c>
      <c r="J291" s="11"/>
      <c r="K291" s="11"/>
      <c r="L291" s="11"/>
      <c r="M291" s="11" t="s">
        <v>694</v>
      </c>
      <c r="N291" s="11" t="s">
        <v>787</v>
      </c>
      <c r="O291" s="11" t="s">
        <v>791</v>
      </c>
      <c r="P291" s="11" t="s">
        <v>800</v>
      </c>
      <c r="Q291" s="11" t="s">
        <v>1156</v>
      </c>
      <c r="R291" s="11" t="str">
        <f t="shared" si="196"/>
        <v/>
      </c>
      <c r="S291" s="11" t="str">
        <f t="shared" si="197"/>
        <v/>
      </c>
      <c r="T291" s="11" t="str">
        <f t="shared" si="198"/>
        <v/>
      </c>
      <c r="U291" s="11" t="str">
        <f t="shared" si="199"/>
        <v/>
      </c>
      <c r="V291" s="11" t="str">
        <f t="shared" si="200"/>
        <v/>
      </c>
      <c r="W291" s="11" t="str">
        <f t="shared" si="102"/>
        <v/>
      </c>
      <c r="X291" s="11" t="s">
        <v>801</v>
      </c>
      <c r="Y291" s="11" t="str">
        <f>HLOOKUP($X291,Tables_Cat!$B$6:$P$7,2,FALSE)</f>
        <v>Material</v>
      </c>
      <c r="Z291" s="24" t="s">
        <v>700</v>
      </c>
      <c r="AA291" s="11" t="s">
        <v>728</v>
      </c>
      <c r="AB291" s="13" t="str">
        <f t="shared" si="161"/>
        <v/>
      </c>
      <c r="AC291" s="11" t="s">
        <v>702</v>
      </c>
      <c r="AD291" s="11" t="str">
        <f t="shared" si="155"/>
        <v/>
      </c>
      <c r="AE291" s="11" t="s">
        <v>923</v>
      </c>
      <c r="AF291" s="11" t="str">
        <f t="shared" si="156"/>
        <v/>
      </c>
      <c r="AG291" s="11" t="str">
        <f t="shared" si="157"/>
        <v/>
      </c>
      <c r="AH291" s="11" t="str">
        <f t="shared" si="162"/>
        <v/>
      </c>
      <c r="AI291" s="11" t="str">
        <f t="shared" si="150"/>
        <v/>
      </c>
      <c r="AJ291" s="11" t="str">
        <f t="shared" si="158"/>
        <v/>
      </c>
      <c r="AK291" s="11" t="str">
        <f t="shared" si="159"/>
        <v/>
      </c>
      <c r="AN291" s="11" t="s">
        <v>800</v>
      </c>
      <c r="AO291" s="11" t="s">
        <v>789</v>
      </c>
    </row>
    <row r="292" spans="1:41" ht="31.5">
      <c r="A292" s="11">
        <v>286</v>
      </c>
      <c r="B292" s="11" t="s">
        <v>1002</v>
      </c>
      <c r="C292" s="11" t="s">
        <v>1157</v>
      </c>
      <c r="D292" s="32"/>
      <c r="E292" s="11" t="str">
        <f t="shared" si="136"/>
        <v>Select ...</v>
      </c>
      <c r="F292" s="11">
        <v>0.5</v>
      </c>
      <c r="G292" s="11">
        <v>0.5</v>
      </c>
      <c r="H292" s="11">
        <f>A54</f>
        <v>48</v>
      </c>
      <c r="I292" s="11">
        <f>A56</f>
        <v>50</v>
      </c>
      <c r="J292" s="11"/>
      <c r="K292" s="11"/>
      <c r="L292" s="11"/>
      <c r="M292" s="11" t="s">
        <v>694</v>
      </c>
      <c r="N292" s="11" t="s">
        <v>787</v>
      </c>
      <c r="O292" s="11" t="s">
        <v>791</v>
      </c>
      <c r="P292" s="11" t="s">
        <v>800</v>
      </c>
      <c r="Q292" s="11" t="s">
        <v>1158</v>
      </c>
      <c r="R292" s="11" t="str">
        <f t="shared" si="196"/>
        <v/>
      </c>
      <c r="S292" s="11" t="str">
        <f t="shared" si="197"/>
        <v/>
      </c>
      <c r="T292" s="11" t="str">
        <f t="shared" si="198"/>
        <v/>
      </c>
      <c r="U292" s="11" t="str">
        <f t="shared" si="199"/>
        <v/>
      </c>
      <c r="V292" s="11" t="str">
        <f t="shared" si="200"/>
        <v/>
      </c>
      <c r="W292" s="11" t="str">
        <f t="shared" si="102"/>
        <v/>
      </c>
      <c r="X292" s="11" t="s">
        <v>801</v>
      </c>
      <c r="Y292" s="11" t="str">
        <f>HLOOKUP($X292,Tables_Cat!$B$6:$P$7,2,FALSE)</f>
        <v>Material</v>
      </c>
      <c r="Z292" s="24" t="s">
        <v>700</v>
      </c>
      <c r="AA292" s="11" t="s">
        <v>728</v>
      </c>
      <c r="AB292" s="13" t="str">
        <f t="shared" si="161"/>
        <v/>
      </c>
      <c r="AC292" s="11" t="s">
        <v>702</v>
      </c>
      <c r="AD292" s="11" t="str">
        <f t="shared" si="155"/>
        <v/>
      </c>
      <c r="AE292" s="11" t="s">
        <v>1159</v>
      </c>
      <c r="AF292" s="11" t="str">
        <f t="shared" si="156"/>
        <v/>
      </c>
      <c r="AG292" s="11" t="str">
        <f t="shared" si="157"/>
        <v/>
      </c>
      <c r="AH292" s="11" t="str">
        <f t="shared" si="162"/>
        <v/>
      </c>
      <c r="AI292" s="11" t="str">
        <f t="shared" si="150"/>
        <v/>
      </c>
      <c r="AJ292" s="11" t="str">
        <f t="shared" si="158"/>
        <v/>
      </c>
      <c r="AK292" s="11" t="str">
        <f t="shared" si="159"/>
        <v/>
      </c>
      <c r="AN292" s="11" t="s">
        <v>800</v>
      </c>
      <c r="AO292" s="11" t="s">
        <v>789</v>
      </c>
    </row>
    <row r="293" spans="1:41" ht="31.5">
      <c r="A293" s="11">
        <v>287</v>
      </c>
      <c r="B293" s="11" t="s">
        <v>1002</v>
      </c>
      <c r="C293" s="11" t="s">
        <v>1160</v>
      </c>
      <c r="D293" s="32"/>
      <c r="E293" s="11" t="str">
        <f t="shared" ref="E293" si="213">IF(D293="","Select ...")</f>
        <v>Select ...</v>
      </c>
      <c r="F293" s="11">
        <v>0.5</v>
      </c>
      <c r="G293" s="11">
        <v>0.5</v>
      </c>
      <c r="H293" s="11">
        <f>A55</f>
        <v>49</v>
      </c>
      <c r="I293" s="11">
        <f>A62</f>
        <v>56</v>
      </c>
      <c r="J293" s="11"/>
      <c r="K293" s="11"/>
      <c r="L293" s="11"/>
      <c r="M293" s="11" t="s">
        <v>694</v>
      </c>
      <c r="N293" s="11" t="s">
        <v>787</v>
      </c>
      <c r="O293" s="11" t="s">
        <v>791</v>
      </c>
      <c r="P293" s="11" t="s">
        <v>800</v>
      </c>
      <c r="Q293" s="11" t="s">
        <v>1118</v>
      </c>
      <c r="R293" s="11" t="str">
        <f t="shared" si="196"/>
        <v/>
      </c>
      <c r="S293" s="11" t="str">
        <f t="shared" si="197"/>
        <v/>
      </c>
      <c r="T293" s="11" t="str">
        <f t="shared" si="198"/>
        <v/>
      </c>
      <c r="U293" s="11" t="str">
        <f t="shared" si="199"/>
        <v/>
      </c>
      <c r="V293" s="11" t="str">
        <f t="shared" si="200"/>
        <v/>
      </c>
      <c r="W293" s="11" t="str">
        <f t="shared" ref="W293" si="214">IF($E293="Yes",MAX(R293:V293),"")</f>
        <v/>
      </c>
      <c r="X293" s="11" t="s">
        <v>801</v>
      </c>
      <c r="Y293" s="11" t="str">
        <f>HLOOKUP($X293,Tables_Cat!$B$6:$P$7,2,FALSE)</f>
        <v>Material</v>
      </c>
      <c r="Z293" s="24" t="s">
        <v>700</v>
      </c>
      <c r="AA293" s="11" t="s">
        <v>728</v>
      </c>
      <c r="AB293" s="13" t="str">
        <f t="shared" si="161"/>
        <v/>
      </c>
      <c r="AC293" s="11" t="s">
        <v>702</v>
      </c>
      <c r="AD293" s="11" t="str">
        <f t="shared" si="155"/>
        <v/>
      </c>
      <c r="AE293" s="11" t="s">
        <v>1119</v>
      </c>
      <c r="AF293" s="11" t="str">
        <f t="shared" si="156"/>
        <v/>
      </c>
      <c r="AG293" s="11" t="str">
        <f t="shared" si="157"/>
        <v/>
      </c>
      <c r="AH293" s="11" t="str">
        <f t="shared" si="162"/>
        <v/>
      </c>
      <c r="AI293" s="11" t="str">
        <f t="shared" ref="AI293:AI376" si="215">IF(AND($E293="Yes",$Z293&lt;&gt;"Not applicable"),IF($Z293="Manual/ None",0,IF($Z293="Other",2,4)),"")</f>
        <v/>
      </c>
      <c r="AJ293" s="11" t="str">
        <f t="shared" si="158"/>
        <v/>
      </c>
      <c r="AK293" s="11" t="str">
        <f t="shared" si="159"/>
        <v/>
      </c>
      <c r="AN293" s="11" t="s">
        <v>800</v>
      </c>
      <c r="AO293" s="11" t="s">
        <v>789</v>
      </c>
    </row>
    <row r="294" spans="1:41" ht="31.5">
      <c r="A294" s="11">
        <v>288</v>
      </c>
      <c r="B294" s="11" t="s">
        <v>1002</v>
      </c>
      <c r="C294" s="11" t="s">
        <v>1161</v>
      </c>
      <c r="D294" s="32"/>
      <c r="E294" s="11" t="str">
        <f t="shared" si="136"/>
        <v>Select ...</v>
      </c>
      <c r="F294" s="11">
        <v>0.5</v>
      </c>
      <c r="G294" s="11">
        <v>0.5</v>
      </c>
      <c r="H294" s="11">
        <f>A54</f>
        <v>48</v>
      </c>
      <c r="I294" s="11">
        <f>A56</f>
        <v>50</v>
      </c>
      <c r="J294" s="11"/>
      <c r="K294" s="11"/>
      <c r="L294" s="11"/>
      <c r="M294" s="11" t="s">
        <v>694</v>
      </c>
      <c r="N294" s="11" t="s">
        <v>787</v>
      </c>
      <c r="O294" s="11" t="s">
        <v>791</v>
      </c>
      <c r="P294" s="11" t="s">
        <v>800</v>
      </c>
      <c r="Q294" s="11" t="s">
        <v>1158</v>
      </c>
      <c r="R294" s="11" t="str">
        <f t="shared" si="196"/>
        <v/>
      </c>
      <c r="S294" s="11" t="str">
        <f t="shared" si="197"/>
        <v/>
      </c>
      <c r="T294" s="11" t="str">
        <f t="shared" si="198"/>
        <v/>
      </c>
      <c r="U294" s="11" t="str">
        <f t="shared" si="199"/>
        <v/>
      </c>
      <c r="V294" s="11" t="str">
        <f t="shared" si="200"/>
        <v/>
      </c>
      <c r="W294" s="11" t="str">
        <f t="shared" si="102"/>
        <v/>
      </c>
      <c r="X294" s="11" t="s">
        <v>801</v>
      </c>
      <c r="Y294" s="11" t="str">
        <f>HLOOKUP($X294,Tables_Cat!$B$6:$P$7,2,FALSE)</f>
        <v>Material</v>
      </c>
      <c r="Z294" s="24" t="s">
        <v>700</v>
      </c>
      <c r="AA294" s="11" t="s">
        <v>728</v>
      </c>
      <c r="AB294" s="13" t="str">
        <f t="shared" si="161"/>
        <v/>
      </c>
      <c r="AC294" s="11" t="s">
        <v>702</v>
      </c>
      <c r="AD294" s="11" t="str">
        <f t="shared" si="155"/>
        <v/>
      </c>
      <c r="AE294" s="11" t="s">
        <v>1159</v>
      </c>
      <c r="AF294" s="11" t="str">
        <f t="shared" si="156"/>
        <v/>
      </c>
      <c r="AG294" s="11" t="str">
        <f t="shared" si="157"/>
        <v/>
      </c>
      <c r="AH294" s="11" t="str">
        <f t="shared" si="162"/>
        <v/>
      </c>
      <c r="AI294" s="11" t="str">
        <f t="shared" si="215"/>
        <v/>
      </c>
      <c r="AJ294" s="11" t="str">
        <f t="shared" si="158"/>
        <v/>
      </c>
      <c r="AK294" s="11" t="str">
        <f t="shared" si="159"/>
        <v/>
      </c>
      <c r="AN294" s="11" t="s">
        <v>800</v>
      </c>
      <c r="AO294" s="11" t="s">
        <v>789</v>
      </c>
    </row>
    <row r="295" spans="1:41" ht="31.5">
      <c r="A295" s="11">
        <v>289</v>
      </c>
      <c r="B295" s="11" t="s">
        <v>1002</v>
      </c>
      <c r="C295" s="11" t="s">
        <v>1162</v>
      </c>
      <c r="D295" s="32"/>
      <c r="E295" s="11" t="str">
        <f t="shared" si="136"/>
        <v>Select ...</v>
      </c>
      <c r="F295" s="11">
        <v>0.5</v>
      </c>
      <c r="G295" s="11">
        <v>0.25</v>
      </c>
      <c r="H295" s="11">
        <f>A283</f>
        <v>277</v>
      </c>
      <c r="I295" s="11">
        <f>A285</f>
        <v>279</v>
      </c>
      <c r="J295" s="11">
        <f>A289</f>
        <v>283</v>
      </c>
      <c r="K295" s="11"/>
      <c r="L295" s="11"/>
      <c r="M295" s="11" t="s">
        <v>694</v>
      </c>
      <c r="N295" s="11" t="s">
        <v>787</v>
      </c>
      <c r="O295" s="11" t="s">
        <v>800</v>
      </c>
      <c r="P295" s="11" t="s">
        <v>464</v>
      </c>
      <c r="Q295" s="11" t="s">
        <v>1028</v>
      </c>
      <c r="R295" s="11" t="str">
        <f t="shared" si="196"/>
        <v/>
      </c>
      <c r="S295" s="11" t="str">
        <f t="shared" si="197"/>
        <v/>
      </c>
      <c r="T295" s="11" t="str">
        <f t="shared" si="198"/>
        <v/>
      </c>
      <c r="U295" s="11" t="str">
        <f t="shared" si="199"/>
        <v/>
      </c>
      <c r="V295" s="11" t="str">
        <f t="shared" si="200"/>
        <v/>
      </c>
      <c r="W295" s="11" t="str">
        <f t="shared" si="102"/>
        <v/>
      </c>
      <c r="X295" s="11" t="s">
        <v>801</v>
      </c>
      <c r="Y295" s="11" t="str">
        <f>HLOOKUP($X295,Tables_Cat!$B$6:$P$7,2,FALSE)</f>
        <v>Material</v>
      </c>
      <c r="Z295" s="24" t="s">
        <v>700</v>
      </c>
      <c r="AA295" s="11" t="s">
        <v>728</v>
      </c>
      <c r="AB295" s="13" t="str">
        <f t="shared" si="161"/>
        <v/>
      </c>
      <c r="AC295" s="11" t="s">
        <v>702</v>
      </c>
      <c r="AD295" s="11" t="str">
        <f t="shared" si="155"/>
        <v/>
      </c>
      <c r="AE295" s="11" t="s">
        <v>1029</v>
      </c>
      <c r="AF295" s="11" t="str">
        <f t="shared" si="156"/>
        <v/>
      </c>
      <c r="AG295" s="11" t="str">
        <f t="shared" si="157"/>
        <v/>
      </c>
      <c r="AH295" s="11" t="str">
        <f t="shared" si="162"/>
        <v/>
      </c>
      <c r="AI295" s="11" t="str">
        <f t="shared" si="215"/>
        <v/>
      </c>
      <c r="AJ295" s="11" t="str">
        <f t="shared" si="158"/>
        <v/>
      </c>
      <c r="AK295" s="11" t="str">
        <f t="shared" si="159"/>
        <v/>
      </c>
      <c r="AN295" s="11" t="s">
        <v>800</v>
      </c>
      <c r="AO295" s="11" t="s">
        <v>789</v>
      </c>
    </row>
    <row r="296" spans="1:41" ht="31.5">
      <c r="A296" s="11">
        <v>290</v>
      </c>
      <c r="B296" s="11" t="s">
        <v>1002</v>
      </c>
      <c r="C296" s="11" t="s">
        <v>1163</v>
      </c>
      <c r="D296" s="32"/>
      <c r="E296" s="11" t="str">
        <f t="shared" si="136"/>
        <v>Select ...</v>
      </c>
      <c r="F296" s="11">
        <v>1</v>
      </c>
      <c r="G296" s="11">
        <v>1</v>
      </c>
      <c r="H296" s="11">
        <f>A50</f>
        <v>44</v>
      </c>
      <c r="I296" s="11">
        <f>A55</f>
        <v>49</v>
      </c>
      <c r="J296" s="11"/>
      <c r="K296" s="11"/>
      <c r="L296" s="11"/>
      <c r="M296" s="11" t="s">
        <v>694</v>
      </c>
      <c r="N296" s="11" t="s">
        <v>787</v>
      </c>
      <c r="O296" s="11" t="s">
        <v>791</v>
      </c>
      <c r="P296" s="11" t="s">
        <v>1006</v>
      </c>
      <c r="Q296" s="11" t="s">
        <v>1118</v>
      </c>
      <c r="R296" s="11" t="str">
        <f t="shared" si="196"/>
        <v/>
      </c>
      <c r="S296" s="11" t="str">
        <f t="shared" si="197"/>
        <v/>
      </c>
      <c r="T296" s="11" t="str">
        <f t="shared" si="198"/>
        <v/>
      </c>
      <c r="U296" s="11" t="str">
        <f t="shared" si="199"/>
        <v/>
      </c>
      <c r="V296" s="11" t="str">
        <f t="shared" si="200"/>
        <v/>
      </c>
      <c r="W296" s="11" t="str">
        <f t="shared" si="102"/>
        <v/>
      </c>
      <c r="X296" s="11" t="s">
        <v>1007</v>
      </c>
      <c r="Y296" s="11" t="str">
        <f>HLOOKUP($X296,Tables_Cat!$B$6:$P$7,2,FALSE)</f>
        <v>Information</v>
      </c>
      <c r="Z296" s="24" t="s">
        <v>700</v>
      </c>
      <c r="AA296" s="11" t="s">
        <v>728</v>
      </c>
      <c r="AB296" s="13" t="str">
        <f t="shared" si="161"/>
        <v/>
      </c>
      <c r="AC296" s="11" t="s">
        <v>1008</v>
      </c>
      <c r="AD296" s="11" t="str">
        <f t="shared" si="155"/>
        <v/>
      </c>
      <c r="AE296" s="11" t="s">
        <v>1119</v>
      </c>
      <c r="AF296" s="11" t="str">
        <f t="shared" si="156"/>
        <v/>
      </c>
      <c r="AG296" s="11" t="str">
        <f t="shared" si="157"/>
        <v/>
      </c>
      <c r="AH296" s="11" t="str">
        <f t="shared" si="162"/>
        <v/>
      </c>
      <c r="AI296" s="11" t="str">
        <f t="shared" si="215"/>
        <v/>
      </c>
      <c r="AJ296" s="11" t="str">
        <f t="shared" si="158"/>
        <v/>
      </c>
      <c r="AK296" s="11" t="str">
        <f t="shared" si="159"/>
        <v/>
      </c>
      <c r="AN296" s="11" t="s">
        <v>1164</v>
      </c>
      <c r="AO296" s="11" t="s">
        <v>1009</v>
      </c>
    </row>
    <row r="297" spans="1:41" ht="63">
      <c r="A297" s="11">
        <v>291</v>
      </c>
      <c r="B297" s="11" t="s">
        <v>1002</v>
      </c>
      <c r="C297" s="11" t="s">
        <v>1165</v>
      </c>
      <c r="D297" s="32"/>
      <c r="E297" s="11" t="str">
        <f t="shared" ref="E297" si="216">IF(D297="","Select ...")</f>
        <v>Select ...</v>
      </c>
      <c r="F297" s="11">
        <v>1</v>
      </c>
      <c r="G297" s="11">
        <v>1</v>
      </c>
      <c r="H297" s="11">
        <f>A51</f>
        <v>45</v>
      </c>
      <c r="I297" s="11">
        <f>A56</f>
        <v>50</v>
      </c>
      <c r="J297" s="11"/>
      <c r="K297" s="11"/>
      <c r="L297" s="11"/>
      <c r="M297" s="11" t="s">
        <v>694</v>
      </c>
      <c r="N297" s="11" t="s">
        <v>787</v>
      </c>
      <c r="O297" s="11" t="s">
        <v>791</v>
      </c>
      <c r="P297" s="11" t="s">
        <v>1006</v>
      </c>
      <c r="Q297" s="11" t="s">
        <v>1118</v>
      </c>
      <c r="R297" s="11" t="str">
        <f t="shared" si="196"/>
        <v/>
      </c>
      <c r="S297" s="11" t="str">
        <f t="shared" si="197"/>
        <v/>
      </c>
      <c r="T297" s="11" t="str">
        <f t="shared" si="198"/>
        <v/>
      </c>
      <c r="U297" s="11" t="str">
        <f t="shared" si="199"/>
        <v/>
      </c>
      <c r="V297" s="11" t="str">
        <f t="shared" si="200"/>
        <v/>
      </c>
      <c r="W297" s="11" t="str">
        <f t="shared" ref="W297" si="217">IF($E297="Yes",MAX(R297:V297),"")</f>
        <v/>
      </c>
      <c r="X297" s="11" t="s">
        <v>1007</v>
      </c>
      <c r="Y297" s="11" t="str">
        <f>HLOOKUP($X297,Tables_Cat!$B$6:$P$7,2,FALSE)</f>
        <v>Information</v>
      </c>
      <c r="Z297" s="24" t="s">
        <v>700</v>
      </c>
      <c r="AA297" s="11" t="s">
        <v>728</v>
      </c>
      <c r="AB297" s="13" t="str">
        <f t="shared" si="161"/>
        <v/>
      </c>
      <c r="AC297" s="11" t="s">
        <v>1166</v>
      </c>
      <c r="AD297" s="11" t="str">
        <f t="shared" si="155"/>
        <v/>
      </c>
      <c r="AE297" s="11" t="s">
        <v>1119</v>
      </c>
      <c r="AF297" s="11" t="str">
        <f t="shared" si="156"/>
        <v/>
      </c>
      <c r="AG297" s="11" t="str">
        <f t="shared" si="157"/>
        <v/>
      </c>
      <c r="AH297" s="11" t="str">
        <f t="shared" si="162"/>
        <v/>
      </c>
      <c r="AI297" s="11" t="str">
        <f t="shared" si="215"/>
        <v/>
      </c>
      <c r="AJ297" s="11" t="str">
        <f t="shared" si="158"/>
        <v/>
      </c>
      <c r="AK297" s="11" t="str">
        <f t="shared" si="159"/>
        <v/>
      </c>
      <c r="AN297" s="11" t="s">
        <v>1167</v>
      </c>
      <c r="AO297" s="11" t="s">
        <v>1009</v>
      </c>
    </row>
    <row r="298" spans="1:41" ht="63">
      <c r="A298" s="11">
        <v>292</v>
      </c>
      <c r="B298" s="11" t="s">
        <v>1002</v>
      </c>
      <c r="C298" s="11" t="s">
        <v>1168</v>
      </c>
      <c r="D298" s="32"/>
      <c r="E298" s="11" t="str">
        <f t="shared" ref="E298" si="218">IF(D298="","Select ...")</f>
        <v>Select ...</v>
      </c>
      <c r="F298" s="11">
        <v>1</v>
      </c>
      <c r="G298" s="11">
        <v>1</v>
      </c>
      <c r="H298" s="11">
        <f>A52</f>
        <v>46</v>
      </c>
      <c r="I298" s="11">
        <f>A62</f>
        <v>56</v>
      </c>
      <c r="J298" s="11"/>
      <c r="K298" s="11"/>
      <c r="L298" s="11"/>
      <c r="M298" s="11" t="s">
        <v>694</v>
      </c>
      <c r="N298" s="11" t="s">
        <v>787</v>
      </c>
      <c r="O298" s="11" t="s">
        <v>791</v>
      </c>
      <c r="P298" s="11" t="s">
        <v>1006</v>
      </c>
      <c r="Q298" s="11" t="s">
        <v>1118</v>
      </c>
      <c r="R298" s="11" t="str">
        <f t="shared" si="196"/>
        <v/>
      </c>
      <c r="S298" s="11" t="str">
        <f t="shared" si="197"/>
        <v/>
      </c>
      <c r="T298" s="11" t="str">
        <f t="shared" si="198"/>
        <v/>
      </c>
      <c r="U298" s="11" t="str">
        <f t="shared" si="199"/>
        <v/>
      </c>
      <c r="V298" s="11" t="str">
        <f t="shared" si="200"/>
        <v/>
      </c>
      <c r="W298" s="11" t="str">
        <f t="shared" ref="W298" si="219">IF($E298="Yes",MAX(R298:V298),"")</f>
        <v/>
      </c>
      <c r="X298" s="11" t="s">
        <v>1007</v>
      </c>
      <c r="Y298" s="11" t="str">
        <f>HLOOKUP($X298,Tables_Cat!$B$6:$P$7,2,FALSE)</f>
        <v>Information</v>
      </c>
      <c r="Z298" s="24" t="s">
        <v>700</v>
      </c>
      <c r="AA298" s="11" t="s">
        <v>728</v>
      </c>
      <c r="AB298" s="13" t="str">
        <f t="shared" si="161"/>
        <v/>
      </c>
      <c r="AC298" s="11" t="s">
        <v>1166</v>
      </c>
      <c r="AD298" s="11" t="str">
        <f t="shared" si="155"/>
        <v/>
      </c>
      <c r="AE298" s="11" t="s">
        <v>1119</v>
      </c>
      <c r="AF298" s="11" t="str">
        <f t="shared" si="156"/>
        <v/>
      </c>
      <c r="AG298" s="11" t="str">
        <f t="shared" si="157"/>
        <v/>
      </c>
      <c r="AH298" s="11" t="str">
        <f t="shared" si="162"/>
        <v/>
      </c>
      <c r="AI298" s="11" t="str">
        <f t="shared" si="215"/>
        <v/>
      </c>
      <c r="AJ298" s="11" t="str">
        <f t="shared" si="158"/>
        <v/>
      </c>
      <c r="AK298" s="11" t="str">
        <f t="shared" si="159"/>
        <v/>
      </c>
      <c r="AN298" s="11" t="s">
        <v>1167</v>
      </c>
      <c r="AO298" s="11" t="s">
        <v>1009</v>
      </c>
    </row>
    <row r="299" spans="1:41" ht="31.5">
      <c r="A299" s="11">
        <v>293</v>
      </c>
      <c r="B299" s="11" t="s">
        <v>1002</v>
      </c>
      <c r="C299" s="11" t="s">
        <v>1169</v>
      </c>
      <c r="D299" s="32"/>
      <c r="E299" s="11" t="str">
        <f t="shared" si="136"/>
        <v>Select ...</v>
      </c>
      <c r="F299" s="11">
        <v>0.5</v>
      </c>
      <c r="G299" s="11">
        <v>0.5</v>
      </c>
      <c r="H299" s="11">
        <f>A50</f>
        <v>44</v>
      </c>
      <c r="I299" s="11">
        <f>A55</f>
        <v>49</v>
      </c>
      <c r="J299" s="11"/>
      <c r="K299" s="11"/>
      <c r="L299" s="11"/>
      <c r="M299" s="11" t="s">
        <v>694</v>
      </c>
      <c r="N299" s="11" t="s">
        <v>787</v>
      </c>
      <c r="O299" s="11" t="s">
        <v>791</v>
      </c>
      <c r="P299" s="11" t="s">
        <v>1006</v>
      </c>
      <c r="Q299" s="11" t="s">
        <v>1118</v>
      </c>
      <c r="R299" s="11" t="str">
        <f t="shared" si="196"/>
        <v/>
      </c>
      <c r="S299" s="11" t="str">
        <f t="shared" si="197"/>
        <v/>
      </c>
      <c r="T299" s="11" t="str">
        <f t="shared" si="198"/>
        <v/>
      </c>
      <c r="U299" s="11" t="str">
        <f t="shared" si="199"/>
        <v/>
      </c>
      <c r="V299" s="11" t="str">
        <f t="shared" si="200"/>
        <v/>
      </c>
      <c r="W299" s="11" t="str">
        <f t="shared" si="102"/>
        <v/>
      </c>
      <c r="X299" s="11" t="s">
        <v>1007</v>
      </c>
      <c r="Y299" s="11" t="str">
        <f>HLOOKUP($X299,Tables_Cat!$B$6:$P$7,2,FALSE)</f>
        <v>Information</v>
      </c>
      <c r="Z299" s="24" t="s">
        <v>700</v>
      </c>
      <c r="AA299" s="11" t="s">
        <v>728</v>
      </c>
      <c r="AB299" s="13" t="str">
        <f t="shared" si="161"/>
        <v/>
      </c>
      <c r="AC299" s="11" t="s">
        <v>1008</v>
      </c>
      <c r="AD299" s="11" t="str">
        <f t="shared" si="155"/>
        <v/>
      </c>
      <c r="AE299" s="11" t="s">
        <v>1119</v>
      </c>
      <c r="AF299" s="11" t="str">
        <f t="shared" si="156"/>
        <v/>
      </c>
      <c r="AG299" s="11" t="str">
        <f t="shared" si="157"/>
        <v/>
      </c>
      <c r="AH299" s="11" t="str">
        <f t="shared" si="162"/>
        <v/>
      </c>
      <c r="AI299" s="11" t="str">
        <f t="shared" si="215"/>
        <v/>
      </c>
      <c r="AJ299" s="11" t="str">
        <f t="shared" si="158"/>
        <v/>
      </c>
      <c r="AK299" s="11" t="str">
        <f t="shared" si="159"/>
        <v/>
      </c>
      <c r="AN299" s="11" t="s">
        <v>1170</v>
      </c>
      <c r="AO299" s="11" t="s">
        <v>1009</v>
      </c>
    </row>
    <row r="300" spans="1:41" ht="47.25">
      <c r="A300" s="11">
        <v>294</v>
      </c>
      <c r="B300" s="11" t="s">
        <v>1002</v>
      </c>
      <c r="C300" s="11" t="s">
        <v>1171</v>
      </c>
      <c r="D300" s="32"/>
      <c r="E300" s="11" t="str">
        <f t="shared" si="136"/>
        <v>Select ...</v>
      </c>
      <c r="F300" s="11">
        <v>0.5</v>
      </c>
      <c r="G300" s="11">
        <v>0.5</v>
      </c>
      <c r="H300" s="11">
        <f>A50</f>
        <v>44</v>
      </c>
      <c r="I300" s="11">
        <f>A55</f>
        <v>49</v>
      </c>
      <c r="J300" s="11"/>
      <c r="K300" s="11"/>
      <c r="L300" s="11"/>
      <c r="M300" s="11" t="s">
        <v>694</v>
      </c>
      <c r="N300" s="11" t="s">
        <v>787</v>
      </c>
      <c r="O300" s="11" t="s">
        <v>791</v>
      </c>
      <c r="P300" s="11" t="s">
        <v>1006</v>
      </c>
      <c r="Q300" s="11" t="s">
        <v>1152</v>
      </c>
      <c r="R300" s="11" t="str">
        <f t="shared" si="196"/>
        <v/>
      </c>
      <c r="S300" s="11" t="str">
        <f t="shared" si="197"/>
        <v/>
      </c>
      <c r="T300" s="11" t="str">
        <f t="shared" si="198"/>
        <v/>
      </c>
      <c r="U300" s="11" t="str">
        <f t="shared" si="199"/>
        <v/>
      </c>
      <c r="V300" s="11" t="str">
        <f t="shared" si="200"/>
        <v/>
      </c>
      <c r="W300" s="11" t="str">
        <f t="shared" si="102"/>
        <v/>
      </c>
      <c r="X300" s="11" t="s">
        <v>1007</v>
      </c>
      <c r="Y300" s="11" t="str">
        <f>HLOOKUP($X300,Tables_Cat!$B$6:$P$7,2,FALSE)</f>
        <v>Information</v>
      </c>
      <c r="Z300" s="24" t="s">
        <v>700</v>
      </c>
      <c r="AA300" s="11" t="s">
        <v>728</v>
      </c>
      <c r="AB300" s="13" t="str">
        <f t="shared" si="161"/>
        <v/>
      </c>
      <c r="AC300" s="11" t="s">
        <v>971</v>
      </c>
      <c r="AD300" s="11" t="str">
        <f t="shared" si="155"/>
        <v/>
      </c>
      <c r="AE300" s="11" t="s">
        <v>1153</v>
      </c>
      <c r="AF300" s="11" t="str">
        <f t="shared" si="156"/>
        <v/>
      </c>
      <c r="AG300" s="11" t="str">
        <f t="shared" si="157"/>
        <v/>
      </c>
      <c r="AH300" s="11" t="str">
        <f t="shared" si="162"/>
        <v/>
      </c>
      <c r="AI300" s="11" t="str">
        <f t="shared" si="215"/>
        <v/>
      </c>
      <c r="AJ300" s="11" t="str">
        <f t="shared" si="158"/>
        <v/>
      </c>
      <c r="AK300" s="11" t="str">
        <f t="shared" si="159"/>
        <v/>
      </c>
      <c r="AN300" s="11" t="s">
        <v>1172</v>
      </c>
      <c r="AO300" s="11" t="s">
        <v>1009</v>
      </c>
    </row>
    <row r="301" spans="1:41" ht="47.25">
      <c r="A301" s="11">
        <v>295</v>
      </c>
      <c r="B301" s="11" t="s">
        <v>1002</v>
      </c>
      <c r="C301" s="11" t="s">
        <v>1173</v>
      </c>
      <c r="D301" s="32"/>
      <c r="E301" s="11" t="str">
        <f t="shared" ref="E301" si="220">IF(D301="","Select ...")</f>
        <v>Select ...</v>
      </c>
      <c r="F301" s="11">
        <v>0.5</v>
      </c>
      <c r="G301" s="11">
        <v>0.5</v>
      </c>
      <c r="H301" s="11">
        <f>A51</f>
        <v>45</v>
      </c>
      <c r="I301" s="11">
        <f>A56</f>
        <v>50</v>
      </c>
      <c r="J301" s="11"/>
      <c r="K301" s="11"/>
      <c r="L301" s="11"/>
      <c r="M301" s="11" t="s">
        <v>694</v>
      </c>
      <c r="N301" s="11" t="s">
        <v>787</v>
      </c>
      <c r="O301" s="11" t="s">
        <v>791</v>
      </c>
      <c r="P301" s="11" t="s">
        <v>1006</v>
      </c>
      <c r="Q301" s="11" t="s">
        <v>1152</v>
      </c>
      <c r="R301" s="11" t="str">
        <f t="shared" si="196"/>
        <v/>
      </c>
      <c r="S301" s="11" t="str">
        <f t="shared" si="197"/>
        <v/>
      </c>
      <c r="T301" s="11" t="str">
        <f t="shared" si="198"/>
        <v/>
      </c>
      <c r="U301" s="11" t="str">
        <f t="shared" si="199"/>
        <v/>
      </c>
      <c r="V301" s="11" t="str">
        <f t="shared" si="200"/>
        <v/>
      </c>
      <c r="W301" s="11" t="str">
        <f t="shared" ref="W301" si="221">IF($E301="Yes",MAX(R301:V301),"")</f>
        <v/>
      </c>
      <c r="X301" s="11" t="s">
        <v>1007</v>
      </c>
      <c r="Y301" s="11" t="str">
        <f>HLOOKUP($X301,Tables_Cat!$B$6:$P$7,2,FALSE)</f>
        <v>Information</v>
      </c>
      <c r="Z301" s="24" t="s">
        <v>700</v>
      </c>
      <c r="AA301" s="11" t="s">
        <v>728</v>
      </c>
      <c r="AB301" s="13" t="str">
        <f t="shared" si="161"/>
        <v/>
      </c>
      <c r="AC301" s="11" t="s">
        <v>971</v>
      </c>
      <c r="AD301" s="11" t="str">
        <f t="shared" si="155"/>
        <v/>
      </c>
      <c r="AE301" s="11" t="s">
        <v>1153</v>
      </c>
      <c r="AF301" s="11" t="str">
        <f t="shared" si="156"/>
        <v/>
      </c>
      <c r="AG301" s="11" t="str">
        <f t="shared" si="157"/>
        <v/>
      </c>
      <c r="AH301" s="11" t="str">
        <f t="shared" si="162"/>
        <v/>
      </c>
      <c r="AI301" s="11" t="str">
        <f t="shared" si="215"/>
        <v/>
      </c>
      <c r="AJ301" s="11" t="str">
        <f t="shared" si="158"/>
        <v/>
      </c>
      <c r="AK301" s="11" t="str">
        <f t="shared" si="159"/>
        <v/>
      </c>
      <c r="AN301" s="11" t="s">
        <v>1167</v>
      </c>
      <c r="AO301" s="11" t="s">
        <v>1009</v>
      </c>
    </row>
    <row r="302" spans="1:41" ht="31.5">
      <c r="A302" s="11">
        <v>296</v>
      </c>
      <c r="B302" s="11" t="s">
        <v>1002</v>
      </c>
      <c r="C302" s="11" t="s">
        <v>1174</v>
      </c>
      <c r="D302" s="32"/>
      <c r="E302" s="11" t="str">
        <f t="shared" si="136"/>
        <v>Select ...</v>
      </c>
      <c r="F302" s="11">
        <v>0.5</v>
      </c>
      <c r="G302" s="11">
        <v>0.5</v>
      </c>
      <c r="H302" s="11">
        <f>A50</f>
        <v>44</v>
      </c>
      <c r="I302" s="11">
        <f>A55</f>
        <v>49</v>
      </c>
      <c r="J302" s="11"/>
      <c r="K302" s="11"/>
      <c r="L302" s="11"/>
      <c r="M302" s="11" t="s">
        <v>694</v>
      </c>
      <c r="N302" s="11" t="s">
        <v>787</v>
      </c>
      <c r="O302" s="11" t="s">
        <v>791</v>
      </c>
      <c r="P302" s="11" t="s">
        <v>1006</v>
      </c>
      <c r="Q302" s="11" t="s">
        <v>1156</v>
      </c>
      <c r="R302" s="11" t="str">
        <f t="shared" si="196"/>
        <v/>
      </c>
      <c r="S302" s="11" t="str">
        <f t="shared" si="197"/>
        <v/>
      </c>
      <c r="T302" s="11" t="str">
        <f t="shared" si="198"/>
        <v/>
      </c>
      <c r="U302" s="11" t="str">
        <f t="shared" si="199"/>
        <v/>
      </c>
      <c r="V302" s="11" t="str">
        <f t="shared" si="200"/>
        <v/>
      </c>
      <c r="W302" s="11" t="str">
        <f t="shared" si="102"/>
        <v/>
      </c>
      <c r="X302" s="11" t="s">
        <v>1007</v>
      </c>
      <c r="Y302" s="11" t="str">
        <f>HLOOKUP($X302,Tables_Cat!$B$6:$P$7,2,FALSE)</f>
        <v>Information</v>
      </c>
      <c r="Z302" s="24" t="s">
        <v>700</v>
      </c>
      <c r="AA302" s="11" t="s">
        <v>728</v>
      </c>
      <c r="AB302" s="13" t="str">
        <f t="shared" si="161"/>
        <v/>
      </c>
      <c r="AC302" s="11" t="s">
        <v>922</v>
      </c>
      <c r="AD302" s="11" t="str">
        <f t="shared" si="155"/>
        <v/>
      </c>
      <c r="AE302" s="11" t="s">
        <v>923</v>
      </c>
      <c r="AF302" s="11" t="str">
        <f t="shared" si="156"/>
        <v/>
      </c>
      <c r="AG302" s="11" t="str">
        <f t="shared" si="157"/>
        <v/>
      </c>
      <c r="AH302" s="11" t="str">
        <f t="shared" si="162"/>
        <v/>
      </c>
      <c r="AI302" s="11" t="str">
        <f t="shared" si="215"/>
        <v/>
      </c>
      <c r="AJ302" s="11" t="str">
        <f t="shared" si="158"/>
        <v/>
      </c>
      <c r="AK302" s="11" t="str">
        <f t="shared" si="159"/>
        <v/>
      </c>
      <c r="AN302" s="11" t="s">
        <v>1175</v>
      </c>
      <c r="AO302" s="11" t="s">
        <v>1009</v>
      </c>
    </row>
    <row r="303" spans="1:41" ht="47.25">
      <c r="A303" s="11">
        <v>297</v>
      </c>
      <c r="B303" s="11" t="s">
        <v>1002</v>
      </c>
      <c r="C303" s="11" t="s">
        <v>1176</v>
      </c>
      <c r="D303" s="32"/>
      <c r="E303" s="11" t="str">
        <f t="shared" si="136"/>
        <v>Select ...</v>
      </c>
      <c r="F303" s="11">
        <v>0.5</v>
      </c>
      <c r="G303" s="11">
        <v>0.5</v>
      </c>
      <c r="H303" s="11">
        <f>A50</f>
        <v>44</v>
      </c>
      <c r="I303" s="11">
        <f>A55</f>
        <v>49</v>
      </c>
      <c r="J303" s="11"/>
      <c r="K303" s="11"/>
      <c r="L303" s="11"/>
      <c r="M303" s="11" t="s">
        <v>694</v>
      </c>
      <c r="N303" s="11" t="s">
        <v>787</v>
      </c>
      <c r="O303" s="11" t="s">
        <v>791</v>
      </c>
      <c r="P303" s="11" t="s">
        <v>1006</v>
      </c>
      <c r="Q303" s="11" t="s">
        <v>1158</v>
      </c>
      <c r="R303" s="11" t="str">
        <f t="shared" si="196"/>
        <v/>
      </c>
      <c r="S303" s="11" t="str">
        <f t="shared" si="197"/>
        <v/>
      </c>
      <c r="T303" s="11" t="str">
        <f t="shared" si="198"/>
        <v/>
      </c>
      <c r="U303" s="11" t="str">
        <f t="shared" si="199"/>
        <v/>
      </c>
      <c r="V303" s="11" t="str">
        <f t="shared" si="200"/>
        <v/>
      </c>
      <c r="W303" s="11" t="str">
        <f t="shared" si="102"/>
        <v/>
      </c>
      <c r="X303" s="11" t="s">
        <v>1007</v>
      </c>
      <c r="Y303" s="11" t="str">
        <f>HLOOKUP($X303,Tables_Cat!$B$6:$P$7,2,FALSE)</f>
        <v>Information</v>
      </c>
      <c r="Z303" s="24" t="s">
        <v>700</v>
      </c>
      <c r="AA303" s="11" t="s">
        <v>728</v>
      </c>
      <c r="AB303" s="13" t="str">
        <f t="shared" si="161"/>
        <v/>
      </c>
      <c r="AC303" s="11" t="s">
        <v>1008</v>
      </c>
      <c r="AD303" s="11" t="str">
        <f t="shared" si="155"/>
        <v/>
      </c>
      <c r="AE303" s="11" t="s">
        <v>1159</v>
      </c>
      <c r="AF303" s="11" t="str">
        <f t="shared" si="156"/>
        <v/>
      </c>
      <c r="AG303" s="11" t="str">
        <f t="shared" si="157"/>
        <v/>
      </c>
      <c r="AH303" s="11" t="str">
        <f t="shared" si="162"/>
        <v/>
      </c>
      <c r="AI303" s="11" t="str">
        <f t="shared" si="215"/>
        <v/>
      </c>
      <c r="AJ303" s="11" t="str">
        <f t="shared" si="158"/>
        <v/>
      </c>
      <c r="AK303" s="11" t="str">
        <f t="shared" si="159"/>
        <v/>
      </c>
      <c r="AN303" s="11" t="s">
        <v>1177</v>
      </c>
      <c r="AO303" s="11" t="s">
        <v>1009</v>
      </c>
    </row>
    <row r="304" spans="1:41" ht="31.5">
      <c r="A304" s="11">
        <v>298</v>
      </c>
      <c r="B304" s="11" t="s">
        <v>1002</v>
      </c>
      <c r="C304" s="11" t="s">
        <v>1178</v>
      </c>
      <c r="D304" s="32"/>
      <c r="E304" s="11" t="str">
        <f t="shared" ref="E304" si="222">IF(D304="","Select ...")</f>
        <v>Select ...</v>
      </c>
      <c r="F304" s="11">
        <v>0.5</v>
      </c>
      <c r="G304" s="11">
        <v>0.5</v>
      </c>
      <c r="H304" s="11">
        <f>A51</f>
        <v>45</v>
      </c>
      <c r="I304" s="11">
        <f>A56</f>
        <v>50</v>
      </c>
      <c r="J304" s="11"/>
      <c r="K304" s="11"/>
      <c r="L304" s="11"/>
      <c r="M304" s="11" t="s">
        <v>694</v>
      </c>
      <c r="N304" s="11" t="s">
        <v>787</v>
      </c>
      <c r="O304" s="11" t="s">
        <v>791</v>
      </c>
      <c r="P304" s="11" t="s">
        <v>1006</v>
      </c>
      <c r="Q304" s="11" t="s">
        <v>1118</v>
      </c>
      <c r="R304" s="11" t="str">
        <f t="shared" si="196"/>
        <v/>
      </c>
      <c r="S304" s="11" t="str">
        <f t="shared" si="197"/>
        <v/>
      </c>
      <c r="T304" s="11" t="str">
        <f t="shared" si="198"/>
        <v/>
      </c>
      <c r="U304" s="11" t="str">
        <f t="shared" si="199"/>
        <v/>
      </c>
      <c r="V304" s="11" t="str">
        <f t="shared" si="200"/>
        <v/>
      </c>
      <c r="W304" s="11" t="str">
        <f t="shared" ref="W304" si="223">IF($E304="Yes",MAX(R304:V304),"")</f>
        <v/>
      </c>
      <c r="X304" s="11" t="s">
        <v>1007</v>
      </c>
      <c r="Y304" s="11" t="str">
        <f>HLOOKUP($X304,Tables_Cat!$B$6:$P$7,2,FALSE)</f>
        <v>Information</v>
      </c>
      <c r="Z304" s="24" t="s">
        <v>700</v>
      </c>
      <c r="AA304" s="11" t="s">
        <v>728</v>
      </c>
      <c r="AB304" s="13" t="str">
        <f t="shared" si="161"/>
        <v/>
      </c>
      <c r="AC304" s="11" t="s">
        <v>1008</v>
      </c>
      <c r="AD304" s="11" t="str">
        <f t="shared" si="155"/>
        <v/>
      </c>
      <c r="AE304" s="11" t="s">
        <v>1119</v>
      </c>
      <c r="AF304" s="11" t="str">
        <f t="shared" si="156"/>
        <v/>
      </c>
      <c r="AG304" s="11" t="str">
        <f t="shared" si="157"/>
        <v/>
      </c>
      <c r="AH304" s="11" t="str">
        <f t="shared" si="162"/>
        <v/>
      </c>
      <c r="AI304" s="11" t="str">
        <f t="shared" si="215"/>
        <v/>
      </c>
      <c r="AJ304" s="11" t="str">
        <f t="shared" si="158"/>
        <v/>
      </c>
      <c r="AK304" s="11" t="str">
        <f t="shared" si="159"/>
        <v/>
      </c>
      <c r="AN304" s="11" t="s">
        <v>1167</v>
      </c>
      <c r="AO304" s="11" t="s">
        <v>1009</v>
      </c>
    </row>
    <row r="305" spans="1:41" ht="31.5">
      <c r="A305" s="11">
        <v>299</v>
      </c>
      <c r="B305" s="11" t="s">
        <v>1002</v>
      </c>
      <c r="C305" s="11" t="s">
        <v>1179</v>
      </c>
      <c r="D305" s="32"/>
      <c r="E305" s="11" t="str">
        <f t="shared" si="136"/>
        <v>Select ...</v>
      </c>
      <c r="F305" s="11">
        <v>0.5</v>
      </c>
      <c r="G305" s="11">
        <v>0.5</v>
      </c>
      <c r="H305" s="11">
        <f>A50</f>
        <v>44</v>
      </c>
      <c r="I305" s="11">
        <f>A55</f>
        <v>49</v>
      </c>
      <c r="J305" s="11"/>
      <c r="K305" s="11"/>
      <c r="L305" s="11"/>
      <c r="M305" s="11" t="s">
        <v>694</v>
      </c>
      <c r="N305" s="11" t="s">
        <v>787</v>
      </c>
      <c r="O305" s="11" t="s">
        <v>791</v>
      </c>
      <c r="P305" s="11" t="s">
        <v>1006</v>
      </c>
      <c r="Q305" s="11" t="s">
        <v>1158</v>
      </c>
      <c r="R305" s="11" t="str">
        <f t="shared" si="196"/>
        <v/>
      </c>
      <c r="S305" s="11" t="str">
        <f t="shared" si="197"/>
        <v/>
      </c>
      <c r="T305" s="11" t="str">
        <f t="shared" si="198"/>
        <v/>
      </c>
      <c r="U305" s="11" t="str">
        <f t="shared" si="199"/>
        <v/>
      </c>
      <c r="V305" s="11" t="str">
        <f t="shared" si="200"/>
        <v/>
      </c>
      <c r="W305" s="11" t="str">
        <f t="shared" si="102"/>
        <v/>
      </c>
      <c r="X305" s="11" t="s">
        <v>1007</v>
      </c>
      <c r="Y305" s="11" t="str">
        <f>HLOOKUP($X305,Tables_Cat!$B$6:$P$7,2,FALSE)</f>
        <v>Information</v>
      </c>
      <c r="Z305" s="24" t="s">
        <v>700</v>
      </c>
      <c r="AA305" s="11" t="s">
        <v>728</v>
      </c>
      <c r="AB305" s="13" t="str">
        <f t="shared" si="161"/>
        <v/>
      </c>
      <c r="AC305" s="11" t="s">
        <v>1008</v>
      </c>
      <c r="AD305" s="11" t="str">
        <f t="shared" si="155"/>
        <v/>
      </c>
      <c r="AE305" s="11" t="s">
        <v>1159</v>
      </c>
      <c r="AF305" s="11" t="str">
        <f t="shared" si="156"/>
        <v/>
      </c>
      <c r="AG305" s="11" t="str">
        <f t="shared" si="157"/>
        <v/>
      </c>
      <c r="AH305" s="11" t="str">
        <f t="shared" si="162"/>
        <v/>
      </c>
      <c r="AI305" s="11" t="str">
        <f t="shared" si="215"/>
        <v/>
      </c>
      <c r="AJ305" s="11" t="str">
        <f t="shared" si="158"/>
        <v/>
      </c>
      <c r="AK305" s="11" t="str">
        <f t="shared" si="159"/>
        <v/>
      </c>
      <c r="AN305" s="11" t="s">
        <v>1180</v>
      </c>
      <c r="AO305" s="11" t="s">
        <v>1009</v>
      </c>
    </row>
    <row r="306" spans="1:41" ht="47.25">
      <c r="A306" s="11">
        <v>300</v>
      </c>
      <c r="B306" s="11" t="s">
        <v>767</v>
      </c>
      <c r="C306" s="11" t="s">
        <v>1181</v>
      </c>
      <c r="D306" s="32"/>
      <c r="E306" s="11" t="s">
        <v>4</v>
      </c>
      <c r="F306" s="11">
        <v>1.5</v>
      </c>
      <c r="G306" s="11">
        <v>1</v>
      </c>
      <c r="H306" s="11">
        <f>A305</f>
        <v>299</v>
      </c>
      <c r="I306" s="11"/>
      <c r="J306" s="11"/>
      <c r="K306" s="11"/>
      <c r="L306" s="11"/>
      <c r="M306" s="11" t="s">
        <v>694</v>
      </c>
      <c r="N306" s="11" t="s">
        <v>769</v>
      </c>
      <c r="O306" s="11" t="s">
        <v>464</v>
      </c>
      <c r="P306" s="11" t="s">
        <v>764</v>
      </c>
      <c r="Q306" s="11" t="s">
        <v>770</v>
      </c>
      <c r="R306" s="11" t="str">
        <f t="shared" si="196"/>
        <v/>
      </c>
      <c r="S306" s="11" t="str">
        <f t="shared" si="197"/>
        <v/>
      </c>
      <c r="T306" s="11" t="str">
        <f t="shared" si="198"/>
        <v/>
      </c>
      <c r="U306" s="11" t="str">
        <f t="shared" si="199"/>
        <v/>
      </c>
      <c r="V306" s="11" t="str">
        <f t="shared" si="200"/>
        <v/>
      </c>
      <c r="W306" s="11" t="str">
        <f t="shared" si="102"/>
        <v/>
      </c>
      <c r="X306" s="11" t="s">
        <v>771</v>
      </c>
      <c r="Y306" s="11" t="str">
        <f>HLOOKUP($X306,Tables_Cat!$B$6:$P$7,2,FALSE)</f>
        <v>Material</v>
      </c>
      <c r="Z306" s="24" t="s">
        <v>709</v>
      </c>
      <c r="AA306" s="11" t="s">
        <v>765</v>
      </c>
      <c r="AB306" s="13" t="str">
        <f t="shared" si="161"/>
        <v/>
      </c>
      <c r="AC306" s="11" t="s">
        <v>702</v>
      </c>
      <c r="AD306" s="11" t="str">
        <f t="shared" si="155"/>
        <v/>
      </c>
      <c r="AE306" s="11" t="s">
        <v>772</v>
      </c>
      <c r="AF306" s="11" t="str">
        <f t="shared" si="156"/>
        <v/>
      </c>
      <c r="AG306" s="11" t="str">
        <f t="shared" si="157"/>
        <v/>
      </c>
      <c r="AH306" s="11" t="str">
        <f t="shared" si="162"/>
        <v/>
      </c>
      <c r="AI306" s="11" t="str">
        <f t="shared" si="215"/>
        <v/>
      </c>
      <c r="AJ306" s="11" t="str">
        <f t="shared" si="158"/>
        <v/>
      </c>
      <c r="AK306" s="11" t="str">
        <f t="shared" si="159"/>
        <v/>
      </c>
      <c r="AN306" s="11" t="s">
        <v>1164</v>
      </c>
      <c r="AO306" s="11" t="s">
        <v>766</v>
      </c>
    </row>
    <row r="307" spans="1:41" ht="47.25">
      <c r="A307" s="11">
        <v>301</v>
      </c>
      <c r="B307" s="11" t="s">
        <v>767</v>
      </c>
      <c r="C307" s="11" t="s">
        <v>1182</v>
      </c>
      <c r="D307" s="32"/>
      <c r="E307" s="11" t="s">
        <v>4</v>
      </c>
      <c r="F307" s="11">
        <v>1.5</v>
      </c>
      <c r="G307" s="11">
        <v>1</v>
      </c>
      <c r="H307" s="11">
        <f>A306</f>
        <v>300</v>
      </c>
      <c r="I307" s="11"/>
      <c r="J307" s="11"/>
      <c r="K307" s="11"/>
      <c r="L307" s="11"/>
      <c r="M307" s="11" t="s">
        <v>694</v>
      </c>
      <c r="N307" s="11" t="s">
        <v>769</v>
      </c>
      <c r="O307" s="11" t="s">
        <v>464</v>
      </c>
      <c r="P307" s="11" t="s">
        <v>764</v>
      </c>
      <c r="Q307" s="11" t="s">
        <v>770</v>
      </c>
      <c r="R307" s="11" t="str">
        <f t="shared" si="196"/>
        <v/>
      </c>
      <c r="S307" s="11" t="str">
        <f t="shared" si="197"/>
        <v/>
      </c>
      <c r="T307" s="11" t="str">
        <f t="shared" si="198"/>
        <v/>
      </c>
      <c r="U307" s="11" t="str">
        <f t="shared" si="199"/>
        <v/>
      </c>
      <c r="V307" s="11" t="str">
        <f t="shared" si="200"/>
        <v/>
      </c>
      <c r="W307" s="11" t="str">
        <f t="shared" ref="W307:W308" si="224">IF($E307="Yes",MAX(R307:V307),"")</f>
        <v/>
      </c>
      <c r="X307" s="11" t="s">
        <v>771</v>
      </c>
      <c r="Y307" s="11" t="str">
        <f>HLOOKUP($X307,Tables_Cat!$B$6:$P$7,2,FALSE)</f>
        <v>Material</v>
      </c>
      <c r="Z307" s="24" t="s">
        <v>709</v>
      </c>
      <c r="AA307" s="11" t="s">
        <v>765</v>
      </c>
      <c r="AB307" s="13" t="str">
        <f t="shared" si="161"/>
        <v/>
      </c>
      <c r="AC307" s="11" t="s">
        <v>702</v>
      </c>
      <c r="AD307" s="11" t="str">
        <f t="shared" si="155"/>
        <v/>
      </c>
      <c r="AE307" s="11" t="s">
        <v>772</v>
      </c>
      <c r="AF307" s="11" t="str">
        <f t="shared" si="156"/>
        <v/>
      </c>
      <c r="AG307" s="11" t="str">
        <f t="shared" si="157"/>
        <v/>
      </c>
      <c r="AH307" s="11" t="str">
        <f t="shared" si="162"/>
        <v/>
      </c>
      <c r="AI307" s="11" t="str">
        <f t="shared" si="215"/>
        <v/>
      </c>
      <c r="AJ307" s="11" t="str">
        <f t="shared" si="158"/>
        <v/>
      </c>
      <c r="AK307" s="11" t="str">
        <f t="shared" si="159"/>
        <v/>
      </c>
      <c r="AN307" s="11" t="s">
        <v>1170</v>
      </c>
      <c r="AO307" s="11" t="s">
        <v>766</v>
      </c>
    </row>
    <row r="308" spans="1:41" ht="47.25">
      <c r="A308" s="11">
        <v>302</v>
      </c>
      <c r="B308" s="11" t="s">
        <v>767</v>
      </c>
      <c r="C308" s="11" t="s">
        <v>1183</v>
      </c>
      <c r="D308" s="32"/>
      <c r="E308" s="11" t="s">
        <v>4</v>
      </c>
      <c r="F308" s="11">
        <v>1.5</v>
      </c>
      <c r="G308" s="11">
        <v>1</v>
      </c>
      <c r="H308" s="11">
        <f>A307</f>
        <v>301</v>
      </c>
      <c r="I308" s="11"/>
      <c r="J308" s="11"/>
      <c r="K308" s="11"/>
      <c r="L308" s="11"/>
      <c r="M308" s="11" t="s">
        <v>694</v>
      </c>
      <c r="N308" s="11" t="s">
        <v>769</v>
      </c>
      <c r="O308" s="11" t="s">
        <v>464</v>
      </c>
      <c r="P308" s="11" t="s">
        <v>764</v>
      </c>
      <c r="Q308" s="11" t="s">
        <v>770</v>
      </c>
      <c r="R308" s="11" t="str">
        <f t="shared" si="196"/>
        <v/>
      </c>
      <c r="S308" s="11" t="str">
        <f t="shared" si="197"/>
        <v/>
      </c>
      <c r="T308" s="11" t="str">
        <f t="shared" si="198"/>
        <v/>
      </c>
      <c r="U308" s="11" t="str">
        <f t="shared" si="199"/>
        <v/>
      </c>
      <c r="V308" s="11" t="str">
        <f t="shared" si="200"/>
        <v/>
      </c>
      <c r="W308" s="11" t="str">
        <f t="shared" si="224"/>
        <v/>
      </c>
      <c r="X308" s="11" t="s">
        <v>771</v>
      </c>
      <c r="Y308" s="11" t="str">
        <f>HLOOKUP($X308,Tables_Cat!$B$6:$P$7,2,FALSE)</f>
        <v>Material</v>
      </c>
      <c r="Z308" s="24" t="s">
        <v>709</v>
      </c>
      <c r="AA308" s="11" t="s">
        <v>765</v>
      </c>
      <c r="AB308" s="13" t="str">
        <f t="shared" si="161"/>
        <v/>
      </c>
      <c r="AC308" s="11" t="s">
        <v>702</v>
      </c>
      <c r="AD308" s="11" t="str">
        <f t="shared" si="155"/>
        <v/>
      </c>
      <c r="AE308" s="11" t="s">
        <v>772</v>
      </c>
      <c r="AF308" s="11" t="str">
        <f t="shared" si="156"/>
        <v/>
      </c>
      <c r="AG308" s="11" t="str">
        <f t="shared" si="157"/>
        <v/>
      </c>
      <c r="AH308" s="11" t="str">
        <f t="shared" si="162"/>
        <v/>
      </c>
      <c r="AI308" s="11" t="str">
        <f t="shared" si="215"/>
        <v/>
      </c>
      <c r="AJ308" s="11" t="str">
        <f t="shared" si="158"/>
        <v/>
      </c>
      <c r="AK308" s="11" t="str">
        <f t="shared" si="159"/>
        <v/>
      </c>
      <c r="AN308" s="11" t="s">
        <v>1172</v>
      </c>
      <c r="AO308" s="11" t="s">
        <v>766</v>
      </c>
    </row>
    <row r="309" spans="1:41" ht="47.25">
      <c r="A309" s="11">
        <v>303</v>
      </c>
      <c r="B309" s="11" t="s">
        <v>767</v>
      </c>
      <c r="C309" s="11" t="s">
        <v>1184</v>
      </c>
      <c r="D309" s="32"/>
      <c r="E309" s="11" t="s">
        <v>4</v>
      </c>
      <c r="F309" s="11">
        <v>1.5</v>
      </c>
      <c r="G309" s="11">
        <v>1</v>
      </c>
      <c r="H309" s="11">
        <f>A308</f>
        <v>302</v>
      </c>
      <c r="I309" s="11"/>
      <c r="J309" s="11"/>
      <c r="K309" s="11"/>
      <c r="L309" s="11"/>
      <c r="M309" s="11" t="s">
        <v>694</v>
      </c>
      <c r="N309" s="11" t="s">
        <v>769</v>
      </c>
      <c r="O309" s="11" t="s">
        <v>464</v>
      </c>
      <c r="P309" s="11" t="s">
        <v>764</v>
      </c>
      <c r="Q309" s="11" t="s">
        <v>770</v>
      </c>
      <c r="R309" s="11" t="str">
        <f t="shared" si="196"/>
        <v/>
      </c>
      <c r="S309" s="11" t="str">
        <f t="shared" si="197"/>
        <v/>
      </c>
      <c r="T309" s="11" t="str">
        <f t="shared" si="198"/>
        <v/>
      </c>
      <c r="U309" s="11" t="str">
        <f t="shared" si="199"/>
        <v/>
      </c>
      <c r="V309" s="11" t="str">
        <f t="shared" si="200"/>
        <v/>
      </c>
      <c r="W309" s="11" t="str">
        <f t="shared" ref="W309" si="225">IF($E309="Yes",MAX(R309:V309),"")</f>
        <v/>
      </c>
      <c r="X309" s="11" t="s">
        <v>771</v>
      </c>
      <c r="Y309" s="11" t="str">
        <f>HLOOKUP($X309,Tables_Cat!$B$6:$P$7,2,FALSE)</f>
        <v>Material</v>
      </c>
      <c r="Z309" s="24" t="s">
        <v>709</v>
      </c>
      <c r="AA309" s="11" t="s">
        <v>765</v>
      </c>
      <c r="AB309" s="13" t="str">
        <f t="shared" si="161"/>
        <v/>
      </c>
      <c r="AC309" s="11" t="s">
        <v>702</v>
      </c>
      <c r="AD309" s="11" t="str">
        <f t="shared" si="155"/>
        <v/>
      </c>
      <c r="AE309" s="11" t="s">
        <v>772</v>
      </c>
      <c r="AF309" s="11" t="str">
        <f t="shared" si="156"/>
        <v/>
      </c>
      <c r="AG309" s="11" t="str">
        <f t="shared" si="157"/>
        <v/>
      </c>
      <c r="AH309" s="11" t="str">
        <f t="shared" si="162"/>
        <v/>
      </c>
      <c r="AI309" s="11" t="str">
        <f t="shared" si="215"/>
        <v/>
      </c>
      <c r="AJ309" s="11" t="str">
        <f t="shared" si="158"/>
        <v/>
      </c>
      <c r="AK309" s="11" t="str">
        <f t="shared" si="159"/>
        <v/>
      </c>
      <c r="AN309" s="11" t="s">
        <v>1175</v>
      </c>
      <c r="AO309" s="11" t="s">
        <v>766</v>
      </c>
    </row>
    <row r="310" spans="1:41" ht="47.25">
      <c r="A310" s="11">
        <v>304</v>
      </c>
      <c r="B310" s="11" t="s">
        <v>767</v>
      </c>
      <c r="C310" s="11" t="s">
        <v>1185</v>
      </c>
      <c r="D310" s="32"/>
      <c r="E310" s="11" t="s">
        <v>4</v>
      </c>
      <c r="F310" s="11">
        <v>1.5</v>
      </c>
      <c r="G310" s="11">
        <v>1</v>
      </c>
      <c r="H310" s="11">
        <f>A309</f>
        <v>303</v>
      </c>
      <c r="I310" s="11"/>
      <c r="J310" s="11"/>
      <c r="K310" s="11"/>
      <c r="L310" s="11"/>
      <c r="M310" s="11" t="s">
        <v>694</v>
      </c>
      <c r="N310" s="11" t="s">
        <v>769</v>
      </c>
      <c r="O310" s="11" t="s">
        <v>464</v>
      </c>
      <c r="P310" s="11" t="s">
        <v>764</v>
      </c>
      <c r="Q310" s="11" t="s">
        <v>770</v>
      </c>
      <c r="R310" s="11" t="str">
        <f t="shared" si="196"/>
        <v/>
      </c>
      <c r="S310" s="11" t="str">
        <f t="shared" si="197"/>
        <v/>
      </c>
      <c r="T310" s="11" t="str">
        <f t="shared" si="198"/>
        <v/>
      </c>
      <c r="U310" s="11" t="str">
        <f t="shared" si="199"/>
        <v/>
      </c>
      <c r="V310" s="11" t="str">
        <f t="shared" si="200"/>
        <v/>
      </c>
      <c r="W310" s="11" t="str">
        <f t="shared" ref="W310" si="226">IF($E310="Yes",MAX(R310:V310),"")</f>
        <v/>
      </c>
      <c r="X310" s="11" t="s">
        <v>771</v>
      </c>
      <c r="Y310" s="11" t="str">
        <f>HLOOKUP($X310,Tables_Cat!$B$6:$P$7,2,FALSE)</f>
        <v>Material</v>
      </c>
      <c r="Z310" s="24" t="s">
        <v>709</v>
      </c>
      <c r="AA310" s="11" t="s">
        <v>765</v>
      </c>
      <c r="AB310" s="13" t="str">
        <f t="shared" si="161"/>
        <v/>
      </c>
      <c r="AC310" s="11" t="s">
        <v>702</v>
      </c>
      <c r="AD310" s="11" t="str">
        <f t="shared" si="155"/>
        <v/>
      </c>
      <c r="AE310" s="11" t="s">
        <v>772</v>
      </c>
      <c r="AF310" s="11" t="str">
        <f t="shared" si="156"/>
        <v/>
      </c>
      <c r="AG310" s="11" t="str">
        <f t="shared" si="157"/>
        <v/>
      </c>
      <c r="AH310" s="11" t="str">
        <f t="shared" si="162"/>
        <v/>
      </c>
      <c r="AI310" s="11" t="str">
        <f t="shared" si="215"/>
        <v/>
      </c>
      <c r="AJ310" s="11" t="str">
        <f t="shared" si="158"/>
        <v/>
      </c>
      <c r="AK310" s="11" t="str">
        <f t="shared" si="159"/>
        <v/>
      </c>
      <c r="AN310" s="11" t="s">
        <v>1180</v>
      </c>
      <c r="AO310" s="11" t="s">
        <v>766</v>
      </c>
    </row>
    <row r="311" spans="1:41" ht="31.5">
      <c r="A311" s="11">
        <v>305</v>
      </c>
      <c r="B311" s="11" t="s">
        <v>1002</v>
      </c>
      <c r="C311" s="11" t="s">
        <v>1186</v>
      </c>
      <c r="D311" s="32"/>
      <c r="E311" s="11" t="s">
        <v>3</v>
      </c>
      <c r="F311" s="11">
        <v>0.5</v>
      </c>
      <c r="G311" s="11">
        <v>0</v>
      </c>
      <c r="H311" s="11">
        <f>A285</f>
        <v>279</v>
      </c>
      <c r="I311" s="11"/>
      <c r="J311" s="11"/>
      <c r="K311" s="11"/>
      <c r="L311" s="11"/>
      <c r="M311" s="11" t="s">
        <v>694</v>
      </c>
      <c r="N311" s="11" t="s">
        <v>787</v>
      </c>
      <c r="O311" s="11" t="s">
        <v>800</v>
      </c>
      <c r="P311" s="11" t="s">
        <v>1006</v>
      </c>
      <c r="Q311" s="11" t="s">
        <v>1118</v>
      </c>
      <c r="R311" s="11">
        <f t="shared" si="196"/>
        <v>27</v>
      </c>
      <c r="S311" s="11" t="str">
        <f t="shared" si="197"/>
        <v/>
      </c>
      <c r="T311" s="11" t="str">
        <f t="shared" si="198"/>
        <v/>
      </c>
      <c r="U311" s="11" t="str">
        <f t="shared" si="199"/>
        <v/>
      </c>
      <c r="V311" s="11" t="str">
        <f t="shared" si="200"/>
        <v/>
      </c>
      <c r="W311" s="11">
        <f t="shared" si="102"/>
        <v>27</v>
      </c>
      <c r="X311" s="11" t="s">
        <v>1007</v>
      </c>
      <c r="Y311" s="11" t="str">
        <f>HLOOKUP($X311,Tables_Cat!$B$6:$P$7,2,FALSE)</f>
        <v>Information</v>
      </c>
      <c r="Z311" s="24" t="s">
        <v>700</v>
      </c>
      <c r="AA311" s="11" t="s">
        <v>728</v>
      </c>
      <c r="AB311" s="13">
        <f t="shared" si="161"/>
        <v>1</v>
      </c>
      <c r="AC311" s="11" t="s">
        <v>1008</v>
      </c>
      <c r="AD311" s="11">
        <f t="shared" si="155"/>
        <v>1</v>
      </c>
      <c r="AE311" s="11" t="s">
        <v>1119</v>
      </c>
      <c r="AF311" s="11">
        <f t="shared" si="156"/>
        <v>13.5</v>
      </c>
      <c r="AG311" s="11">
        <f t="shared" si="157"/>
        <v>364.5</v>
      </c>
      <c r="AH311" s="11">
        <f t="shared" si="162"/>
        <v>4</v>
      </c>
      <c r="AI311" s="11">
        <f t="shared" si="215"/>
        <v>0</v>
      </c>
      <c r="AJ311" s="11">
        <f t="shared" si="158"/>
        <v>0</v>
      </c>
      <c r="AK311" s="11">
        <f t="shared" si="159"/>
        <v>0</v>
      </c>
      <c r="AN311" s="11" t="s">
        <v>1164</v>
      </c>
      <c r="AO311" s="11" t="s">
        <v>1009</v>
      </c>
    </row>
    <row r="312" spans="1:41" ht="63">
      <c r="A312" s="11">
        <v>306</v>
      </c>
      <c r="B312" s="11" t="s">
        <v>1002</v>
      </c>
      <c r="C312" s="11" t="s">
        <v>1187</v>
      </c>
      <c r="D312" s="32"/>
      <c r="E312" s="11" t="s">
        <v>3</v>
      </c>
      <c r="F312" s="11">
        <v>1.5</v>
      </c>
      <c r="G312" s="11">
        <v>0.5</v>
      </c>
      <c r="H312" s="11">
        <f>A286</f>
        <v>280</v>
      </c>
      <c r="I312" s="11"/>
      <c r="J312" s="11"/>
      <c r="K312" s="11"/>
      <c r="L312" s="11"/>
      <c r="M312" s="11" t="s">
        <v>694</v>
      </c>
      <c r="N312" s="11" t="s">
        <v>787</v>
      </c>
      <c r="O312" s="11" t="s">
        <v>791</v>
      </c>
      <c r="P312" s="11" t="s">
        <v>1006</v>
      </c>
      <c r="Q312" s="11" t="s">
        <v>1118</v>
      </c>
      <c r="R312" s="11">
        <f t="shared" si="196"/>
        <v>27</v>
      </c>
      <c r="S312" s="11" t="str">
        <f t="shared" si="197"/>
        <v/>
      </c>
      <c r="T312" s="11" t="str">
        <f t="shared" si="198"/>
        <v/>
      </c>
      <c r="U312" s="11" t="str">
        <f t="shared" si="199"/>
        <v/>
      </c>
      <c r="V312" s="11" t="str">
        <f t="shared" si="200"/>
        <v/>
      </c>
      <c r="W312" s="11">
        <f t="shared" si="102"/>
        <v>27</v>
      </c>
      <c r="X312" s="11" t="s">
        <v>1007</v>
      </c>
      <c r="Y312" s="11" t="str">
        <f>HLOOKUP($X312,Tables_Cat!$B$6:$P$7,2,FALSE)</f>
        <v>Information</v>
      </c>
      <c r="Z312" s="24" t="s">
        <v>700</v>
      </c>
      <c r="AA312" s="11" t="s">
        <v>728</v>
      </c>
      <c r="AB312" s="13">
        <f t="shared" si="161"/>
        <v>0.66666666666666663</v>
      </c>
      <c r="AC312" s="11" t="s">
        <v>1166</v>
      </c>
      <c r="AD312" s="11">
        <f t="shared" si="155"/>
        <v>0.66666666666666663</v>
      </c>
      <c r="AE312" s="11" t="s">
        <v>1119</v>
      </c>
      <c r="AF312" s="11">
        <f t="shared" si="156"/>
        <v>40.5</v>
      </c>
      <c r="AG312" s="11">
        <f t="shared" si="157"/>
        <v>1093.5</v>
      </c>
      <c r="AH312" s="11">
        <f t="shared" si="162"/>
        <v>4</v>
      </c>
      <c r="AI312" s="11">
        <f t="shared" si="215"/>
        <v>0</v>
      </c>
      <c r="AJ312" s="11">
        <f t="shared" si="158"/>
        <v>13.5</v>
      </c>
      <c r="AK312" s="11">
        <f t="shared" si="159"/>
        <v>364.5</v>
      </c>
      <c r="AN312" s="11" t="s">
        <v>1167</v>
      </c>
      <c r="AO312" s="11" t="s">
        <v>1009</v>
      </c>
    </row>
    <row r="313" spans="1:41" ht="63">
      <c r="A313" s="11">
        <v>307</v>
      </c>
      <c r="B313" s="11" t="s">
        <v>1002</v>
      </c>
      <c r="C313" s="11" t="s">
        <v>1188</v>
      </c>
      <c r="D313" s="32"/>
      <c r="E313" s="11" t="str">
        <f t="shared" ref="E313" si="227">IF(D313="","Select ...")</f>
        <v>Select ...</v>
      </c>
      <c r="F313" s="11">
        <v>1</v>
      </c>
      <c r="G313" s="11">
        <v>1</v>
      </c>
      <c r="H313" s="11">
        <f>A67</f>
        <v>61</v>
      </c>
      <c r="I313" s="11">
        <f>A72</f>
        <v>66</v>
      </c>
      <c r="J313" s="11"/>
      <c r="K313" s="11"/>
      <c r="L313" s="11"/>
      <c r="M313" s="11" t="s">
        <v>694</v>
      </c>
      <c r="N313" s="11" t="s">
        <v>787</v>
      </c>
      <c r="O313" s="11" t="s">
        <v>791</v>
      </c>
      <c r="P313" s="11" t="s">
        <v>1006</v>
      </c>
      <c r="Q313" s="11" t="s">
        <v>1118</v>
      </c>
      <c r="R313" s="11" t="str">
        <f t="shared" si="196"/>
        <v/>
      </c>
      <c r="S313" s="11" t="str">
        <f t="shared" si="197"/>
        <v/>
      </c>
      <c r="T313" s="11" t="str">
        <f t="shared" si="198"/>
        <v/>
      </c>
      <c r="U313" s="11" t="str">
        <f t="shared" si="199"/>
        <v/>
      </c>
      <c r="V313" s="11" t="str">
        <f t="shared" si="200"/>
        <v/>
      </c>
      <c r="W313" s="11" t="str">
        <f t="shared" ref="W313" si="228">IF($E313="Yes",MAX(R313:V313),"")</f>
        <v/>
      </c>
      <c r="X313" s="11" t="s">
        <v>1007</v>
      </c>
      <c r="Y313" s="11" t="str">
        <f>HLOOKUP($X313,Tables_Cat!$B$6:$P$7,2,FALSE)</f>
        <v>Information</v>
      </c>
      <c r="Z313" s="24" t="s">
        <v>700</v>
      </c>
      <c r="AA313" s="11" t="s">
        <v>728</v>
      </c>
      <c r="AB313" s="13" t="str">
        <f t="shared" si="161"/>
        <v/>
      </c>
      <c r="AC313" s="11" t="s">
        <v>1166</v>
      </c>
      <c r="AD313" s="11" t="str">
        <f t="shared" si="155"/>
        <v/>
      </c>
      <c r="AE313" s="11" t="s">
        <v>1119</v>
      </c>
      <c r="AF313" s="11" t="str">
        <f t="shared" si="156"/>
        <v/>
      </c>
      <c r="AG313" s="11" t="str">
        <f t="shared" si="157"/>
        <v/>
      </c>
      <c r="AH313" s="11" t="str">
        <f t="shared" si="162"/>
        <v/>
      </c>
      <c r="AI313" s="11" t="str">
        <f t="shared" si="215"/>
        <v/>
      </c>
      <c r="AJ313" s="11" t="str">
        <f t="shared" si="158"/>
        <v/>
      </c>
      <c r="AK313" s="11" t="str">
        <f t="shared" si="159"/>
        <v/>
      </c>
      <c r="AN313" s="11" t="s">
        <v>1167</v>
      </c>
      <c r="AO313" s="11" t="s">
        <v>1009</v>
      </c>
    </row>
    <row r="314" spans="1:41" ht="31.5">
      <c r="A314" s="11">
        <v>308</v>
      </c>
      <c r="B314" s="11" t="s">
        <v>1002</v>
      </c>
      <c r="C314" s="11" t="s">
        <v>1189</v>
      </c>
      <c r="D314" s="32"/>
      <c r="E314" s="11" t="str">
        <f t="shared" si="136"/>
        <v>Select ...</v>
      </c>
      <c r="F314" s="11">
        <v>0.25</v>
      </c>
      <c r="G314" s="11">
        <v>0</v>
      </c>
      <c r="H314" s="11">
        <f>A288</f>
        <v>282</v>
      </c>
      <c r="I314" s="11"/>
      <c r="J314" s="11"/>
      <c r="K314" s="11"/>
      <c r="L314" s="11"/>
      <c r="M314" s="11" t="s">
        <v>694</v>
      </c>
      <c r="N314" s="11" t="s">
        <v>787</v>
      </c>
      <c r="O314" s="11" t="s">
        <v>800</v>
      </c>
      <c r="P314" s="11" t="s">
        <v>1006</v>
      </c>
      <c r="Q314" s="11" t="s">
        <v>1118</v>
      </c>
      <c r="R314" s="11" t="str">
        <f t="shared" si="196"/>
        <v/>
      </c>
      <c r="S314" s="11" t="str">
        <f t="shared" si="197"/>
        <v/>
      </c>
      <c r="T314" s="11" t="str">
        <f t="shared" si="198"/>
        <v/>
      </c>
      <c r="U314" s="11" t="str">
        <f t="shared" si="199"/>
        <v/>
      </c>
      <c r="V314" s="11" t="str">
        <f t="shared" si="200"/>
        <v/>
      </c>
      <c r="W314" s="11" t="str">
        <f t="shared" si="102"/>
        <v/>
      </c>
      <c r="X314" s="11" t="s">
        <v>1007</v>
      </c>
      <c r="Y314" s="11" t="str">
        <f>HLOOKUP($X314,Tables_Cat!$B$6:$P$7,2,FALSE)</f>
        <v>Information</v>
      </c>
      <c r="Z314" s="24" t="s">
        <v>700</v>
      </c>
      <c r="AA314" s="11" t="s">
        <v>728</v>
      </c>
      <c r="AB314" s="13" t="str">
        <f t="shared" si="161"/>
        <v/>
      </c>
      <c r="AC314" s="11" t="s">
        <v>1008</v>
      </c>
      <c r="AD314" s="11" t="str">
        <f t="shared" si="155"/>
        <v/>
      </c>
      <c r="AE314" s="11" t="s">
        <v>1119</v>
      </c>
      <c r="AF314" s="11" t="str">
        <f t="shared" si="156"/>
        <v/>
      </c>
      <c r="AG314" s="11" t="str">
        <f t="shared" si="157"/>
        <v/>
      </c>
      <c r="AH314" s="11" t="str">
        <f t="shared" si="162"/>
        <v/>
      </c>
      <c r="AI314" s="11" t="str">
        <f t="shared" si="215"/>
        <v/>
      </c>
      <c r="AJ314" s="11" t="str">
        <f t="shared" si="158"/>
        <v/>
      </c>
      <c r="AK314" s="11" t="str">
        <f t="shared" si="159"/>
        <v/>
      </c>
      <c r="AN314" s="11" t="s">
        <v>1170</v>
      </c>
      <c r="AO314" s="11" t="s">
        <v>1009</v>
      </c>
    </row>
    <row r="315" spans="1:41" ht="47.25">
      <c r="A315" s="11">
        <v>309</v>
      </c>
      <c r="B315" s="11" t="s">
        <v>1002</v>
      </c>
      <c r="C315" s="11" t="s">
        <v>1190</v>
      </c>
      <c r="D315" s="32"/>
      <c r="E315" s="11" t="s">
        <v>3</v>
      </c>
      <c r="F315" s="11">
        <v>0.25</v>
      </c>
      <c r="G315" s="11">
        <v>0</v>
      </c>
      <c r="H315" s="11">
        <f>A289</f>
        <v>283</v>
      </c>
      <c r="I315" s="11"/>
      <c r="J315" s="11"/>
      <c r="K315" s="11"/>
      <c r="L315" s="11"/>
      <c r="M315" s="11" t="s">
        <v>694</v>
      </c>
      <c r="N315" s="11" t="s">
        <v>787</v>
      </c>
      <c r="O315" s="11" t="s">
        <v>800</v>
      </c>
      <c r="P315" s="11" t="s">
        <v>1006</v>
      </c>
      <c r="Q315" s="11" t="s">
        <v>1152</v>
      </c>
      <c r="R315" s="11">
        <f t="shared" si="196"/>
        <v>25.5</v>
      </c>
      <c r="S315" s="11" t="str">
        <f t="shared" si="197"/>
        <v/>
      </c>
      <c r="T315" s="11" t="str">
        <f t="shared" si="198"/>
        <v/>
      </c>
      <c r="U315" s="11" t="str">
        <f t="shared" si="199"/>
        <v/>
      </c>
      <c r="V315" s="11" t="str">
        <f t="shared" si="200"/>
        <v/>
      </c>
      <c r="W315" s="11">
        <f t="shared" si="102"/>
        <v>25.5</v>
      </c>
      <c r="X315" s="11" t="s">
        <v>1007</v>
      </c>
      <c r="Y315" s="11" t="str">
        <f>HLOOKUP($X315,Tables_Cat!$B$6:$P$7,2,FALSE)</f>
        <v>Information</v>
      </c>
      <c r="Z315" s="24" t="s">
        <v>700</v>
      </c>
      <c r="AA315" s="11" t="s">
        <v>728</v>
      </c>
      <c r="AB315" s="13">
        <f t="shared" si="161"/>
        <v>1</v>
      </c>
      <c r="AC315" s="11" t="s">
        <v>971</v>
      </c>
      <c r="AD315" s="11">
        <f t="shared" si="155"/>
        <v>1</v>
      </c>
      <c r="AE315" s="11" t="s">
        <v>1153</v>
      </c>
      <c r="AF315" s="11">
        <f t="shared" si="156"/>
        <v>6.375</v>
      </c>
      <c r="AG315" s="11">
        <f t="shared" si="157"/>
        <v>162.5625</v>
      </c>
      <c r="AH315" s="11">
        <f t="shared" si="162"/>
        <v>4</v>
      </c>
      <c r="AI315" s="11">
        <f t="shared" si="215"/>
        <v>0</v>
      </c>
      <c r="AJ315" s="11">
        <f t="shared" si="158"/>
        <v>0</v>
      </c>
      <c r="AK315" s="11">
        <f t="shared" si="159"/>
        <v>0</v>
      </c>
      <c r="AN315" s="11" t="s">
        <v>1172</v>
      </c>
      <c r="AO315" s="11" t="s">
        <v>1009</v>
      </c>
    </row>
    <row r="316" spans="1:41" ht="47.25">
      <c r="A316" s="11">
        <v>310</v>
      </c>
      <c r="B316" s="11" t="s">
        <v>1002</v>
      </c>
      <c r="C316" s="11" t="s">
        <v>1191</v>
      </c>
      <c r="D316" s="32"/>
      <c r="E316" s="11" t="s">
        <v>3</v>
      </c>
      <c r="F316" s="11">
        <v>0.25</v>
      </c>
      <c r="G316" s="11">
        <v>0</v>
      </c>
      <c r="H316" s="11">
        <f>A290</f>
        <v>284</v>
      </c>
      <c r="I316" s="11"/>
      <c r="J316" s="11"/>
      <c r="K316" s="11"/>
      <c r="L316" s="11"/>
      <c r="M316" s="11" t="s">
        <v>694</v>
      </c>
      <c r="N316" s="11" t="s">
        <v>787</v>
      </c>
      <c r="O316" s="11" t="s">
        <v>791</v>
      </c>
      <c r="P316" s="11" t="s">
        <v>1006</v>
      </c>
      <c r="Q316" s="11" t="s">
        <v>1152</v>
      </c>
      <c r="R316" s="11">
        <f t="shared" si="196"/>
        <v>25.5</v>
      </c>
      <c r="S316" s="11" t="str">
        <f t="shared" si="197"/>
        <v/>
      </c>
      <c r="T316" s="11" t="str">
        <f t="shared" si="198"/>
        <v/>
      </c>
      <c r="U316" s="11" t="str">
        <f t="shared" si="199"/>
        <v/>
      </c>
      <c r="V316" s="11" t="str">
        <f t="shared" si="200"/>
        <v/>
      </c>
      <c r="W316" s="11">
        <f t="shared" ref="W316" si="229">IF($E316="Yes",MAX(R316:V316),"")</f>
        <v>25.5</v>
      </c>
      <c r="X316" s="11" t="s">
        <v>1007</v>
      </c>
      <c r="Y316" s="11" t="str">
        <f>HLOOKUP($X316,Tables_Cat!$B$6:$P$7,2,FALSE)</f>
        <v>Information</v>
      </c>
      <c r="Z316" s="24" t="s">
        <v>700</v>
      </c>
      <c r="AA316" s="11" t="s">
        <v>728</v>
      </c>
      <c r="AB316" s="13">
        <f t="shared" si="161"/>
        <v>1</v>
      </c>
      <c r="AC316" s="11" t="s">
        <v>971</v>
      </c>
      <c r="AD316" s="11">
        <f t="shared" ref="AD316:AD408" si="230">IF($E316="Yes",$AB316+$AI316,"")</f>
        <v>1</v>
      </c>
      <c r="AE316" s="11" t="s">
        <v>1153</v>
      </c>
      <c r="AF316" s="11">
        <f t="shared" ref="AF316:AF408" si="231">IF($E316="Yes",$F316*$W316,"")</f>
        <v>6.375</v>
      </c>
      <c r="AG316" s="11">
        <f t="shared" ref="AG316:AG408" si="232">IF($E316="Yes",$F316*$W316^2,"")</f>
        <v>162.5625</v>
      </c>
      <c r="AH316" s="11">
        <f t="shared" si="162"/>
        <v>4</v>
      </c>
      <c r="AI316" s="11">
        <f t="shared" si="215"/>
        <v>0</v>
      </c>
      <c r="AJ316" s="11">
        <f t="shared" ref="AJ316:AJ408" si="233">IF($E316="Yes",$G316*$W316,"")</f>
        <v>0</v>
      </c>
      <c r="AK316" s="11">
        <f t="shared" ref="AK316:AK408" si="234">IF($E316="Yes",$G316*$W316^2,"")</f>
        <v>0</v>
      </c>
      <c r="AN316" s="11" t="s">
        <v>1167</v>
      </c>
      <c r="AO316" s="11" t="s">
        <v>1009</v>
      </c>
    </row>
    <row r="317" spans="1:41" ht="31.5">
      <c r="A317" s="11">
        <v>311</v>
      </c>
      <c r="B317" s="11" t="s">
        <v>1002</v>
      </c>
      <c r="C317" s="11" t="s">
        <v>1192</v>
      </c>
      <c r="D317" s="32"/>
      <c r="E317" s="11" t="str">
        <f t="shared" si="136"/>
        <v>Select ...</v>
      </c>
      <c r="F317" s="11">
        <v>0.25</v>
      </c>
      <c r="G317" s="11">
        <v>0</v>
      </c>
      <c r="H317" s="11">
        <f>A291</f>
        <v>285</v>
      </c>
      <c r="I317" s="11"/>
      <c r="J317" s="11"/>
      <c r="K317" s="11"/>
      <c r="L317" s="11"/>
      <c r="M317" s="11" t="s">
        <v>694</v>
      </c>
      <c r="N317" s="11" t="s">
        <v>787</v>
      </c>
      <c r="O317" s="11" t="s">
        <v>800</v>
      </c>
      <c r="P317" s="11" t="s">
        <v>1006</v>
      </c>
      <c r="Q317" s="11" t="s">
        <v>1156</v>
      </c>
      <c r="R317" s="11" t="str">
        <f t="shared" si="196"/>
        <v/>
      </c>
      <c r="S317" s="11" t="str">
        <f t="shared" si="197"/>
        <v/>
      </c>
      <c r="T317" s="11" t="str">
        <f t="shared" si="198"/>
        <v/>
      </c>
      <c r="U317" s="11" t="str">
        <f t="shared" si="199"/>
        <v/>
      </c>
      <c r="V317" s="11" t="str">
        <f t="shared" si="200"/>
        <v/>
      </c>
      <c r="W317" s="11" t="str">
        <f t="shared" ref="W317:W378" si="235">IF($E317="Yes",MAX(R317:V317),"")</f>
        <v/>
      </c>
      <c r="X317" s="11" t="s">
        <v>1007</v>
      </c>
      <c r="Y317" s="11" t="str">
        <f>HLOOKUP($X317,Tables_Cat!$B$6:$P$7,2,FALSE)</f>
        <v>Information</v>
      </c>
      <c r="Z317" s="24" t="s">
        <v>700</v>
      </c>
      <c r="AA317" s="11" t="s">
        <v>728</v>
      </c>
      <c r="AB317" s="13" t="str">
        <f t="shared" ref="AB317:AB408" si="236">IF($E317="Yes",($F317-$G317)/$F317,"")</f>
        <v/>
      </c>
      <c r="AC317" s="11" t="s">
        <v>922</v>
      </c>
      <c r="AD317" s="11" t="str">
        <f t="shared" si="230"/>
        <v/>
      </c>
      <c r="AE317" s="11" t="s">
        <v>923</v>
      </c>
      <c r="AF317" s="11" t="str">
        <f t="shared" si="231"/>
        <v/>
      </c>
      <c r="AG317" s="11" t="str">
        <f t="shared" si="232"/>
        <v/>
      </c>
      <c r="AH317" s="11" t="str">
        <f t="shared" ref="AH317:AH408" si="237">IF($E317="Yes",IF($AA317="Engineer",5,IF($AA317="Implement",4,IF($AA317="Manage",3,IF($AA317="Validate",2,1)))),"")</f>
        <v/>
      </c>
      <c r="AI317" s="11" t="str">
        <f t="shared" si="215"/>
        <v/>
      </c>
      <c r="AJ317" s="11" t="str">
        <f t="shared" si="233"/>
        <v/>
      </c>
      <c r="AK317" s="11" t="str">
        <f t="shared" si="234"/>
        <v/>
      </c>
      <c r="AN317" s="11" t="s">
        <v>1175</v>
      </c>
      <c r="AO317" s="11" t="s">
        <v>1009</v>
      </c>
    </row>
    <row r="318" spans="1:41" ht="47.25">
      <c r="A318" s="11">
        <v>312</v>
      </c>
      <c r="B318" s="11" t="s">
        <v>1002</v>
      </c>
      <c r="C318" s="11" t="s">
        <v>1193</v>
      </c>
      <c r="D318" s="32"/>
      <c r="E318" s="11" t="str">
        <f t="shared" si="136"/>
        <v>Select ...</v>
      </c>
      <c r="F318" s="11">
        <v>0.25</v>
      </c>
      <c r="G318" s="11">
        <v>0</v>
      </c>
      <c r="H318" s="11">
        <f>A292</f>
        <v>286</v>
      </c>
      <c r="I318" s="11"/>
      <c r="J318" s="11"/>
      <c r="K318" s="11"/>
      <c r="L318" s="11"/>
      <c r="M318" s="11" t="s">
        <v>694</v>
      </c>
      <c r="N318" s="11" t="s">
        <v>787</v>
      </c>
      <c r="O318" s="11" t="s">
        <v>800</v>
      </c>
      <c r="P318" s="11" t="s">
        <v>1006</v>
      </c>
      <c r="Q318" s="11" t="s">
        <v>1158</v>
      </c>
      <c r="R318" s="11" t="str">
        <f t="shared" si="196"/>
        <v/>
      </c>
      <c r="S318" s="11" t="str">
        <f t="shared" si="197"/>
        <v/>
      </c>
      <c r="T318" s="11" t="str">
        <f t="shared" si="198"/>
        <v/>
      </c>
      <c r="U318" s="11" t="str">
        <f t="shared" si="199"/>
        <v/>
      </c>
      <c r="V318" s="11" t="str">
        <f t="shared" si="200"/>
        <v/>
      </c>
      <c r="W318" s="11" t="str">
        <f t="shared" si="235"/>
        <v/>
      </c>
      <c r="X318" s="11" t="s">
        <v>1007</v>
      </c>
      <c r="Y318" s="11" t="str">
        <f>HLOOKUP($X318,Tables_Cat!$B$6:$P$7,2,FALSE)</f>
        <v>Information</v>
      </c>
      <c r="Z318" s="24" t="s">
        <v>700</v>
      </c>
      <c r="AA318" s="11" t="s">
        <v>728</v>
      </c>
      <c r="AB318" s="13" t="str">
        <f t="shared" si="236"/>
        <v/>
      </c>
      <c r="AC318" s="11" t="s">
        <v>1008</v>
      </c>
      <c r="AD318" s="11" t="str">
        <f t="shared" si="230"/>
        <v/>
      </c>
      <c r="AE318" s="11" t="s">
        <v>1159</v>
      </c>
      <c r="AF318" s="11" t="str">
        <f t="shared" si="231"/>
        <v/>
      </c>
      <c r="AG318" s="11" t="str">
        <f t="shared" si="232"/>
        <v/>
      </c>
      <c r="AH318" s="11" t="str">
        <f t="shared" si="237"/>
        <v/>
      </c>
      <c r="AI318" s="11" t="str">
        <f t="shared" si="215"/>
        <v/>
      </c>
      <c r="AJ318" s="11" t="str">
        <f t="shared" si="233"/>
        <v/>
      </c>
      <c r="AK318" s="11" t="str">
        <f t="shared" si="234"/>
        <v/>
      </c>
      <c r="AN318" s="11" t="s">
        <v>1177</v>
      </c>
      <c r="AO318" s="11" t="s">
        <v>1009</v>
      </c>
    </row>
    <row r="319" spans="1:41" ht="47.25">
      <c r="A319" s="11">
        <v>313</v>
      </c>
      <c r="B319" s="11" t="s">
        <v>1002</v>
      </c>
      <c r="C319" s="11" t="s">
        <v>1194</v>
      </c>
      <c r="D319" s="32"/>
      <c r="E319" s="11" t="str">
        <f t="shared" si="136"/>
        <v>Select ...</v>
      </c>
      <c r="F319" s="11">
        <v>0.5</v>
      </c>
      <c r="G319" s="11">
        <v>0.5</v>
      </c>
      <c r="H319" s="11">
        <f>A66</f>
        <v>60</v>
      </c>
      <c r="I319" s="11">
        <f>A71</f>
        <v>65</v>
      </c>
      <c r="J319" s="11"/>
      <c r="K319" s="11"/>
      <c r="L319" s="11"/>
      <c r="M319" s="11" t="s">
        <v>694</v>
      </c>
      <c r="N319" s="11" t="s">
        <v>787</v>
      </c>
      <c r="O319" s="11" t="s">
        <v>791</v>
      </c>
      <c r="P319" s="11" t="s">
        <v>1006</v>
      </c>
      <c r="Q319" s="11" t="s">
        <v>1118</v>
      </c>
      <c r="R319" s="11" t="str">
        <f t="shared" si="196"/>
        <v/>
      </c>
      <c r="S319" s="11" t="str">
        <f t="shared" si="197"/>
        <v/>
      </c>
      <c r="T319" s="11" t="str">
        <f t="shared" si="198"/>
        <v/>
      </c>
      <c r="U319" s="11" t="str">
        <f t="shared" si="199"/>
        <v/>
      </c>
      <c r="V319" s="11" t="str">
        <f t="shared" si="200"/>
        <v/>
      </c>
      <c r="W319" s="11" t="str">
        <f t="shared" si="235"/>
        <v/>
      </c>
      <c r="X319" s="11" t="s">
        <v>1007</v>
      </c>
      <c r="Y319" s="11" t="str">
        <f>HLOOKUP($X319,Tables_Cat!$B$6:$P$7,2,FALSE)</f>
        <v>Information</v>
      </c>
      <c r="Z319" s="24" t="s">
        <v>700</v>
      </c>
      <c r="AA319" s="11" t="s">
        <v>728</v>
      </c>
      <c r="AB319" s="13" t="str">
        <f t="shared" si="236"/>
        <v/>
      </c>
      <c r="AC319" s="11" t="s">
        <v>1008</v>
      </c>
      <c r="AD319" s="11" t="str">
        <f t="shared" si="230"/>
        <v/>
      </c>
      <c r="AE319" s="11" t="s">
        <v>1119</v>
      </c>
      <c r="AF319" s="11" t="str">
        <f t="shared" si="231"/>
        <v/>
      </c>
      <c r="AG319" s="11" t="str">
        <f t="shared" si="232"/>
        <v/>
      </c>
      <c r="AH319" s="11" t="str">
        <f t="shared" si="237"/>
        <v/>
      </c>
      <c r="AI319" s="11" t="str">
        <f t="shared" si="215"/>
        <v/>
      </c>
      <c r="AJ319" s="11" t="str">
        <f t="shared" si="233"/>
        <v/>
      </c>
      <c r="AK319" s="11" t="str">
        <f t="shared" si="234"/>
        <v/>
      </c>
      <c r="AN319" s="11" t="s">
        <v>1167</v>
      </c>
      <c r="AO319" s="11" t="s">
        <v>1009</v>
      </c>
    </row>
    <row r="320" spans="1:41" ht="31.5">
      <c r="A320" s="11">
        <v>314</v>
      </c>
      <c r="B320" s="11" t="s">
        <v>1002</v>
      </c>
      <c r="C320" s="11" t="s">
        <v>1195</v>
      </c>
      <c r="D320" s="32"/>
      <c r="E320" s="11" t="str">
        <f t="shared" si="136"/>
        <v>Select ...</v>
      </c>
      <c r="F320" s="11">
        <v>0.25</v>
      </c>
      <c r="G320" s="11">
        <v>0</v>
      </c>
      <c r="H320" s="11">
        <f>A294</f>
        <v>288</v>
      </c>
      <c r="I320" s="11"/>
      <c r="J320" s="11"/>
      <c r="K320" s="11"/>
      <c r="L320" s="11"/>
      <c r="M320" s="11" t="s">
        <v>694</v>
      </c>
      <c r="N320" s="11" t="s">
        <v>787</v>
      </c>
      <c r="O320" s="11" t="s">
        <v>800</v>
      </c>
      <c r="P320" s="11" t="s">
        <v>1006</v>
      </c>
      <c r="Q320" s="11" t="s">
        <v>1158</v>
      </c>
      <c r="R320" s="11" t="str">
        <f t="shared" si="196"/>
        <v/>
      </c>
      <c r="S320" s="11" t="str">
        <f t="shared" si="197"/>
        <v/>
      </c>
      <c r="T320" s="11" t="str">
        <f t="shared" si="198"/>
        <v/>
      </c>
      <c r="U320" s="11" t="str">
        <f t="shared" si="199"/>
        <v/>
      </c>
      <c r="V320" s="11" t="str">
        <f t="shared" si="200"/>
        <v/>
      </c>
      <c r="W320" s="11" t="str">
        <f t="shared" si="235"/>
        <v/>
      </c>
      <c r="X320" s="11" t="s">
        <v>1007</v>
      </c>
      <c r="Y320" s="11" t="str">
        <f>HLOOKUP($X320,Tables_Cat!$B$6:$P$7,2,FALSE)</f>
        <v>Information</v>
      </c>
      <c r="Z320" s="24" t="s">
        <v>700</v>
      </c>
      <c r="AA320" s="11" t="s">
        <v>728</v>
      </c>
      <c r="AB320" s="13" t="str">
        <f t="shared" si="236"/>
        <v/>
      </c>
      <c r="AC320" s="11" t="s">
        <v>1008</v>
      </c>
      <c r="AD320" s="11" t="str">
        <f t="shared" si="230"/>
        <v/>
      </c>
      <c r="AE320" s="11" t="s">
        <v>1159</v>
      </c>
      <c r="AF320" s="11" t="str">
        <f t="shared" si="231"/>
        <v/>
      </c>
      <c r="AG320" s="11" t="str">
        <f t="shared" si="232"/>
        <v/>
      </c>
      <c r="AH320" s="11" t="str">
        <f t="shared" si="237"/>
        <v/>
      </c>
      <c r="AI320" s="11" t="str">
        <f t="shared" si="215"/>
        <v/>
      </c>
      <c r="AJ320" s="11" t="str">
        <f t="shared" si="233"/>
        <v/>
      </c>
      <c r="AK320" s="11" t="str">
        <f t="shared" si="234"/>
        <v/>
      </c>
      <c r="AN320" s="11" t="s">
        <v>1180</v>
      </c>
      <c r="AO320" s="11" t="s">
        <v>1009</v>
      </c>
    </row>
    <row r="321" spans="1:41" ht="47.25">
      <c r="A321" s="11">
        <v>315</v>
      </c>
      <c r="B321" s="11" t="s">
        <v>1002</v>
      </c>
      <c r="C321" s="11" t="s">
        <v>1196</v>
      </c>
      <c r="D321" s="32"/>
      <c r="E321" s="11" t="str">
        <f t="shared" si="136"/>
        <v>Select ...</v>
      </c>
      <c r="F321" s="11">
        <v>0.25</v>
      </c>
      <c r="G321" s="11">
        <v>0</v>
      </c>
      <c r="H321" s="11">
        <f>A285</f>
        <v>279</v>
      </c>
      <c r="I321" s="11"/>
      <c r="J321" s="11"/>
      <c r="K321" s="11"/>
      <c r="L321" s="11"/>
      <c r="M321" s="11" t="s">
        <v>694</v>
      </c>
      <c r="N321" s="11" t="s">
        <v>787</v>
      </c>
      <c r="O321" s="11" t="s">
        <v>800</v>
      </c>
      <c r="P321" s="11" t="s">
        <v>1006</v>
      </c>
      <c r="Q321" s="11" t="s">
        <v>1107</v>
      </c>
      <c r="R321" s="11" t="str">
        <f t="shared" si="196"/>
        <v/>
      </c>
      <c r="S321" s="11" t="str">
        <f t="shared" si="197"/>
        <v/>
      </c>
      <c r="T321" s="11" t="str">
        <f t="shared" si="198"/>
        <v/>
      </c>
      <c r="U321" s="11" t="str">
        <f t="shared" si="199"/>
        <v/>
      </c>
      <c r="V321" s="11" t="str">
        <f t="shared" si="200"/>
        <v/>
      </c>
      <c r="W321" s="11" t="str">
        <f t="shared" si="235"/>
        <v/>
      </c>
      <c r="X321" s="11" t="s">
        <v>1007</v>
      </c>
      <c r="Y321" s="11" t="str">
        <f>HLOOKUP($X321,Tables_Cat!$B$6:$P$7,2,FALSE)</f>
        <v>Information</v>
      </c>
      <c r="Z321" s="24" t="s">
        <v>793</v>
      </c>
      <c r="AA321" s="11" t="s">
        <v>728</v>
      </c>
      <c r="AB321" s="13" t="str">
        <f t="shared" si="236"/>
        <v/>
      </c>
      <c r="AC321" s="11" t="s">
        <v>1008</v>
      </c>
      <c r="AD321" s="11" t="str">
        <f t="shared" si="230"/>
        <v/>
      </c>
      <c r="AE321" s="11" t="s">
        <v>878</v>
      </c>
      <c r="AF321" s="11" t="str">
        <f t="shared" si="231"/>
        <v/>
      </c>
      <c r="AG321" s="11" t="str">
        <f t="shared" si="232"/>
        <v/>
      </c>
      <c r="AH321" s="11" t="str">
        <f t="shared" si="237"/>
        <v/>
      </c>
      <c r="AI321" s="11" t="str">
        <f t="shared" si="215"/>
        <v/>
      </c>
      <c r="AJ321" s="11" t="str">
        <f t="shared" si="233"/>
        <v/>
      </c>
      <c r="AK321" s="11" t="str">
        <f t="shared" si="234"/>
        <v/>
      </c>
      <c r="AN321" s="11" t="s">
        <v>1164</v>
      </c>
      <c r="AO321" s="11" t="s">
        <v>1009</v>
      </c>
    </row>
    <row r="322" spans="1:41" ht="63">
      <c r="A322" s="11">
        <v>316</v>
      </c>
      <c r="B322" s="11" t="s">
        <v>1002</v>
      </c>
      <c r="C322" s="11" t="s">
        <v>1197</v>
      </c>
      <c r="D322" s="32"/>
      <c r="E322" s="11" t="str">
        <f t="shared" si="136"/>
        <v>Select ...</v>
      </c>
      <c r="F322" s="11">
        <v>1</v>
      </c>
      <c r="G322" s="11">
        <v>1</v>
      </c>
      <c r="H322" s="11">
        <f>A286</f>
        <v>280</v>
      </c>
      <c r="I322" s="11"/>
      <c r="J322" s="11"/>
      <c r="K322" s="11"/>
      <c r="L322" s="11"/>
      <c r="M322" s="11" t="s">
        <v>694</v>
      </c>
      <c r="N322" s="11" t="s">
        <v>787</v>
      </c>
      <c r="O322" s="11" t="s">
        <v>791</v>
      </c>
      <c r="P322" s="11" t="s">
        <v>1006</v>
      </c>
      <c r="Q322" s="11" t="s">
        <v>1118</v>
      </c>
      <c r="R322" s="11" t="str">
        <f t="shared" si="196"/>
        <v/>
      </c>
      <c r="S322" s="11" t="str">
        <f t="shared" si="197"/>
        <v/>
      </c>
      <c r="T322" s="11" t="str">
        <f t="shared" si="198"/>
        <v/>
      </c>
      <c r="U322" s="11" t="str">
        <f t="shared" si="199"/>
        <v/>
      </c>
      <c r="V322" s="11" t="str">
        <f t="shared" si="200"/>
        <v/>
      </c>
      <c r="W322" s="11" t="str">
        <f t="shared" si="235"/>
        <v/>
      </c>
      <c r="X322" s="11" t="s">
        <v>1007</v>
      </c>
      <c r="Y322" s="11" t="str">
        <f>HLOOKUP($X322,Tables_Cat!$B$6:$P$7,2,FALSE)</f>
        <v>Information</v>
      </c>
      <c r="Z322" s="24" t="s">
        <v>793</v>
      </c>
      <c r="AA322" s="11" t="s">
        <v>728</v>
      </c>
      <c r="AB322" s="13" t="str">
        <f t="shared" si="236"/>
        <v/>
      </c>
      <c r="AC322" s="11" t="s">
        <v>1166</v>
      </c>
      <c r="AD322" s="11" t="str">
        <f t="shared" si="230"/>
        <v/>
      </c>
      <c r="AE322" s="11" t="s">
        <v>1119</v>
      </c>
      <c r="AF322" s="11" t="str">
        <f t="shared" si="231"/>
        <v/>
      </c>
      <c r="AG322" s="11" t="str">
        <f t="shared" si="232"/>
        <v/>
      </c>
      <c r="AH322" s="11" t="str">
        <f t="shared" si="237"/>
        <v/>
      </c>
      <c r="AI322" s="11" t="str">
        <f t="shared" si="215"/>
        <v/>
      </c>
      <c r="AJ322" s="11" t="str">
        <f t="shared" si="233"/>
        <v/>
      </c>
      <c r="AK322" s="11" t="str">
        <f t="shared" si="234"/>
        <v/>
      </c>
      <c r="AN322" s="11" t="s">
        <v>1167</v>
      </c>
      <c r="AO322" s="11" t="s">
        <v>1009</v>
      </c>
    </row>
    <row r="323" spans="1:41" ht="63">
      <c r="A323" s="11">
        <v>317</v>
      </c>
      <c r="B323" s="11" t="s">
        <v>1002</v>
      </c>
      <c r="C323" s="11" t="s">
        <v>1198</v>
      </c>
      <c r="D323" s="32"/>
      <c r="E323" s="11" t="str">
        <f t="shared" si="136"/>
        <v>Select ...</v>
      </c>
      <c r="F323" s="11">
        <v>1</v>
      </c>
      <c r="G323" s="11">
        <v>1</v>
      </c>
      <c r="H323" s="11">
        <f>A77</f>
        <v>71</v>
      </c>
      <c r="I323" s="11"/>
      <c r="J323" s="11"/>
      <c r="K323" s="11"/>
      <c r="L323" s="11"/>
      <c r="M323" s="11" t="s">
        <v>694</v>
      </c>
      <c r="N323" s="11" t="s">
        <v>787</v>
      </c>
      <c r="O323" s="11" t="s">
        <v>791</v>
      </c>
      <c r="P323" s="11" t="s">
        <v>1006</v>
      </c>
      <c r="Q323" s="11" t="s">
        <v>1118</v>
      </c>
      <c r="R323" s="11" t="str">
        <f t="shared" si="196"/>
        <v/>
      </c>
      <c r="S323" s="11" t="str">
        <f t="shared" si="197"/>
        <v/>
      </c>
      <c r="T323" s="11" t="str">
        <f t="shared" si="198"/>
        <v/>
      </c>
      <c r="U323" s="11" t="str">
        <f t="shared" si="199"/>
        <v/>
      </c>
      <c r="V323" s="11" t="str">
        <f t="shared" si="200"/>
        <v/>
      </c>
      <c r="W323" s="11" t="str">
        <f t="shared" si="235"/>
        <v/>
      </c>
      <c r="X323" s="11" t="s">
        <v>1007</v>
      </c>
      <c r="Y323" s="11" t="str">
        <f>HLOOKUP($X323,Tables_Cat!$B$6:$P$7,2,FALSE)</f>
        <v>Information</v>
      </c>
      <c r="Z323" s="24" t="s">
        <v>793</v>
      </c>
      <c r="AA323" s="11" t="s">
        <v>728</v>
      </c>
      <c r="AB323" s="13" t="str">
        <f t="shared" si="236"/>
        <v/>
      </c>
      <c r="AC323" s="11" t="s">
        <v>1166</v>
      </c>
      <c r="AD323" s="11" t="str">
        <f t="shared" si="230"/>
        <v/>
      </c>
      <c r="AE323" s="11" t="s">
        <v>1119</v>
      </c>
      <c r="AF323" s="11" t="str">
        <f t="shared" si="231"/>
        <v/>
      </c>
      <c r="AG323" s="11" t="str">
        <f t="shared" si="232"/>
        <v/>
      </c>
      <c r="AH323" s="11" t="str">
        <f t="shared" si="237"/>
        <v/>
      </c>
      <c r="AI323" s="11" t="str">
        <f t="shared" si="215"/>
        <v/>
      </c>
      <c r="AJ323" s="11" t="str">
        <f t="shared" si="233"/>
        <v/>
      </c>
      <c r="AK323" s="11" t="str">
        <f t="shared" si="234"/>
        <v/>
      </c>
      <c r="AN323" s="11" t="s">
        <v>1167</v>
      </c>
      <c r="AO323" s="11" t="s">
        <v>1009</v>
      </c>
    </row>
    <row r="324" spans="1:41" ht="47.25">
      <c r="A324" s="11">
        <v>318</v>
      </c>
      <c r="B324" s="11" t="s">
        <v>1002</v>
      </c>
      <c r="C324" s="11" t="s">
        <v>1199</v>
      </c>
      <c r="D324" s="32"/>
      <c r="E324" s="11" t="str">
        <f t="shared" si="136"/>
        <v>Select ...</v>
      </c>
      <c r="F324" s="11">
        <v>0.25</v>
      </c>
      <c r="G324" s="11">
        <v>0</v>
      </c>
      <c r="H324" s="11">
        <f>A288</f>
        <v>282</v>
      </c>
      <c r="I324" s="11"/>
      <c r="J324" s="11"/>
      <c r="K324" s="11"/>
      <c r="L324" s="11"/>
      <c r="M324" s="11" t="s">
        <v>694</v>
      </c>
      <c r="N324" s="11" t="s">
        <v>787</v>
      </c>
      <c r="O324" s="11" t="s">
        <v>800</v>
      </c>
      <c r="P324" s="11" t="s">
        <v>1006</v>
      </c>
      <c r="Q324" s="11" t="s">
        <v>1107</v>
      </c>
      <c r="R324" s="11" t="str">
        <f t="shared" si="196"/>
        <v/>
      </c>
      <c r="S324" s="11" t="str">
        <f t="shared" si="197"/>
        <v/>
      </c>
      <c r="T324" s="11" t="str">
        <f t="shared" si="198"/>
        <v/>
      </c>
      <c r="U324" s="11" t="str">
        <f t="shared" si="199"/>
        <v/>
      </c>
      <c r="V324" s="11" t="str">
        <f t="shared" si="200"/>
        <v/>
      </c>
      <c r="W324" s="11" t="str">
        <f t="shared" si="235"/>
        <v/>
      </c>
      <c r="X324" s="11" t="s">
        <v>1007</v>
      </c>
      <c r="Y324" s="11" t="str">
        <f>HLOOKUP($X324,Tables_Cat!$B$6:$P$7,2,FALSE)</f>
        <v>Information</v>
      </c>
      <c r="Z324" s="24" t="s">
        <v>793</v>
      </c>
      <c r="AA324" s="11" t="s">
        <v>728</v>
      </c>
      <c r="AB324" s="13" t="str">
        <f t="shared" si="236"/>
        <v/>
      </c>
      <c r="AC324" s="11" t="s">
        <v>1008</v>
      </c>
      <c r="AD324" s="11" t="str">
        <f t="shared" si="230"/>
        <v/>
      </c>
      <c r="AE324" s="11" t="s">
        <v>878</v>
      </c>
      <c r="AF324" s="11" t="str">
        <f t="shared" si="231"/>
        <v/>
      </c>
      <c r="AG324" s="11" t="str">
        <f t="shared" si="232"/>
        <v/>
      </c>
      <c r="AH324" s="11" t="str">
        <f t="shared" si="237"/>
        <v/>
      </c>
      <c r="AI324" s="11" t="str">
        <f t="shared" si="215"/>
        <v/>
      </c>
      <c r="AJ324" s="11" t="str">
        <f t="shared" si="233"/>
        <v/>
      </c>
      <c r="AK324" s="11" t="str">
        <f t="shared" si="234"/>
        <v/>
      </c>
      <c r="AN324" s="11" t="s">
        <v>1170</v>
      </c>
      <c r="AO324" s="11" t="s">
        <v>1009</v>
      </c>
    </row>
    <row r="325" spans="1:41" ht="47.25">
      <c r="A325" s="11">
        <v>319</v>
      </c>
      <c r="B325" s="11" t="s">
        <v>1002</v>
      </c>
      <c r="C325" s="11" t="s">
        <v>1200</v>
      </c>
      <c r="D325" s="32"/>
      <c r="E325" s="11" t="str">
        <f t="shared" si="136"/>
        <v>Select ...</v>
      </c>
      <c r="F325" s="11">
        <v>0.25</v>
      </c>
      <c r="G325" s="11">
        <v>0</v>
      </c>
      <c r="H325" s="11">
        <f>A289</f>
        <v>283</v>
      </c>
      <c r="I325" s="11"/>
      <c r="J325" s="11"/>
      <c r="K325" s="11"/>
      <c r="L325" s="11"/>
      <c r="M325" s="11" t="s">
        <v>694</v>
      </c>
      <c r="N325" s="11" t="s">
        <v>787</v>
      </c>
      <c r="O325" s="11" t="s">
        <v>800</v>
      </c>
      <c r="P325" s="11" t="s">
        <v>1006</v>
      </c>
      <c r="Q325" s="11" t="s">
        <v>1107</v>
      </c>
      <c r="R325" s="11" t="str">
        <f t="shared" si="196"/>
        <v/>
      </c>
      <c r="S325" s="11" t="str">
        <f t="shared" si="197"/>
        <v/>
      </c>
      <c r="T325" s="11" t="str">
        <f t="shared" si="198"/>
        <v/>
      </c>
      <c r="U325" s="11" t="str">
        <f t="shared" si="199"/>
        <v/>
      </c>
      <c r="V325" s="11" t="str">
        <f t="shared" si="200"/>
        <v/>
      </c>
      <c r="W325" s="11" t="str">
        <f t="shared" si="235"/>
        <v/>
      </c>
      <c r="X325" s="11" t="s">
        <v>1007</v>
      </c>
      <c r="Y325" s="11" t="str">
        <f>HLOOKUP($X325,Tables_Cat!$B$6:$P$7,2,FALSE)</f>
        <v>Information</v>
      </c>
      <c r="Z325" s="24" t="s">
        <v>793</v>
      </c>
      <c r="AA325" s="11" t="s">
        <v>728</v>
      </c>
      <c r="AB325" s="13" t="str">
        <f t="shared" si="236"/>
        <v/>
      </c>
      <c r="AC325" s="11" t="s">
        <v>971</v>
      </c>
      <c r="AD325" s="11" t="str">
        <f t="shared" si="230"/>
        <v/>
      </c>
      <c r="AE325" s="11" t="s">
        <v>878</v>
      </c>
      <c r="AF325" s="11" t="str">
        <f t="shared" si="231"/>
        <v/>
      </c>
      <c r="AG325" s="11" t="str">
        <f t="shared" si="232"/>
        <v/>
      </c>
      <c r="AH325" s="11" t="str">
        <f t="shared" si="237"/>
        <v/>
      </c>
      <c r="AI325" s="11" t="str">
        <f t="shared" si="215"/>
        <v/>
      </c>
      <c r="AJ325" s="11" t="str">
        <f t="shared" si="233"/>
        <v/>
      </c>
      <c r="AK325" s="11" t="str">
        <f t="shared" si="234"/>
        <v/>
      </c>
      <c r="AN325" s="11" t="s">
        <v>1172</v>
      </c>
      <c r="AO325" s="11" t="s">
        <v>1009</v>
      </c>
    </row>
    <row r="326" spans="1:41" ht="47.25">
      <c r="A326" s="11">
        <v>320</v>
      </c>
      <c r="B326" s="11" t="s">
        <v>1002</v>
      </c>
      <c r="C326" s="11" t="s">
        <v>1201</v>
      </c>
      <c r="D326" s="32"/>
      <c r="E326" s="11" t="str">
        <f t="shared" si="136"/>
        <v>Select ...</v>
      </c>
      <c r="F326" s="11">
        <v>0.5</v>
      </c>
      <c r="G326" s="11">
        <v>0.5</v>
      </c>
      <c r="H326" s="11">
        <f>A74</f>
        <v>68</v>
      </c>
      <c r="I326" s="11">
        <f>A79</f>
        <v>73</v>
      </c>
      <c r="J326" s="11"/>
      <c r="K326" s="11"/>
      <c r="L326" s="11"/>
      <c r="M326" s="11" t="s">
        <v>694</v>
      </c>
      <c r="N326" s="11" t="s">
        <v>787</v>
      </c>
      <c r="O326" s="11" t="s">
        <v>791</v>
      </c>
      <c r="P326" s="11" t="s">
        <v>1006</v>
      </c>
      <c r="Q326" s="11" t="s">
        <v>1152</v>
      </c>
      <c r="R326" s="11" t="str">
        <f t="shared" si="196"/>
        <v/>
      </c>
      <c r="S326" s="11" t="str">
        <f t="shared" si="197"/>
        <v/>
      </c>
      <c r="T326" s="11" t="str">
        <f t="shared" si="198"/>
        <v/>
      </c>
      <c r="U326" s="11" t="str">
        <f t="shared" si="199"/>
        <v/>
      </c>
      <c r="V326" s="11" t="str">
        <f t="shared" si="200"/>
        <v/>
      </c>
      <c r="W326" s="11" t="str">
        <f t="shared" si="235"/>
        <v/>
      </c>
      <c r="X326" s="11" t="s">
        <v>1007</v>
      </c>
      <c r="Y326" s="11" t="str">
        <f>HLOOKUP($X326,Tables_Cat!$B$6:$P$7,2,FALSE)</f>
        <v>Information</v>
      </c>
      <c r="Z326" s="24" t="s">
        <v>793</v>
      </c>
      <c r="AA326" s="11" t="s">
        <v>728</v>
      </c>
      <c r="AB326" s="13" t="str">
        <f t="shared" si="236"/>
        <v/>
      </c>
      <c r="AC326" s="11" t="s">
        <v>971</v>
      </c>
      <c r="AD326" s="11" t="str">
        <f t="shared" si="230"/>
        <v/>
      </c>
      <c r="AE326" s="11" t="s">
        <v>1153</v>
      </c>
      <c r="AF326" s="11" t="str">
        <f t="shared" si="231"/>
        <v/>
      </c>
      <c r="AG326" s="11" t="str">
        <f t="shared" si="232"/>
        <v/>
      </c>
      <c r="AH326" s="11" t="str">
        <f t="shared" si="237"/>
        <v/>
      </c>
      <c r="AI326" s="11" t="str">
        <f t="shared" si="215"/>
        <v/>
      </c>
      <c r="AJ326" s="11" t="str">
        <f t="shared" si="233"/>
        <v/>
      </c>
      <c r="AK326" s="11" t="str">
        <f t="shared" si="234"/>
        <v/>
      </c>
      <c r="AN326" s="11" t="s">
        <v>1167</v>
      </c>
      <c r="AO326" s="11" t="s">
        <v>1009</v>
      </c>
    </row>
    <row r="327" spans="1:41" ht="47.25">
      <c r="A327" s="11">
        <v>321</v>
      </c>
      <c r="B327" s="11" t="s">
        <v>1002</v>
      </c>
      <c r="C327" s="11" t="s">
        <v>1202</v>
      </c>
      <c r="D327" s="32"/>
      <c r="E327" s="11" t="str">
        <f t="shared" si="136"/>
        <v>Select ...</v>
      </c>
      <c r="F327" s="11">
        <v>0.25</v>
      </c>
      <c r="G327" s="11">
        <v>0</v>
      </c>
      <c r="H327" s="11">
        <f>A291</f>
        <v>285</v>
      </c>
      <c r="I327" s="11"/>
      <c r="J327" s="11"/>
      <c r="K327" s="11"/>
      <c r="L327" s="11"/>
      <c r="M327" s="11" t="s">
        <v>694</v>
      </c>
      <c r="N327" s="11" t="s">
        <v>787</v>
      </c>
      <c r="O327" s="11" t="s">
        <v>800</v>
      </c>
      <c r="P327" s="11" t="s">
        <v>1006</v>
      </c>
      <c r="Q327" s="11" t="s">
        <v>1107</v>
      </c>
      <c r="R327" s="11" t="str">
        <f t="shared" ref="R327:R390" si="238">IF(OR(H327="INIT",H327&gt;0),IF(AND($E327="Yes",VLOOKUP(H327,$A$6:$E$461,5,FALSE)="Yes"),VLOOKUP(H327,$A$6:$W$461,23,FALSE)+VLOOKUP(H327,$A$6:$F$461,6,FALSE),""),"")</f>
        <v/>
      </c>
      <c r="S327" s="11" t="str">
        <f t="shared" ref="S327:S390" si="239">IF(OR(I327="INIT",I327&gt;0),IF(AND($E327="Yes",VLOOKUP(I327,$A$6:$E$461,5,FALSE)="Yes"),VLOOKUP(I327,$A$6:$W$461,23,FALSE)+VLOOKUP(I327,$A$6:$F$461,6,FALSE),""),"")</f>
        <v/>
      </c>
      <c r="T327" s="11" t="str">
        <f t="shared" ref="T327:T390" si="240">IF(OR(J327="INIT",J327&gt;0),IF(AND($E327="Yes",VLOOKUP(J327,$A$6:$E$461,5,FALSE)="Yes"),VLOOKUP(J327,$A$6:$W$461,23,FALSE)+VLOOKUP(J327,$A$6:$F$461,6,FALSE),""),"")</f>
        <v/>
      </c>
      <c r="U327" s="11" t="str">
        <f t="shared" ref="U327:U390" si="241">IF(OR(K327="INIT",K327&gt;0),IF(AND($E327="Yes",VLOOKUP(K327,$A$6:$E$461,5,FALSE)="Yes"),VLOOKUP(K327,$A$6:$W$461,23,FALSE)+VLOOKUP(K327,$A$6:$F$461,6,FALSE),""),"")</f>
        <v/>
      </c>
      <c r="V327" s="11" t="str">
        <f t="shared" ref="V327:V390" si="242">IF(OR(L327="INIT",L327&gt;0),IF(AND($E327="Yes",VLOOKUP(L327,$A$6:$E$461,5,FALSE)="Yes"),VLOOKUP(L327,$A$6:$W$461,23,FALSE)+VLOOKUP(L327,$A$6:$F$461,6,FALSE),""),"")</f>
        <v/>
      </c>
      <c r="W327" s="11" t="str">
        <f t="shared" si="235"/>
        <v/>
      </c>
      <c r="X327" s="11" t="s">
        <v>1007</v>
      </c>
      <c r="Y327" s="11" t="str">
        <f>HLOOKUP($X327,Tables_Cat!$B$6:$P$7,2,FALSE)</f>
        <v>Information</v>
      </c>
      <c r="Z327" s="24" t="s">
        <v>793</v>
      </c>
      <c r="AA327" s="11" t="s">
        <v>728</v>
      </c>
      <c r="AB327" s="13" t="str">
        <f t="shared" si="236"/>
        <v/>
      </c>
      <c r="AC327" s="11" t="s">
        <v>922</v>
      </c>
      <c r="AD327" s="11" t="str">
        <f t="shared" si="230"/>
        <v/>
      </c>
      <c r="AE327" s="11" t="s">
        <v>878</v>
      </c>
      <c r="AF327" s="11" t="str">
        <f t="shared" si="231"/>
        <v/>
      </c>
      <c r="AG327" s="11" t="str">
        <f t="shared" si="232"/>
        <v/>
      </c>
      <c r="AH327" s="11" t="str">
        <f t="shared" si="237"/>
        <v/>
      </c>
      <c r="AI327" s="11" t="str">
        <f t="shared" si="215"/>
        <v/>
      </c>
      <c r="AJ327" s="11" t="str">
        <f t="shared" si="233"/>
        <v/>
      </c>
      <c r="AK327" s="11" t="str">
        <f t="shared" si="234"/>
        <v/>
      </c>
      <c r="AN327" s="11" t="s">
        <v>1175</v>
      </c>
      <c r="AO327" s="11" t="s">
        <v>1009</v>
      </c>
    </row>
    <row r="328" spans="1:41" ht="47.25">
      <c r="A328" s="11">
        <v>322</v>
      </c>
      <c r="B328" s="11" t="s">
        <v>1002</v>
      </c>
      <c r="C328" s="11" t="s">
        <v>1203</v>
      </c>
      <c r="D328" s="32"/>
      <c r="E328" s="11" t="str">
        <f t="shared" si="136"/>
        <v>Select ...</v>
      </c>
      <c r="F328" s="11">
        <v>0.25</v>
      </c>
      <c r="G328" s="11">
        <v>0</v>
      </c>
      <c r="H328" s="11">
        <f>A292</f>
        <v>286</v>
      </c>
      <c r="I328" s="11"/>
      <c r="J328" s="11"/>
      <c r="K328" s="11"/>
      <c r="L328" s="11"/>
      <c r="M328" s="11" t="s">
        <v>694</v>
      </c>
      <c r="N328" s="11" t="s">
        <v>787</v>
      </c>
      <c r="O328" s="11" t="s">
        <v>800</v>
      </c>
      <c r="P328" s="11" t="s">
        <v>1006</v>
      </c>
      <c r="Q328" s="11" t="s">
        <v>1107</v>
      </c>
      <c r="R328" s="11" t="str">
        <f t="shared" si="238"/>
        <v/>
      </c>
      <c r="S328" s="11" t="str">
        <f t="shared" si="239"/>
        <v/>
      </c>
      <c r="T328" s="11" t="str">
        <f t="shared" si="240"/>
        <v/>
      </c>
      <c r="U328" s="11" t="str">
        <f t="shared" si="241"/>
        <v/>
      </c>
      <c r="V328" s="11" t="str">
        <f t="shared" si="242"/>
        <v/>
      </c>
      <c r="W328" s="11" t="str">
        <f t="shared" si="235"/>
        <v/>
      </c>
      <c r="X328" s="11" t="s">
        <v>1007</v>
      </c>
      <c r="Y328" s="11" t="str">
        <f>HLOOKUP($X328,Tables_Cat!$B$6:$P$7,2,FALSE)</f>
        <v>Information</v>
      </c>
      <c r="Z328" s="24" t="s">
        <v>793</v>
      </c>
      <c r="AA328" s="11" t="s">
        <v>728</v>
      </c>
      <c r="AB328" s="13" t="str">
        <f t="shared" si="236"/>
        <v/>
      </c>
      <c r="AC328" s="11" t="s">
        <v>1008</v>
      </c>
      <c r="AD328" s="11" t="str">
        <f t="shared" si="230"/>
        <v/>
      </c>
      <c r="AE328" s="11" t="s">
        <v>878</v>
      </c>
      <c r="AF328" s="11" t="str">
        <f t="shared" si="231"/>
        <v/>
      </c>
      <c r="AG328" s="11" t="str">
        <f t="shared" si="232"/>
        <v/>
      </c>
      <c r="AH328" s="11" t="str">
        <f t="shared" si="237"/>
        <v/>
      </c>
      <c r="AI328" s="11" t="str">
        <f t="shared" si="215"/>
        <v/>
      </c>
      <c r="AJ328" s="11" t="str">
        <f t="shared" si="233"/>
        <v/>
      </c>
      <c r="AK328" s="11" t="str">
        <f t="shared" si="234"/>
        <v/>
      </c>
      <c r="AN328" s="11" t="s">
        <v>1177</v>
      </c>
      <c r="AO328" s="11" t="s">
        <v>1009</v>
      </c>
    </row>
    <row r="329" spans="1:41" ht="31.5">
      <c r="A329" s="11">
        <v>323</v>
      </c>
      <c r="B329" s="11" t="s">
        <v>1002</v>
      </c>
      <c r="C329" s="11" t="s">
        <v>1204</v>
      </c>
      <c r="D329" s="32"/>
      <c r="E329" s="11" t="str">
        <f t="shared" ref="E329" si="243">IF(D329="","Select ...")</f>
        <v>Select ...</v>
      </c>
      <c r="F329" s="11">
        <v>0.5</v>
      </c>
      <c r="G329" s="11">
        <v>0.5</v>
      </c>
      <c r="H329" s="11">
        <f>A73</f>
        <v>67</v>
      </c>
      <c r="I329" s="11">
        <f>A78</f>
        <v>72</v>
      </c>
      <c r="J329" s="11"/>
      <c r="K329" s="11"/>
      <c r="L329" s="11"/>
      <c r="M329" s="11" t="s">
        <v>694</v>
      </c>
      <c r="N329" s="11" t="s">
        <v>787</v>
      </c>
      <c r="O329" s="11" t="s">
        <v>791</v>
      </c>
      <c r="P329" s="11" t="s">
        <v>1006</v>
      </c>
      <c r="Q329" s="11" t="s">
        <v>1118</v>
      </c>
      <c r="R329" s="11" t="str">
        <f t="shared" si="238"/>
        <v/>
      </c>
      <c r="S329" s="11" t="str">
        <f t="shared" si="239"/>
        <v/>
      </c>
      <c r="T329" s="11" t="str">
        <f t="shared" si="240"/>
        <v/>
      </c>
      <c r="U329" s="11" t="str">
        <f t="shared" si="241"/>
        <v/>
      </c>
      <c r="V329" s="11" t="str">
        <f t="shared" si="242"/>
        <v/>
      </c>
      <c r="W329" s="11" t="str">
        <f t="shared" ref="W329" si="244">IF($E329="Yes",MAX(R329:V329),"")</f>
        <v/>
      </c>
      <c r="X329" s="11" t="s">
        <v>1007</v>
      </c>
      <c r="Y329" s="11" t="str">
        <f>HLOOKUP($X329,Tables_Cat!$B$6:$P$7,2,FALSE)</f>
        <v>Information</v>
      </c>
      <c r="Z329" s="24" t="s">
        <v>793</v>
      </c>
      <c r="AA329" s="11" t="s">
        <v>728</v>
      </c>
      <c r="AB329" s="13" t="str">
        <f t="shared" si="236"/>
        <v/>
      </c>
      <c r="AC329" s="11" t="s">
        <v>1008</v>
      </c>
      <c r="AD329" s="11" t="str">
        <f t="shared" si="230"/>
        <v/>
      </c>
      <c r="AE329" s="11" t="s">
        <v>1119</v>
      </c>
      <c r="AF329" s="11" t="str">
        <f t="shared" si="231"/>
        <v/>
      </c>
      <c r="AG329" s="11" t="str">
        <f t="shared" si="232"/>
        <v/>
      </c>
      <c r="AH329" s="11" t="str">
        <f t="shared" si="237"/>
        <v/>
      </c>
      <c r="AI329" s="11" t="str">
        <f t="shared" si="215"/>
        <v/>
      </c>
      <c r="AJ329" s="11" t="str">
        <f t="shared" si="233"/>
        <v/>
      </c>
      <c r="AK329" s="11" t="str">
        <f t="shared" si="234"/>
        <v/>
      </c>
      <c r="AN329" s="11" t="s">
        <v>1167</v>
      </c>
      <c r="AO329" s="11" t="s">
        <v>1009</v>
      </c>
    </row>
    <row r="330" spans="1:41" ht="47.25">
      <c r="A330" s="11">
        <v>324</v>
      </c>
      <c r="B330" s="11" t="s">
        <v>1002</v>
      </c>
      <c r="C330" s="11" t="s">
        <v>1205</v>
      </c>
      <c r="D330" s="32"/>
      <c r="E330" s="11" t="str">
        <f t="shared" si="136"/>
        <v>Select ...</v>
      </c>
      <c r="F330" s="11">
        <v>0.25</v>
      </c>
      <c r="G330" s="11">
        <v>0</v>
      </c>
      <c r="H330" s="11">
        <f>A294</f>
        <v>288</v>
      </c>
      <c r="I330" s="11"/>
      <c r="J330" s="11"/>
      <c r="K330" s="11"/>
      <c r="L330" s="11"/>
      <c r="M330" s="11" t="s">
        <v>694</v>
      </c>
      <c r="N330" s="11" t="s">
        <v>787</v>
      </c>
      <c r="O330" s="11" t="s">
        <v>800</v>
      </c>
      <c r="P330" s="11" t="s">
        <v>1006</v>
      </c>
      <c r="Q330" s="11" t="s">
        <v>1107</v>
      </c>
      <c r="R330" s="11" t="str">
        <f t="shared" si="238"/>
        <v/>
      </c>
      <c r="S330" s="11" t="str">
        <f t="shared" si="239"/>
        <v/>
      </c>
      <c r="T330" s="11" t="str">
        <f t="shared" si="240"/>
        <v/>
      </c>
      <c r="U330" s="11" t="str">
        <f t="shared" si="241"/>
        <v/>
      </c>
      <c r="V330" s="11" t="str">
        <f t="shared" si="242"/>
        <v/>
      </c>
      <c r="W330" s="11" t="str">
        <f t="shared" si="235"/>
        <v/>
      </c>
      <c r="X330" s="11" t="s">
        <v>1007</v>
      </c>
      <c r="Y330" s="11" t="str">
        <f>HLOOKUP($X330,Tables_Cat!$B$6:$P$7,2,FALSE)</f>
        <v>Information</v>
      </c>
      <c r="Z330" s="24" t="s">
        <v>793</v>
      </c>
      <c r="AA330" s="11" t="s">
        <v>728</v>
      </c>
      <c r="AB330" s="13" t="str">
        <f t="shared" si="236"/>
        <v/>
      </c>
      <c r="AC330" s="11" t="s">
        <v>1008</v>
      </c>
      <c r="AD330" s="11" t="str">
        <f t="shared" si="230"/>
        <v/>
      </c>
      <c r="AE330" s="11" t="s">
        <v>878</v>
      </c>
      <c r="AF330" s="11" t="str">
        <f t="shared" si="231"/>
        <v/>
      </c>
      <c r="AG330" s="11" t="str">
        <f t="shared" si="232"/>
        <v/>
      </c>
      <c r="AH330" s="11" t="str">
        <f t="shared" si="237"/>
        <v/>
      </c>
      <c r="AI330" s="11" t="str">
        <f t="shared" si="215"/>
        <v/>
      </c>
      <c r="AJ330" s="11" t="str">
        <f t="shared" si="233"/>
        <v/>
      </c>
      <c r="AK330" s="11" t="str">
        <f t="shared" si="234"/>
        <v/>
      </c>
      <c r="AN330" s="11" t="s">
        <v>1180</v>
      </c>
      <c r="AO330" s="11" t="s">
        <v>1009</v>
      </c>
    </row>
    <row r="331" spans="1:41" ht="47.25">
      <c r="A331" s="11">
        <v>325</v>
      </c>
      <c r="B331" s="11" t="s">
        <v>718</v>
      </c>
      <c r="C331" s="11" t="s">
        <v>1206</v>
      </c>
      <c r="D331" s="32"/>
      <c r="E331" s="11" t="s">
        <v>4</v>
      </c>
      <c r="F331" s="11">
        <v>3</v>
      </c>
      <c r="G331" s="11">
        <v>2</v>
      </c>
      <c r="H331" s="11">
        <v>1</v>
      </c>
      <c r="I331" s="11"/>
      <c r="J331" s="11"/>
      <c r="K331" s="11"/>
      <c r="L331" s="11"/>
      <c r="M331" s="11" t="s">
        <v>694</v>
      </c>
      <c r="N331" s="11" t="s">
        <v>720</v>
      </c>
      <c r="O331" s="11" t="s">
        <v>1070</v>
      </c>
      <c r="P331" s="11" t="s">
        <v>1070</v>
      </c>
      <c r="Q331" s="11" t="s">
        <v>464</v>
      </c>
      <c r="R331" s="11" t="str">
        <f t="shared" si="238"/>
        <v/>
      </c>
      <c r="S331" s="11" t="str">
        <f t="shared" si="239"/>
        <v/>
      </c>
      <c r="T331" s="11" t="str">
        <f t="shared" si="240"/>
        <v/>
      </c>
      <c r="U331" s="11" t="str">
        <f t="shared" si="241"/>
        <v/>
      </c>
      <c r="V331" s="11" t="str">
        <f t="shared" si="242"/>
        <v/>
      </c>
      <c r="W331" s="11" t="str">
        <f t="shared" si="235"/>
        <v/>
      </c>
      <c r="X331" s="11" t="s">
        <v>911</v>
      </c>
      <c r="Y331" s="11" t="str">
        <f>HLOOKUP($X331,Tables_Cat!$B$6:$P$7,2,FALSE)</f>
        <v>Material</v>
      </c>
      <c r="Z331" s="24" t="s">
        <v>709</v>
      </c>
      <c r="AA331" s="11" t="s">
        <v>728</v>
      </c>
      <c r="AB331" s="13" t="str">
        <f t="shared" si="236"/>
        <v/>
      </c>
      <c r="AC331" s="11" t="s">
        <v>702</v>
      </c>
      <c r="AD331" s="11" t="str">
        <f t="shared" si="230"/>
        <v/>
      </c>
      <c r="AE331" s="11" t="s">
        <v>721</v>
      </c>
      <c r="AF331" s="11" t="str">
        <f t="shared" si="231"/>
        <v/>
      </c>
      <c r="AG331" s="11" t="str">
        <f t="shared" si="232"/>
        <v/>
      </c>
      <c r="AH331" s="11" t="str">
        <f t="shared" si="237"/>
        <v/>
      </c>
      <c r="AI331" s="11" t="str">
        <f t="shared" si="215"/>
        <v/>
      </c>
      <c r="AJ331" s="11" t="str">
        <f t="shared" si="233"/>
        <v/>
      </c>
      <c r="AK331" s="11" t="str">
        <f t="shared" si="234"/>
        <v/>
      </c>
      <c r="AN331" s="11" t="s">
        <v>722</v>
      </c>
      <c r="AO331" s="11" t="s">
        <v>723</v>
      </c>
    </row>
    <row r="332" spans="1:41" ht="47.25">
      <c r="A332" s="11">
        <v>326</v>
      </c>
      <c r="B332" s="11" t="s">
        <v>718</v>
      </c>
      <c r="C332" s="11" t="s">
        <v>1207</v>
      </c>
      <c r="D332" s="32"/>
      <c r="E332" s="11" t="s">
        <v>4</v>
      </c>
      <c r="F332" s="11">
        <v>3</v>
      </c>
      <c r="G332" s="11">
        <v>2</v>
      </c>
      <c r="H332" s="11">
        <v>1</v>
      </c>
      <c r="I332" s="11"/>
      <c r="J332" s="11"/>
      <c r="K332" s="11"/>
      <c r="L332" s="11"/>
      <c r="M332" s="11" t="s">
        <v>694</v>
      </c>
      <c r="N332" s="11" t="s">
        <v>720</v>
      </c>
      <c r="O332" s="11" t="s">
        <v>1070</v>
      </c>
      <c r="P332" s="11" t="s">
        <v>1070</v>
      </c>
      <c r="Q332" s="11" t="s">
        <v>1107</v>
      </c>
      <c r="R332" s="11" t="str">
        <f t="shared" si="238"/>
        <v/>
      </c>
      <c r="S332" s="11" t="str">
        <f t="shared" si="239"/>
        <v/>
      </c>
      <c r="T332" s="11" t="str">
        <f t="shared" si="240"/>
        <v/>
      </c>
      <c r="U332" s="11" t="str">
        <f t="shared" si="241"/>
        <v/>
      </c>
      <c r="V332" s="11" t="str">
        <f t="shared" si="242"/>
        <v/>
      </c>
      <c r="W332" s="11" t="str">
        <f t="shared" ref="W332" si="245">IF($E332="Yes",MAX(R332:V332),"")</f>
        <v/>
      </c>
      <c r="X332" s="11" t="s">
        <v>911</v>
      </c>
      <c r="Y332" s="11" t="str">
        <f>HLOOKUP($X332,Tables_Cat!$B$6:$P$7,2,FALSE)</f>
        <v>Material</v>
      </c>
      <c r="Z332" s="24" t="s">
        <v>709</v>
      </c>
      <c r="AA332" s="11" t="s">
        <v>728</v>
      </c>
      <c r="AB332" s="13" t="str">
        <f t="shared" si="236"/>
        <v/>
      </c>
      <c r="AC332" s="11" t="s">
        <v>702</v>
      </c>
      <c r="AD332" s="11" t="str">
        <f t="shared" si="230"/>
        <v/>
      </c>
      <c r="AE332" s="11" t="s">
        <v>878</v>
      </c>
      <c r="AF332" s="11" t="str">
        <f t="shared" si="231"/>
        <v/>
      </c>
      <c r="AG332" s="11" t="str">
        <f t="shared" si="232"/>
        <v/>
      </c>
      <c r="AH332" s="11" t="str">
        <f t="shared" si="237"/>
        <v/>
      </c>
      <c r="AI332" s="11" t="str">
        <f t="shared" si="215"/>
        <v/>
      </c>
      <c r="AJ332" s="11" t="str">
        <f t="shared" si="233"/>
        <v/>
      </c>
      <c r="AK332" s="11" t="str">
        <f t="shared" si="234"/>
        <v/>
      </c>
      <c r="AN332" s="11" t="s">
        <v>722</v>
      </c>
      <c r="AO332" s="11" t="s">
        <v>723</v>
      </c>
    </row>
    <row r="333" spans="1:41" ht="47.25">
      <c r="A333" s="11">
        <v>327</v>
      </c>
      <c r="B333" s="11" t="s">
        <v>1002</v>
      </c>
      <c r="C333" s="11" t="s">
        <v>1208</v>
      </c>
      <c r="D333" s="32"/>
      <c r="E333" s="11" t="str">
        <f t="shared" ref="E333" si="246">IF(D333="","Select ...")</f>
        <v>Select ...</v>
      </c>
      <c r="F333" s="11">
        <v>0.25</v>
      </c>
      <c r="G333" s="11">
        <v>0</v>
      </c>
      <c r="H333" s="11">
        <f>A295</f>
        <v>289</v>
      </c>
      <c r="I333" s="11"/>
      <c r="J333" s="11"/>
      <c r="K333" s="11"/>
      <c r="L333" s="11"/>
      <c r="M333" s="11" t="s">
        <v>694</v>
      </c>
      <c r="N333" s="11" t="s">
        <v>787</v>
      </c>
      <c r="O333" s="11" t="s">
        <v>800</v>
      </c>
      <c r="P333" s="11" t="s">
        <v>1006</v>
      </c>
      <c r="Q333" s="11" t="s">
        <v>1107</v>
      </c>
      <c r="R333" s="11" t="str">
        <f t="shared" si="238"/>
        <v/>
      </c>
      <c r="S333" s="11" t="str">
        <f t="shared" si="239"/>
        <v/>
      </c>
      <c r="T333" s="11" t="str">
        <f t="shared" si="240"/>
        <v/>
      </c>
      <c r="U333" s="11" t="str">
        <f t="shared" si="241"/>
        <v/>
      </c>
      <c r="V333" s="11" t="str">
        <f t="shared" si="242"/>
        <v/>
      </c>
      <c r="W333" s="11" t="str">
        <f t="shared" ref="W333" si="247">IF($E333="Yes",MAX(R333:V333),"")</f>
        <v/>
      </c>
      <c r="X333" s="11" t="s">
        <v>1007</v>
      </c>
      <c r="Y333" s="11" t="str">
        <f>HLOOKUP($X333,Tables_Cat!$B$6:$P$7,2,FALSE)</f>
        <v>Information</v>
      </c>
      <c r="Z333" s="24" t="s">
        <v>793</v>
      </c>
      <c r="AA333" s="11" t="s">
        <v>728</v>
      </c>
      <c r="AB333" s="13" t="str">
        <f t="shared" si="236"/>
        <v/>
      </c>
      <c r="AC333" s="11" t="s">
        <v>912</v>
      </c>
      <c r="AD333" s="11" t="str">
        <f t="shared" si="230"/>
        <v/>
      </c>
      <c r="AE333" s="11" t="s">
        <v>878</v>
      </c>
      <c r="AF333" s="11" t="str">
        <f t="shared" si="231"/>
        <v/>
      </c>
      <c r="AG333" s="11" t="str">
        <f t="shared" si="232"/>
        <v/>
      </c>
      <c r="AH333" s="11" t="str">
        <f t="shared" si="237"/>
        <v/>
      </c>
      <c r="AI333" s="11" t="str">
        <f t="shared" si="215"/>
        <v/>
      </c>
      <c r="AJ333" s="11" t="str">
        <f t="shared" si="233"/>
        <v/>
      </c>
      <c r="AK333" s="11" t="str">
        <f t="shared" si="234"/>
        <v/>
      </c>
      <c r="AN333" s="11" t="s">
        <v>879</v>
      </c>
      <c r="AO333" s="11" t="s">
        <v>1209</v>
      </c>
    </row>
    <row r="334" spans="1:41" ht="31.5">
      <c r="A334" s="11">
        <v>328</v>
      </c>
      <c r="B334" s="11" t="s">
        <v>1002</v>
      </c>
      <c r="C334" s="11" t="s">
        <v>1210</v>
      </c>
      <c r="D334" s="32"/>
      <c r="E334" s="11" t="str">
        <f t="shared" ref="E334:E378" si="248">IF(D334="","Select ...")</f>
        <v>Select ...</v>
      </c>
      <c r="F334" s="11">
        <v>1</v>
      </c>
      <c r="G334" s="11">
        <v>1</v>
      </c>
      <c r="H334" s="11">
        <f>A296</f>
        <v>290</v>
      </c>
      <c r="I334" s="11">
        <f>A311</f>
        <v>305</v>
      </c>
      <c r="J334" s="11">
        <f>A321</f>
        <v>315</v>
      </c>
      <c r="K334" s="11"/>
      <c r="L334" s="11"/>
      <c r="M334" s="11" t="s">
        <v>694</v>
      </c>
      <c r="N334" s="11" t="s">
        <v>787</v>
      </c>
      <c r="O334" s="11" t="s">
        <v>1006</v>
      </c>
      <c r="P334" s="11" t="s">
        <v>1211</v>
      </c>
      <c r="Q334" s="11" t="s">
        <v>758</v>
      </c>
      <c r="R334" s="11" t="str">
        <f t="shared" si="238"/>
        <v/>
      </c>
      <c r="S334" s="11" t="str">
        <f t="shared" si="239"/>
        <v/>
      </c>
      <c r="T334" s="11" t="str">
        <f t="shared" si="240"/>
        <v/>
      </c>
      <c r="U334" s="11" t="str">
        <f t="shared" si="241"/>
        <v/>
      </c>
      <c r="V334" s="11" t="str">
        <f t="shared" si="242"/>
        <v/>
      </c>
      <c r="W334" s="11" t="str">
        <f t="shared" si="235"/>
        <v/>
      </c>
      <c r="X334" s="11" t="s">
        <v>1007</v>
      </c>
      <c r="Y334" s="11" t="str">
        <f>HLOOKUP($X334,Tables_Cat!$B$6:$P$7,2,FALSE)</f>
        <v>Information</v>
      </c>
      <c r="Z334" s="24" t="s">
        <v>700</v>
      </c>
      <c r="AA334" s="11" t="s">
        <v>701</v>
      </c>
      <c r="AB334" s="13" t="str">
        <f t="shared" si="236"/>
        <v/>
      </c>
      <c r="AC334" s="11" t="s">
        <v>1008</v>
      </c>
      <c r="AD334" s="11" t="str">
        <f t="shared" si="230"/>
        <v/>
      </c>
      <c r="AE334" s="11" t="s">
        <v>760</v>
      </c>
      <c r="AF334" s="11" t="str">
        <f t="shared" si="231"/>
        <v/>
      </c>
      <c r="AG334" s="11" t="str">
        <f t="shared" si="232"/>
        <v/>
      </c>
      <c r="AH334" s="11" t="str">
        <f t="shared" si="237"/>
        <v/>
      </c>
      <c r="AI334" s="11" t="str">
        <f t="shared" si="215"/>
        <v/>
      </c>
      <c r="AJ334" s="11" t="str">
        <f t="shared" si="233"/>
        <v/>
      </c>
      <c r="AK334" s="11" t="str">
        <f t="shared" si="234"/>
        <v/>
      </c>
      <c r="AN334" s="11" t="s">
        <v>1212</v>
      </c>
      <c r="AO334" s="11" t="s">
        <v>1213</v>
      </c>
    </row>
    <row r="335" spans="1:41" ht="31.5">
      <c r="A335" s="11">
        <v>329</v>
      </c>
      <c r="B335" s="11" t="s">
        <v>1002</v>
      </c>
      <c r="C335" s="11" t="s">
        <v>1214</v>
      </c>
      <c r="D335" s="32"/>
      <c r="E335" s="11" t="s">
        <v>3</v>
      </c>
      <c r="F335" s="11">
        <v>0.5</v>
      </c>
      <c r="G335" s="11">
        <v>0.25</v>
      </c>
      <c r="H335" s="11">
        <f>A311</f>
        <v>305</v>
      </c>
      <c r="I335" s="11">
        <f>A312</f>
        <v>306</v>
      </c>
      <c r="J335" s="11">
        <f>A315</f>
        <v>309</v>
      </c>
      <c r="K335" s="11">
        <f>A316</f>
        <v>310</v>
      </c>
      <c r="L335" s="11"/>
      <c r="M335" s="11" t="s">
        <v>694</v>
      </c>
      <c r="N335" s="11" t="s">
        <v>787</v>
      </c>
      <c r="O335" s="11" t="s">
        <v>1006</v>
      </c>
      <c r="P335" s="11" t="s">
        <v>1211</v>
      </c>
      <c r="Q335" s="11" t="s">
        <v>758</v>
      </c>
      <c r="R335" s="11">
        <f t="shared" si="238"/>
        <v>27.5</v>
      </c>
      <c r="S335" s="11">
        <f t="shared" si="239"/>
        <v>28.5</v>
      </c>
      <c r="T335" s="11">
        <f t="shared" si="240"/>
        <v>25.75</v>
      </c>
      <c r="U335" s="11">
        <f t="shared" si="241"/>
        <v>25.75</v>
      </c>
      <c r="V335" s="11" t="str">
        <f t="shared" si="242"/>
        <v/>
      </c>
      <c r="W335" s="11">
        <f t="shared" si="235"/>
        <v>28.5</v>
      </c>
      <c r="X335" s="11" t="s">
        <v>1007</v>
      </c>
      <c r="Y335" s="11" t="str">
        <f>HLOOKUP($X335,Tables_Cat!$B$6:$P$7,2,FALSE)</f>
        <v>Information</v>
      </c>
      <c r="Z335" s="24" t="s">
        <v>709</v>
      </c>
      <c r="AA335" s="11" t="s">
        <v>701</v>
      </c>
      <c r="AB335" s="13">
        <f t="shared" si="236"/>
        <v>0.5</v>
      </c>
      <c r="AC335" s="11" t="s">
        <v>1008</v>
      </c>
      <c r="AD335" s="11">
        <f t="shared" si="230"/>
        <v>4.5</v>
      </c>
      <c r="AE335" s="11" t="s">
        <v>760</v>
      </c>
      <c r="AF335" s="11">
        <f t="shared" si="231"/>
        <v>14.25</v>
      </c>
      <c r="AG335" s="11">
        <f t="shared" si="232"/>
        <v>406.125</v>
      </c>
      <c r="AH335" s="11">
        <f t="shared" si="237"/>
        <v>3</v>
      </c>
      <c r="AI335" s="11">
        <f t="shared" si="215"/>
        <v>4</v>
      </c>
      <c r="AJ335" s="11">
        <f t="shared" si="233"/>
        <v>7.125</v>
      </c>
      <c r="AK335" s="11">
        <f t="shared" si="234"/>
        <v>203.0625</v>
      </c>
      <c r="AN335" s="11" t="s">
        <v>1212</v>
      </c>
      <c r="AO335" s="11" t="s">
        <v>1213</v>
      </c>
    </row>
    <row r="336" spans="1:41" ht="31.5">
      <c r="A336" s="11">
        <v>330</v>
      </c>
      <c r="B336" s="11" t="s">
        <v>1002</v>
      </c>
      <c r="C336" s="11" t="s">
        <v>1215</v>
      </c>
      <c r="D336" s="32"/>
      <c r="E336" s="11" t="s">
        <v>3</v>
      </c>
      <c r="F336" s="11">
        <v>0.25</v>
      </c>
      <c r="G336" s="11">
        <v>0.25</v>
      </c>
      <c r="H336" s="11">
        <f>A335</f>
        <v>329</v>
      </c>
      <c r="I336" s="11"/>
      <c r="J336" s="11"/>
      <c r="K336" s="11"/>
      <c r="L336" s="11"/>
      <c r="M336" s="11" t="s">
        <v>694</v>
      </c>
      <c r="N336" s="11" t="s">
        <v>707</v>
      </c>
      <c r="O336" s="11" t="s">
        <v>1211</v>
      </c>
      <c r="P336" s="11" t="s">
        <v>928</v>
      </c>
      <c r="Q336" s="11" t="s">
        <v>758</v>
      </c>
      <c r="R336" s="11">
        <f t="shared" si="238"/>
        <v>29</v>
      </c>
      <c r="S336" s="11" t="str">
        <f t="shared" si="239"/>
        <v/>
      </c>
      <c r="T336" s="11" t="str">
        <f t="shared" si="240"/>
        <v/>
      </c>
      <c r="U336" s="11" t="str">
        <f t="shared" si="241"/>
        <v/>
      </c>
      <c r="V336" s="11" t="str">
        <f t="shared" si="242"/>
        <v/>
      </c>
      <c r="W336" s="11">
        <f t="shared" ref="W336" si="249">IF($E336="Yes",MAX(R336:V336),"")</f>
        <v>29</v>
      </c>
      <c r="X336" s="11" t="s">
        <v>1007</v>
      </c>
      <c r="Y336" s="11" t="str">
        <f>HLOOKUP($X336,Tables_Cat!$B$6:$P$7,2,FALSE)</f>
        <v>Information</v>
      </c>
      <c r="Z336" s="24" t="s">
        <v>700</v>
      </c>
      <c r="AA336" s="11" t="s">
        <v>751</v>
      </c>
      <c r="AB336" s="13">
        <f t="shared" si="236"/>
        <v>0</v>
      </c>
      <c r="AC336" s="11" t="s">
        <v>1216</v>
      </c>
      <c r="AD336" s="11">
        <f t="shared" si="230"/>
        <v>0</v>
      </c>
      <c r="AE336" s="11" t="s">
        <v>760</v>
      </c>
      <c r="AF336" s="11">
        <f t="shared" si="231"/>
        <v>7.25</v>
      </c>
      <c r="AG336" s="11">
        <f t="shared" si="232"/>
        <v>210.25</v>
      </c>
      <c r="AH336" s="11">
        <f t="shared" si="237"/>
        <v>2</v>
      </c>
      <c r="AI336" s="11">
        <f t="shared" si="215"/>
        <v>0</v>
      </c>
      <c r="AJ336" s="11">
        <f t="shared" si="233"/>
        <v>7.25</v>
      </c>
      <c r="AK336" s="11">
        <f t="shared" si="234"/>
        <v>210.25</v>
      </c>
      <c r="AN336" s="11" t="s">
        <v>1212</v>
      </c>
      <c r="AO336" s="11" t="s">
        <v>1213</v>
      </c>
    </row>
    <row r="337" spans="1:41" ht="31.5">
      <c r="A337" s="11">
        <v>331</v>
      </c>
      <c r="B337" s="11" t="s">
        <v>1002</v>
      </c>
      <c r="C337" s="11" t="s">
        <v>1217</v>
      </c>
      <c r="D337" s="32"/>
      <c r="E337" s="11" t="str">
        <f t="shared" si="248"/>
        <v>Select ...</v>
      </c>
      <c r="F337" s="11">
        <v>0.5</v>
      </c>
      <c r="G337" s="11">
        <v>0.25</v>
      </c>
      <c r="H337" s="11">
        <f>A334</f>
        <v>328</v>
      </c>
      <c r="I337" s="11">
        <f>A335</f>
        <v>329</v>
      </c>
      <c r="J337" s="11"/>
      <c r="K337" s="11"/>
      <c r="L337" s="11"/>
      <c r="M337" s="11" t="s">
        <v>694</v>
      </c>
      <c r="N337" s="11" t="s">
        <v>787</v>
      </c>
      <c r="O337" s="11" t="s">
        <v>1211</v>
      </c>
      <c r="P337" s="11" t="s">
        <v>1211</v>
      </c>
      <c r="Q337" s="11" t="s">
        <v>758</v>
      </c>
      <c r="R337" s="11" t="str">
        <f t="shared" si="238"/>
        <v/>
      </c>
      <c r="S337" s="11" t="str">
        <f t="shared" si="239"/>
        <v/>
      </c>
      <c r="T337" s="11" t="str">
        <f t="shared" si="240"/>
        <v/>
      </c>
      <c r="U337" s="11" t="str">
        <f t="shared" si="241"/>
        <v/>
      </c>
      <c r="V337" s="11" t="str">
        <f t="shared" si="242"/>
        <v/>
      </c>
      <c r="W337" s="11" t="str">
        <f t="shared" si="235"/>
        <v/>
      </c>
      <c r="X337" s="11" t="s">
        <v>1007</v>
      </c>
      <c r="Y337" s="11" t="str">
        <f>HLOOKUP($X337,Tables_Cat!$B$6:$P$7,2,FALSE)</f>
        <v>Information</v>
      </c>
      <c r="Z337" s="24" t="s">
        <v>700</v>
      </c>
      <c r="AA337" s="11" t="s">
        <v>950</v>
      </c>
      <c r="AB337" s="13" t="str">
        <f t="shared" si="236"/>
        <v/>
      </c>
      <c r="AC337" s="11" t="s">
        <v>1216</v>
      </c>
      <c r="AD337" s="11" t="str">
        <f t="shared" si="230"/>
        <v/>
      </c>
      <c r="AE337" s="11" t="s">
        <v>760</v>
      </c>
      <c r="AF337" s="11" t="str">
        <f t="shared" si="231"/>
        <v/>
      </c>
      <c r="AG337" s="11" t="str">
        <f t="shared" si="232"/>
        <v/>
      </c>
      <c r="AH337" s="11" t="str">
        <f t="shared" si="237"/>
        <v/>
      </c>
      <c r="AI337" s="11" t="str">
        <f t="shared" si="215"/>
        <v/>
      </c>
      <c r="AJ337" s="11" t="str">
        <f t="shared" si="233"/>
        <v/>
      </c>
      <c r="AK337" s="11" t="str">
        <f t="shared" si="234"/>
        <v/>
      </c>
      <c r="AN337" s="11" t="s">
        <v>1212</v>
      </c>
      <c r="AO337" s="11" t="s">
        <v>1213</v>
      </c>
    </row>
    <row r="338" spans="1:41" ht="31.5">
      <c r="A338" s="11">
        <v>332</v>
      </c>
      <c r="B338" s="11" t="s">
        <v>1002</v>
      </c>
      <c r="C338" s="11" t="s">
        <v>1218</v>
      </c>
      <c r="D338" s="32"/>
      <c r="E338" s="11" t="s">
        <v>3</v>
      </c>
      <c r="F338" s="11">
        <v>1</v>
      </c>
      <c r="G338" s="11">
        <v>0.5</v>
      </c>
      <c r="H338" s="11">
        <f>A336</f>
        <v>330</v>
      </c>
      <c r="I338" s="11"/>
      <c r="J338" s="11"/>
      <c r="K338" s="11"/>
      <c r="L338" s="11"/>
      <c r="M338" s="11" t="s">
        <v>694</v>
      </c>
      <c r="N338" s="11" t="s">
        <v>781</v>
      </c>
      <c r="O338" s="11" t="s">
        <v>1211</v>
      </c>
      <c r="P338" s="11" t="s">
        <v>881</v>
      </c>
      <c r="Q338" s="11" t="s">
        <v>1049</v>
      </c>
      <c r="R338" s="11">
        <f t="shared" si="238"/>
        <v>29.25</v>
      </c>
      <c r="S338" s="11" t="str">
        <f t="shared" si="239"/>
        <v/>
      </c>
      <c r="T338" s="11" t="str">
        <f t="shared" si="240"/>
        <v/>
      </c>
      <c r="U338" s="11" t="str">
        <f t="shared" si="241"/>
        <v/>
      </c>
      <c r="V338" s="11" t="str">
        <f t="shared" si="242"/>
        <v/>
      </c>
      <c r="W338" s="11">
        <f t="shared" si="235"/>
        <v>29.25</v>
      </c>
      <c r="X338" s="11" t="s">
        <v>881</v>
      </c>
      <c r="Y338" s="11" t="str">
        <f>HLOOKUP($X338,Tables_Cat!$B$6:$P$7,2,FALSE)</f>
        <v>Material</v>
      </c>
      <c r="Z338" s="24" t="s">
        <v>700</v>
      </c>
      <c r="AA338" s="11" t="s">
        <v>728</v>
      </c>
      <c r="AB338" s="13">
        <f t="shared" si="236"/>
        <v>0.5</v>
      </c>
      <c r="AC338" s="11" t="s">
        <v>1216</v>
      </c>
      <c r="AD338" s="11">
        <f t="shared" si="230"/>
        <v>0.5</v>
      </c>
      <c r="AE338" s="11" t="s">
        <v>1050</v>
      </c>
      <c r="AF338" s="11">
        <f t="shared" si="231"/>
        <v>29.25</v>
      </c>
      <c r="AG338" s="11">
        <f t="shared" si="232"/>
        <v>855.5625</v>
      </c>
      <c r="AH338" s="11">
        <f t="shared" si="237"/>
        <v>4</v>
      </c>
      <c r="AI338" s="11">
        <f t="shared" si="215"/>
        <v>0</v>
      </c>
      <c r="AJ338" s="11">
        <f t="shared" si="233"/>
        <v>14.625</v>
      </c>
      <c r="AK338" s="11">
        <f t="shared" si="234"/>
        <v>427.78125</v>
      </c>
      <c r="AN338" s="11" t="s">
        <v>1212</v>
      </c>
      <c r="AO338" s="11" t="s">
        <v>1213</v>
      </c>
    </row>
    <row r="339" spans="1:41" ht="31.5">
      <c r="A339" s="11">
        <v>333</v>
      </c>
      <c r="B339" s="11" t="s">
        <v>1002</v>
      </c>
      <c r="C339" s="11" t="s">
        <v>1219</v>
      </c>
      <c r="D339" s="32"/>
      <c r="E339" s="11" t="s">
        <v>3</v>
      </c>
      <c r="F339" s="11">
        <v>0.5</v>
      </c>
      <c r="G339" s="11">
        <v>0.5</v>
      </c>
      <c r="H339" s="11">
        <f>A338</f>
        <v>332</v>
      </c>
      <c r="I339" s="11"/>
      <c r="J339" s="11"/>
      <c r="K339" s="11"/>
      <c r="L339" s="11"/>
      <c r="M339" s="11" t="s">
        <v>694</v>
      </c>
      <c r="N339" s="11" t="s">
        <v>781</v>
      </c>
      <c r="O339" s="11" t="s">
        <v>1211</v>
      </c>
      <c r="P339" s="11" t="s">
        <v>881</v>
      </c>
      <c r="Q339" s="11" t="s">
        <v>758</v>
      </c>
      <c r="R339" s="11">
        <f t="shared" si="238"/>
        <v>30.25</v>
      </c>
      <c r="S339" s="11" t="str">
        <f t="shared" si="239"/>
        <v/>
      </c>
      <c r="T339" s="11" t="str">
        <f t="shared" si="240"/>
        <v/>
      </c>
      <c r="U339" s="11" t="str">
        <f t="shared" si="241"/>
        <v/>
      </c>
      <c r="V339" s="11" t="str">
        <f t="shared" si="242"/>
        <v/>
      </c>
      <c r="W339" s="11">
        <f t="shared" si="235"/>
        <v>30.25</v>
      </c>
      <c r="X339" s="11" t="s">
        <v>1007</v>
      </c>
      <c r="Y339" s="11" t="str">
        <f>HLOOKUP($X339,Tables_Cat!$B$6:$P$7,2,FALSE)</f>
        <v>Information</v>
      </c>
      <c r="Z339" s="24" t="s">
        <v>700</v>
      </c>
      <c r="AA339" s="11" t="s">
        <v>701</v>
      </c>
      <c r="AB339" s="13">
        <f t="shared" si="236"/>
        <v>0</v>
      </c>
      <c r="AC339" s="11" t="s">
        <v>1216</v>
      </c>
      <c r="AD339" s="11">
        <f t="shared" si="230"/>
        <v>0</v>
      </c>
      <c r="AE339" s="11" t="s">
        <v>760</v>
      </c>
      <c r="AF339" s="11">
        <f t="shared" si="231"/>
        <v>15.125</v>
      </c>
      <c r="AG339" s="11">
        <f t="shared" si="232"/>
        <v>457.53125</v>
      </c>
      <c r="AH339" s="11">
        <f t="shared" si="237"/>
        <v>3</v>
      </c>
      <c r="AI339" s="11">
        <f t="shared" si="215"/>
        <v>0</v>
      </c>
      <c r="AJ339" s="11">
        <f t="shared" si="233"/>
        <v>15.125</v>
      </c>
      <c r="AK339" s="11">
        <f t="shared" si="234"/>
        <v>457.53125</v>
      </c>
      <c r="AN339" s="11" t="s">
        <v>1212</v>
      </c>
      <c r="AO339" s="11" t="s">
        <v>1213</v>
      </c>
    </row>
    <row r="340" spans="1:41" ht="31.5">
      <c r="A340" s="11">
        <v>334</v>
      </c>
      <c r="B340" s="11" t="s">
        <v>1002</v>
      </c>
      <c r="C340" s="11" t="s">
        <v>1220</v>
      </c>
      <c r="D340" s="32"/>
      <c r="E340" s="11" t="s">
        <v>3</v>
      </c>
      <c r="F340" s="11">
        <v>1</v>
      </c>
      <c r="G340" s="11">
        <v>0.5</v>
      </c>
      <c r="H340" s="11">
        <f>A339</f>
        <v>333</v>
      </c>
      <c r="I340" s="11"/>
      <c r="J340" s="11"/>
      <c r="K340" s="11"/>
      <c r="L340" s="11"/>
      <c r="M340" s="11" t="s">
        <v>694</v>
      </c>
      <c r="N340" s="11" t="s">
        <v>787</v>
      </c>
      <c r="O340" s="11" t="s">
        <v>1006</v>
      </c>
      <c r="P340" s="11" t="s">
        <v>928</v>
      </c>
      <c r="Q340" s="11" t="s">
        <v>758</v>
      </c>
      <c r="R340" s="11">
        <f t="shared" si="238"/>
        <v>30.75</v>
      </c>
      <c r="S340" s="11" t="str">
        <f t="shared" si="239"/>
        <v/>
      </c>
      <c r="T340" s="11" t="str">
        <f t="shared" si="240"/>
        <v/>
      </c>
      <c r="U340" s="11" t="str">
        <f t="shared" si="241"/>
        <v/>
      </c>
      <c r="V340" s="11" t="str">
        <f t="shared" si="242"/>
        <v/>
      </c>
      <c r="W340" s="11">
        <f t="shared" ref="W340" si="250">IF($E340="Yes",MAX(R340:V340),"")</f>
        <v>30.75</v>
      </c>
      <c r="X340" s="11" t="s">
        <v>914</v>
      </c>
      <c r="Y340" s="11" t="str">
        <f>HLOOKUP($X340,Tables_Cat!$B$6:$P$7,2,FALSE)</f>
        <v>Information</v>
      </c>
      <c r="Z340" s="24" t="s">
        <v>700</v>
      </c>
      <c r="AA340" s="11" t="s">
        <v>751</v>
      </c>
      <c r="AB340" s="13">
        <f t="shared" si="236"/>
        <v>0.5</v>
      </c>
      <c r="AC340" s="11" t="s">
        <v>1216</v>
      </c>
      <c r="AD340" s="11">
        <f t="shared" si="230"/>
        <v>0.5</v>
      </c>
      <c r="AE340" s="11" t="s">
        <v>760</v>
      </c>
      <c r="AF340" s="11">
        <f t="shared" si="231"/>
        <v>30.75</v>
      </c>
      <c r="AG340" s="11">
        <f t="shared" si="232"/>
        <v>945.5625</v>
      </c>
      <c r="AH340" s="11">
        <f t="shared" si="237"/>
        <v>2</v>
      </c>
      <c r="AI340" s="11">
        <f t="shared" si="215"/>
        <v>0</v>
      </c>
      <c r="AJ340" s="11">
        <f t="shared" si="233"/>
        <v>15.375</v>
      </c>
      <c r="AK340" s="11">
        <f t="shared" si="234"/>
        <v>472.78125</v>
      </c>
      <c r="AN340" s="11" t="s">
        <v>1212</v>
      </c>
      <c r="AO340" s="11" t="s">
        <v>1213</v>
      </c>
    </row>
    <row r="341" spans="1:41" ht="31.5">
      <c r="A341" s="11">
        <v>335</v>
      </c>
      <c r="B341" s="11" t="s">
        <v>1221</v>
      </c>
      <c r="C341" s="11" t="s">
        <v>1222</v>
      </c>
      <c r="D341" s="32"/>
      <c r="E341" s="11" t="s">
        <v>3</v>
      </c>
      <c r="F341" s="11">
        <v>1</v>
      </c>
      <c r="G341" s="11">
        <v>1</v>
      </c>
      <c r="H341" s="11">
        <f>A8</f>
        <v>2</v>
      </c>
      <c r="I341" s="11">
        <f>A10</f>
        <v>4</v>
      </c>
      <c r="J341" s="11"/>
      <c r="K341" s="11"/>
      <c r="L341" s="11"/>
      <c r="M341" s="11" t="s">
        <v>694</v>
      </c>
      <c r="N341" s="11" t="s">
        <v>735</v>
      </c>
      <c r="O341" s="11" t="s">
        <v>696</v>
      </c>
      <c r="P341" s="11" t="s">
        <v>1223</v>
      </c>
      <c r="Q341" s="11" t="s">
        <v>758</v>
      </c>
      <c r="R341" s="11">
        <f t="shared" si="238"/>
        <v>8</v>
      </c>
      <c r="S341" s="11">
        <f t="shared" si="239"/>
        <v>7</v>
      </c>
      <c r="T341" s="11" t="str">
        <f t="shared" si="240"/>
        <v/>
      </c>
      <c r="U341" s="11" t="str">
        <f t="shared" si="241"/>
        <v/>
      </c>
      <c r="V341" s="11" t="str">
        <f t="shared" si="242"/>
        <v/>
      </c>
      <c r="W341" s="11">
        <f t="shared" si="235"/>
        <v>8</v>
      </c>
      <c r="X341" s="11" t="s">
        <v>699</v>
      </c>
      <c r="Y341" s="11" t="str">
        <f>HLOOKUP($X341,Tables_Cat!$B$6:$P$7,2,FALSE)</f>
        <v>Information</v>
      </c>
      <c r="Z341" s="24" t="s">
        <v>700</v>
      </c>
      <c r="AA341" s="11" t="s">
        <v>701</v>
      </c>
      <c r="AB341" s="13">
        <f t="shared" si="236"/>
        <v>0</v>
      </c>
      <c r="AC341" s="11" t="s">
        <v>702</v>
      </c>
      <c r="AD341" s="11">
        <f t="shared" si="230"/>
        <v>0</v>
      </c>
      <c r="AE341" s="11" t="s">
        <v>760</v>
      </c>
      <c r="AF341" s="11">
        <f t="shared" si="231"/>
        <v>8</v>
      </c>
      <c r="AG341" s="11">
        <f t="shared" si="232"/>
        <v>64</v>
      </c>
      <c r="AH341" s="11">
        <f t="shared" si="237"/>
        <v>3</v>
      </c>
      <c r="AI341" s="11">
        <f t="shared" si="215"/>
        <v>0</v>
      </c>
      <c r="AJ341" s="11">
        <f t="shared" si="233"/>
        <v>8</v>
      </c>
      <c r="AK341" s="11">
        <f t="shared" si="234"/>
        <v>64</v>
      </c>
      <c r="AN341" s="11" t="s">
        <v>704</v>
      </c>
      <c r="AO341" s="11" t="s">
        <v>1224</v>
      </c>
    </row>
    <row r="342" spans="1:41" ht="31.5">
      <c r="A342" s="11">
        <v>336</v>
      </c>
      <c r="B342" s="11" t="s">
        <v>1221</v>
      </c>
      <c r="C342" s="11" t="s">
        <v>1225</v>
      </c>
      <c r="D342" s="32"/>
      <c r="E342" s="11" t="s">
        <v>3</v>
      </c>
      <c r="F342" s="11">
        <v>3</v>
      </c>
      <c r="G342" s="11">
        <v>3</v>
      </c>
      <c r="H342" s="11">
        <f>A341</f>
        <v>335</v>
      </c>
      <c r="I342" s="11"/>
      <c r="J342" s="11"/>
      <c r="K342" s="11"/>
      <c r="L342" s="11"/>
      <c r="M342" s="11" t="s">
        <v>694</v>
      </c>
      <c r="N342" s="11" t="s">
        <v>735</v>
      </c>
      <c r="O342" s="11" t="s">
        <v>696</v>
      </c>
      <c r="P342" s="11" t="s">
        <v>1223</v>
      </c>
      <c r="Q342" s="11" t="s">
        <v>758</v>
      </c>
      <c r="R342" s="11">
        <f t="shared" si="238"/>
        <v>9</v>
      </c>
      <c r="S342" s="11" t="str">
        <f t="shared" si="239"/>
        <v/>
      </c>
      <c r="T342" s="11" t="str">
        <f t="shared" si="240"/>
        <v/>
      </c>
      <c r="U342" s="11" t="str">
        <f t="shared" si="241"/>
        <v/>
      </c>
      <c r="V342" s="11" t="str">
        <f t="shared" si="242"/>
        <v/>
      </c>
      <c r="W342" s="11">
        <f t="shared" si="235"/>
        <v>9</v>
      </c>
      <c r="X342" s="11" t="s">
        <v>745</v>
      </c>
      <c r="Y342" s="11" t="str">
        <f>HLOOKUP($X342,Tables_Cat!$B$6:$P$7,2,FALSE)</f>
        <v>Information</v>
      </c>
      <c r="Z342" s="24" t="s">
        <v>700</v>
      </c>
      <c r="AA342" s="11" t="s">
        <v>701</v>
      </c>
      <c r="AB342" s="13">
        <f t="shared" si="236"/>
        <v>0</v>
      </c>
      <c r="AC342" s="11" t="s">
        <v>702</v>
      </c>
      <c r="AD342" s="11">
        <f t="shared" si="230"/>
        <v>0</v>
      </c>
      <c r="AE342" s="11" t="s">
        <v>760</v>
      </c>
      <c r="AF342" s="11">
        <f t="shared" si="231"/>
        <v>27</v>
      </c>
      <c r="AG342" s="11">
        <f t="shared" si="232"/>
        <v>243</v>
      </c>
      <c r="AH342" s="11">
        <f t="shared" si="237"/>
        <v>3</v>
      </c>
      <c r="AI342" s="11">
        <f t="shared" si="215"/>
        <v>0</v>
      </c>
      <c r="AJ342" s="11">
        <f t="shared" si="233"/>
        <v>27</v>
      </c>
      <c r="AK342" s="11">
        <f t="shared" si="234"/>
        <v>243</v>
      </c>
      <c r="AN342" s="11" t="s">
        <v>704</v>
      </c>
      <c r="AO342" s="11" t="s">
        <v>1224</v>
      </c>
    </row>
    <row r="343" spans="1:41" ht="31.5">
      <c r="A343" s="11">
        <v>337</v>
      </c>
      <c r="B343" s="11" t="s">
        <v>1221</v>
      </c>
      <c r="C343" s="11" t="s">
        <v>1226</v>
      </c>
      <c r="D343" s="32"/>
      <c r="E343" s="11" t="str">
        <f t="shared" si="248"/>
        <v>Select ...</v>
      </c>
      <c r="F343" s="11">
        <v>3</v>
      </c>
      <c r="G343" s="11">
        <v>2.5</v>
      </c>
      <c r="H343" s="11">
        <f>A341</f>
        <v>335</v>
      </c>
      <c r="I343" s="11"/>
      <c r="J343" s="11"/>
      <c r="K343" s="11"/>
      <c r="L343" s="11"/>
      <c r="M343" s="11" t="s">
        <v>694</v>
      </c>
      <c r="N343" s="11" t="s">
        <v>735</v>
      </c>
      <c r="O343" s="11" t="s">
        <v>696</v>
      </c>
      <c r="P343" s="11" t="s">
        <v>1223</v>
      </c>
      <c r="Q343" s="11" t="s">
        <v>758</v>
      </c>
      <c r="R343" s="11" t="str">
        <f t="shared" si="238"/>
        <v/>
      </c>
      <c r="S343" s="11" t="str">
        <f t="shared" si="239"/>
        <v/>
      </c>
      <c r="T343" s="11" t="str">
        <f t="shared" si="240"/>
        <v/>
      </c>
      <c r="U343" s="11" t="str">
        <f t="shared" si="241"/>
        <v/>
      </c>
      <c r="V343" s="11" t="str">
        <f t="shared" si="242"/>
        <v/>
      </c>
      <c r="W343" s="11" t="str">
        <f t="shared" si="235"/>
        <v/>
      </c>
      <c r="X343" s="11" t="s">
        <v>745</v>
      </c>
      <c r="Y343" s="11" t="str">
        <f>HLOOKUP($X343,Tables_Cat!$B$6:$P$7,2,FALSE)</f>
        <v>Information</v>
      </c>
      <c r="Z343" s="24" t="s">
        <v>700</v>
      </c>
      <c r="AA343" s="11" t="s">
        <v>701</v>
      </c>
      <c r="AB343" s="13" t="str">
        <f t="shared" si="236"/>
        <v/>
      </c>
      <c r="AC343" s="11" t="s">
        <v>702</v>
      </c>
      <c r="AD343" s="11" t="str">
        <f t="shared" si="230"/>
        <v/>
      </c>
      <c r="AE343" s="11" t="s">
        <v>760</v>
      </c>
      <c r="AF343" s="11" t="str">
        <f t="shared" si="231"/>
        <v/>
      </c>
      <c r="AG343" s="11" t="str">
        <f t="shared" si="232"/>
        <v/>
      </c>
      <c r="AH343" s="11" t="str">
        <f t="shared" si="237"/>
        <v/>
      </c>
      <c r="AI343" s="11" t="str">
        <f t="shared" si="215"/>
        <v/>
      </c>
      <c r="AJ343" s="11" t="str">
        <f t="shared" si="233"/>
        <v/>
      </c>
      <c r="AK343" s="11" t="str">
        <f t="shared" si="234"/>
        <v/>
      </c>
      <c r="AN343" s="11" t="s">
        <v>704</v>
      </c>
      <c r="AO343" s="11" t="s">
        <v>1224</v>
      </c>
    </row>
    <row r="344" spans="1:41" ht="31.5">
      <c r="A344" s="11">
        <v>338</v>
      </c>
      <c r="B344" s="11" t="s">
        <v>1221</v>
      </c>
      <c r="C344" s="11" t="s">
        <v>1227</v>
      </c>
      <c r="D344" s="32"/>
      <c r="E344" s="11" t="str">
        <f t="shared" si="248"/>
        <v>Select ...</v>
      </c>
      <c r="F344" s="11">
        <v>2</v>
      </c>
      <c r="G344" s="11">
        <v>1.5</v>
      </c>
      <c r="H344" s="11">
        <f>A341</f>
        <v>335</v>
      </c>
      <c r="I344" s="11"/>
      <c r="J344" s="11"/>
      <c r="K344" s="11"/>
      <c r="L344" s="11"/>
      <c r="M344" s="11" t="s">
        <v>694</v>
      </c>
      <c r="N344" s="11" t="s">
        <v>735</v>
      </c>
      <c r="O344" s="11" t="s">
        <v>696</v>
      </c>
      <c r="P344" s="11" t="s">
        <v>1223</v>
      </c>
      <c r="Q344" s="11" t="s">
        <v>758</v>
      </c>
      <c r="R344" s="11" t="str">
        <f t="shared" si="238"/>
        <v/>
      </c>
      <c r="S344" s="11" t="str">
        <f t="shared" si="239"/>
        <v/>
      </c>
      <c r="T344" s="11" t="str">
        <f t="shared" si="240"/>
        <v/>
      </c>
      <c r="U344" s="11" t="str">
        <f t="shared" si="241"/>
        <v/>
      </c>
      <c r="V344" s="11" t="str">
        <f t="shared" si="242"/>
        <v/>
      </c>
      <c r="W344" s="11" t="str">
        <f t="shared" si="235"/>
        <v/>
      </c>
      <c r="X344" s="11" t="s">
        <v>745</v>
      </c>
      <c r="Y344" s="11" t="str">
        <f>HLOOKUP($X344,Tables_Cat!$B$6:$P$7,2,FALSE)</f>
        <v>Information</v>
      </c>
      <c r="Z344" s="24" t="s">
        <v>700</v>
      </c>
      <c r="AA344" s="11" t="s">
        <v>701</v>
      </c>
      <c r="AB344" s="13" t="str">
        <f t="shared" si="236"/>
        <v/>
      </c>
      <c r="AC344" s="11" t="s">
        <v>702</v>
      </c>
      <c r="AD344" s="11" t="str">
        <f t="shared" si="230"/>
        <v/>
      </c>
      <c r="AE344" s="11" t="s">
        <v>760</v>
      </c>
      <c r="AF344" s="11" t="str">
        <f t="shared" si="231"/>
        <v/>
      </c>
      <c r="AG344" s="11" t="str">
        <f t="shared" si="232"/>
        <v/>
      </c>
      <c r="AH344" s="11" t="str">
        <f t="shared" si="237"/>
        <v/>
      </c>
      <c r="AI344" s="11" t="str">
        <f t="shared" si="215"/>
        <v/>
      </c>
      <c r="AJ344" s="11" t="str">
        <f t="shared" si="233"/>
        <v/>
      </c>
      <c r="AK344" s="11" t="str">
        <f t="shared" si="234"/>
        <v/>
      </c>
      <c r="AN344" s="11" t="s">
        <v>704</v>
      </c>
      <c r="AO344" s="11" t="s">
        <v>1224</v>
      </c>
    </row>
    <row r="345" spans="1:41" ht="31.5">
      <c r="A345" s="11">
        <v>339</v>
      </c>
      <c r="B345" s="11" t="s">
        <v>1221</v>
      </c>
      <c r="C345" s="11" t="s">
        <v>1228</v>
      </c>
      <c r="D345" s="32"/>
      <c r="E345" s="11" t="str">
        <f t="shared" si="248"/>
        <v>Select ...</v>
      </c>
      <c r="F345" s="11">
        <v>1.5</v>
      </c>
      <c r="G345" s="11">
        <v>1</v>
      </c>
      <c r="H345" s="11">
        <f>149</f>
        <v>149</v>
      </c>
      <c r="I345" s="11"/>
      <c r="J345" s="11"/>
      <c r="K345" s="11"/>
      <c r="L345" s="11"/>
      <c r="M345" s="11" t="s">
        <v>694</v>
      </c>
      <c r="N345" s="11" t="s">
        <v>735</v>
      </c>
      <c r="O345" s="11" t="s">
        <v>696</v>
      </c>
      <c r="P345" s="11" t="s">
        <v>1223</v>
      </c>
      <c r="Q345" s="11" t="s">
        <v>758</v>
      </c>
      <c r="R345" s="11" t="str">
        <f t="shared" si="238"/>
        <v/>
      </c>
      <c r="S345" s="11" t="str">
        <f t="shared" si="239"/>
        <v/>
      </c>
      <c r="T345" s="11" t="str">
        <f t="shared" si="240"/>
        <v/>
      </c>
      <c r="U345" s="11" t="str">
        <f t="shared" si="241"/>
        <v/>
      </c>
      <c r="V345" s="11" t="str">
        <f t="shared" si="242"/>
        <v/>
      </c>
      <c r="W345" s="11" t="str">
        <f t="shared" si="235"/>
        <v/>
      </c>
      <c r="X345" s="11" t="s">
        <v>745</v>
      </c>
      <c r="Y345" s="11" t="str">
        <f>HLOOKUP($X345,Tables_Cat!$B$6:$P$7,2,FALSE)</f>
        <v>Information</v>
      </c>
      <c r="Z345" s="24" t="s">
        <v>709</v>
      </c>
      <c r="AA345" s="11" t="s">
        <v>701</v>
      </c>
      <c r="AB345" s="13" t="str">
        <f t="shared" si="236"/>
        <v/>
      </c>
      <c r="AC345" s="11" t="s">
        <v>702</v>
      </c>
      <c r="AD345" s="11" t="str">
        <f t="shared" si="230"/>
        <v/>
      </c>
      <c r="AE345" s="11" t="s">
        <v>760</v>
      </c>
      <c r="AF345" s="11" t="str">
        <f t="shared" si="231"/>
        <v/>
      </c>
      <c r="AG345" s="11" t="str">
        <f t="shared" si="232"/>
        <v/>
      </c>
      <c r="AH345" s="11" t="str">
        <f t="shared" si="237"/>
        <v/>
      </c>
      <c r="AI345" s="11" t="str">
        <f t="shared" si="215"/>
        <v/>
      </c>
      <c r="AJ345" s="11" t="str">
        <f t="shared" si="233"/>
        <v/>
      </c>
      <c r="AK345" s="11" t="str">
        <f t="shared" si="234"/>
        <v/>
      </c>
      <c r="AN345" s="11" t="s">
        <v>704</v>
      </c>
      <c r="AO345" s="11" t="s">
        <v>1224</v>
      </c>
    </row>
    <row r="346" spans="1:41" ht="47.25">
      <c r="A346" s="11">
        <v>340</v>
      </c>
      <c r="B346" s="11" t="s">
        <v>1221</v>
      </c>
      <c r="C346" s="11" t="s">
        <v>1229</v>
      </c>
      <c r="D346" s="32"/>
      <c r="E346" s="11" t="str">
        <f t="shared" ref="E346" si="251">IF(D346="","Select ...")</f>
        <v>Select ...</v>
      </c>
      <c r="F346" s="11">
        <v>1.5</v>
      </c>
      <c r="G346" s="11">
        <v>1</v>
      </c>
      <c r="H346" s="11">
        <f>149</f>
        <v>149</v>
      </c>
      <c r="I346" s="11"/>
      <c r="J346" s="11"/>
      <c r="K346" s="11"/>
      <c r="L346" s="11"/>
      <c r="M346" s="11" t="s">
        <v>694</v>
      </c>
      <c r="N346" s="11" t="s">
        <v>781</v>
      </c>
      <c r="O346" s="11" t="s">
        <v>696</v>
      </c>
      <c r="P346" s="11" t="s">
        <v>1223</v>
      </c>
      <c r="Q346" s="11" t="s">
        <v>758</v>
      </c>
      <c r="R346" s="11" t="str">
        <f t="shared" si="238"/>
        <v/>
      </c>
      <c r="S346" s="11" t="str">
        <f t="shared" si="239"/>
        <v/>
      </c>
      <c r="T346" s="11" t="str">
        <f t="shared" si="240"/>
        <v/>
      </c>
      <c r="U346" s="11" t="str">
        <f t="shared" si="241"/>
        <v/>
      </c>
      <c r="V346" s="11" t="str">
        <f t="shared" si="242"/>
        <v/>
      </c>
      <c r="W346" s="11" t="str">
        <f t="shared" ref="W346" si="252">IF($E346="Yes",MAX(R346:V346),"")</f>
        <v/>
      </c>
      <c r="X346" s="11" t="s">
        <v>745</v>
      </c>
      <c r="Y346" s="11" t="str">
        <f>HLOOKUP($X346,Tables_Cat!$B$6:$P$7,2,FALSE)</f>
        <v>Information</v>
      </c>
      <c r="Z346" s="24" t="s">
        <v>700</v>
      </c>
      <c r="AA346" s="11" t="s">
        <v>701</v>
      </c>
      <c r="AB346" s="13" t="str">
        <f t="shared" si="236"/>
        <v/>
      </c>
      <c r="AC346" s="11" t="s">
        <v>702</v>
      </c>
      <c r="AD346" s="11" t="str">
        <f t="shared" si="230"/>
        <v/>
      </c>
      <c r="AE346" s="11" t="s">
        <v>760</v>
      </c>
      <c r="AF346" s="11" t="str">
        <f t="shared" si="231"/>
        <v/>
      </c>
      <c r="AG346" s="11" t="str">
        <f t="shared" si="232"/>
        <v/>
      </c>
      <c r="AH346" s="11" t="str">
        <f t="shared" si="237"/>
        <v/>
      </c>
      <c r="AI346" s="11" t="str">
        <f t="shared" si="215"/>
        <v/>
      </c>
      <c r="AJ346" s="11" t="str">
        <f t="shared" si="233"/>
        <v/>
      </c>
      <c r="AK346" s="11" t="str">
        <f t="shared" si="234"/>
        <v/>
      </c>
      <c r="AN346" s="11" t="s">
        <v>704</v>
      </c>
      <c r="AO346" s="11" t="s">
        <v>1224</v>
      </c>
    </row>
    <row r="347" spans="1:41" ht="31.5">
      <c r="A347" s="11">
        <v>341</v>
      </c>
      <c r="B347" s="11" t="s">
        <v>1221</v>
      </c>
      <c r="C347" s="11" t="s">
        <v>1230</v>
      </c>
      <c r="D347" s="32"/>
      <c r="E347" s="11" t="str">
        <f t="shared" si="248"/>
        <v>Select ...</v>
      </c>
      <c r="F347" s="11">
        <v>0.5</v>
      </c>
      <c r="G347" s="11">
        <v>0.5</v>
      </c>
      <c r="H347" s="11">
        <f>A267</f>
        <v>261</v>
      </c>
      <c r="I347" s="11">
        <f>A268</f>
        <v>262</v>
      </c>
      <c r="J347" s="11"/>
      <c r="K347" s="11"/>
      <c r="L347" s="11"/>
      <c r="M347" s="11" t="s">
        <v>694</v>
      </c>
      <c r="N347" s="11" t="s">
        <v>781</v>
      </c>
      <c r="O347" s="11" t="s">
        <v>1223</v>
      </c>
      <c r="P347" s="11" t="s">
        <v>931</v>
      </c>
      <c r="Q347" s="11" t="s">
        <v>868</v>
      </c>
      <c r="R347" s="11" t="str">
        <f t="shared" si="238"/>
        <v/>
      </c>
      <c r="S347" s="11" t="str">
        <f t="shared" si="239"/>
        <v/>
      </c>
      <c r="T347" s="11" t="str">
        <f t="shared" si="240"/>
        <v/>
      </c>
      <c r="U347" s="11" t="str">
        <f t="shared" si="241"/>
        <v/>
      </c>
      <c r="V347" s="11" t="str">
        <f t="shared" si="242"/>
        <v/>
      </c>
      <c r="W347" s="11" t="str">
        <f t="shared" si="235"/>
        <v/>
      </c>
      <c r="X347" s="11" t="s">
        <v>914</v>
      </c>
      <c r="Y347" s="11" t="str">
        <f>HLOOKUP($X347,Tables_Cat!$B$6:$P$7,2,FALSE)</f>
        <v>Information</v>
      </c>
      <c r="Z347" s="24" t="s">
        <v>700</v>
      </c>
      <c r="AA347" s="11" t="s">
        <v>701</v>
      </c>
      <c r="AB347" s="13" t="str">
        <f t="shared" si="236"/>
        <v/>
      </c>
      <c r="AC347" s="11" t="s">
        <v>702</v>
      </c>
      <c r="AD347" s="11" t="str">
        <f t="shared" si="230"/>
        <v/>
      </c>
      <c r="AE347" s="11" t="s">
        <v>870</v>
      </c>
      <c r="AF347" s="11" t="str">
        <f t="shared" si="231"/>
        <v/>
      </c>
      <c r="AG347" s="11" t="str">
        <f t="shared" si="232"/>
        <v/>
      </c>
      <c r="AH347" s="11" t="str">
        <f t="shared" si="237"/>
        <v/>
      </c>
      <c r="AI347" s="11" t="str">
        <f t="shared" si="215"/>
        <v/>
      </c>
      <c r="AJ347" s="11" t="str">
        <f t="shared" si="233"/>
        <v/>
      </c>
      <c r="AK347" s="11" t="str">
        <f t="shared" si="234"/>
        <v/>
      </c>
      <c r="AN347" s="11" t="s">
        <v>704</v>
      </c>
      <c r="AO347" s="11" t="s">
        <v>1231</v>
      </c>
    </row>
    <row r="348" spans="1:41" ht="31.5">
      <c r="A348" s="11">
        <v>342</v>
      </c>
      <c r="B348" s="11" t="s">
        <v>1221</v>
      </c>
      <c r="C348" s="11" t="s">
        <v>1232</v>
      </c>
      <c r="D348" s="32"/>
      <c r="E348" s="11" t="str">
        <f t="shared" si="248"/>
        <v>Select ...</v>
      </c>
      <c r="F348" s="11">
        <v>0.5</v>
      </c>
      <c r="G348" s="11">
        <v>0.25</v>
      </c>
      <c r="H348" s="11">
        <f>A267</f>
        <v>261</v>
      </c>
      <c r="I348" s="11">
        <f>A268</f>
        <v>262</v>
      </c>
      <c r="J348" s="11"/>
      <c r="K348" s="11"/>
      <c r="L348" s="11"/>
      <c r="M348" s="11" t="s">
        <v>694</v>
      </c>
      <c r="N348" s="11" t="s">
        <v>781</v>
      </c>
      <c r="O348" s="11" t="s">
        <v>1223</v>
      </c>
      <c r="P348" s="11" t="s">
        <v>931</v>
      </c>
      <c r="Q348" s="11" t="s">
        <v>868</v>
      </c>
      <c r="R348" s="11" t="str">
        <f t="shared" si="238"/>
        <v/>
      </c>
      <c r="S348" s="11" t="str">
        <f t="shared" si="239"/>
        <v/>
      </c>
      <c r="T348" s="11" t="str">
        <f t="shared" si="240"/>
        <v/>
      </c>
      <c r="U348" s="11" t="str">
        <f t="shared" si="241"/>
        <v/>
      </c>
      <c r="V348" s="11" t="str">
        <f t="shared" si="242"/>
        <v/>
      </c>
      <c r="W348" s="11" t="str">
        <f t="shared" si="235"/>
        <v/>
      </c>
      <c r="X348" s="11" t="s">
        <v>914</v>
      </c>
      <c r="Y348" s="11" t="str">
        <f>HLOOKUP($X348,Tables_Cat!$B$6:$P$7,2,FALSE)</f>
        <v>Information</v>
      </c>
      <c r="Z348" s="24" t="s">
        <v>700</v>
      </c>
      <c r="AA348" s="11" t="s">
        <v>701</v>
      </c>
      <c r="AB348" s="13" t="str">
        <f t="shared" si="236"/>
        <v/>
      </c>
      <c r="AC348" s="11" t="s">
        <v>702</v>
      </c>
      <c r="AD348" s="11" t="str">
        <f t="shared" si="230"/>
        <v/>
      </c>
      <c r="AE348" s="11" t="s">
        <v>870</v>
      </c>
      <c r="AF348" s="11" t="str">
        <f t="shared" si="231"/>
        <v/>
      </c>
      <c r="AG348" s="11" t="str">
        <f t="shared" si="232"/>
        <v/>
      </c>
      <c r="AH348" s="11" t="str">
        <f t="shared" si="237"/>
        <v/>
      </c>
      <c r="AI348" s="11" t="str">
        <f t="shared" si="215"/>
        <v/>
      </c>
      <c r="AJ348" s="11" t="str">
        <f t="shared" si="233"/>
        <v/>
      </c>
      <c r="AK348" s="11" t="str">
        <f t="shared" si="234"/>
        <v/>
      </c>
      <c r="AN348" s="11" t="s">
        <v>704</v>
      </c>
      <c r="AO348" s="11" t="s">
        <v>1231</v>
      </c>
    </row>
    <row r="349" spans="1:41" ht="31.5">
      <c r="A349" s="11">
        <v>343</v>
      </c>
      <c r="B349" s="11" t="s">
        <v>1221</v>
      </c>
      <c r="C349" s="11" t="s">
        <v>1233</v>
      </c>
      <c r="D349" s="32"/>
      <c r="E349" s="11" t="str">
        <f t="shared" si="248"/>
        <v>Select ...</v>
      </c>
      <c r="F349" s="11">
        <v>0.25</v>
      </c>
      <c r="G349" s="11">
        <v>0.25</v>
      </c>
      <c r="H349" s="11">
        <f>A267</f>
        <v>261</v>
      </c>
      <c r="I349" s="11">
        <f>A268</f>
        <v>262</v>
      </c>
      <c r="J349" s="11"/>
      <c r="K349" s="11"/>
      <c r="L349" s="11"/>
      <c r="M349" s="11" t="s">
        <v>694</v>
      </c>
      <c r="N349" s="11" t="s">
        <v>781</v>
      </c>
      <c r="O349" s="11" t="s">
        <v>1223</v>
      </c>
      <c r="P349" s="11" t="s">
        <v>931</v>
      </c>
      <c r="Q349" s="11" t="s">
        <v>868</v>
      </c>
      <c r="R349" s="11" t="str">
        <f t="shared" si="238"/>
        <v/>
      </c>
      <c r="S349" s="11" t="str">
        <f t="shared" si="239"/>
        <v/>
      </c>
      <c r="T349" s="11" t="str">
        <f t="shared" si="240"/>
        <v/>
      </c>
      <c r="U349" s="11" t="str">
        <f t="shared" si="241"/>
        <v/>
      </c>
      <c r="V349" s="11" t="str">
        <f t="shared" si="242"/>
        <v/>
      </c>
      <c r="W349" s="11" t="str">
        <f t="shared" si="235"/>
        <v/>
      </c>
      <c r="X349" s="11" t="s">
        <v>860</v>
      </c>
      <c r="Y349" s="11" t="str">
        <f>HLOOKUP($X349,Tables_Cat!$B$6:$P$7,2,FALSE)</f>
        <v>Information</v>
      </c>
      <c r="Z349" s="24" t="s">
        <v>700</v>
      </c>
      <c r="AA349" s="11" t="s">
        <v>701</v>
      </c>
      <c r="AB349" s="13" t="str">
        <f t="shared" si="236"/>
        <v/>
      </c>
      <c r="AC349" s="11" t="s">
        <v>702</v>
      </c>
      <c r="AD349" s="11" t="str">
        <f t="shared" si="230"/>
        <v/>
      </c>
      <c r="AE349" s="11" t="s">
        <v>870</v>
      </c>
      <c r="AF349" s="11" t="str">
        <f t="shared" si="231"/>
        <v/>
      </c>
      <c r="AG349" s="11" t="str">
        <f t="shared" si="232"/>
        <v/>
      </c>
      <c r="AH349" s="11" t="str">
        <f t="shared" si="237"/>
        <v/>
      </c>
      <c r="AI349" s="11" t="str">
        <f t="shared" si="215"/>
        <v/>
      </c>
      <c r="AJ349" s="11" t="str">
        <f t="shared" si="233"/>
        <v/>
      </c>
      <c r="AK349" s="11" t="str">
        <f t="shared" si="234"/>
        <v/>
      </c>
      <c r="AN349" s="11" t="s">
        <v>704</v>
      </c>
      <c r="AO349" s="11" t="s">
        <v>1231</v>
      </c>
    </row>
    <row r="350" spans="1:41" ht="31.5">
      <c r="A350" s="11">
        <v>344</v>
      </c>
      <c r="B350" s="11" t="s">
        <v>1221</v>
      </c>
      <c r="C350" s="11" t="s">
        <v>1234</v>
      </c>
      <c r="D350" s="32"/>
      <c r="E350" s="11" t="str">
        <f t="shared" si="248"/>
        <v>Select ...</v>
      </c>
      <c r="F350" s="11">
        <v>0.5</v>
      </c>
      <c r="G350" s="11">
        <v>0.5</v>
      </c>
      <c r="H350" s="11">
        <f>A347</f>
        <v>341</v>
      </c>
      <c r="I350" s="11"/>
      <c r="J350" s="11"/>
      <c r="K350" s="11"/>
      <c r="L350" s="11"/>
      <c r="M350" s="11" t="s">
        <v>694</v>
      </c>
      <c r="N350" s="11" t="s">
        <v>735</v>
      </c>
      <c r="O350" s="11" t="s">
        <v>931</v>
      </c>
      <c r="P350" s="11" t="s">
        <v>931</v>
      </c>
      <c r="Q350" s="11" t="s">
        <v>868</v>
      </c>
      <c r="R350" s="11" t="str">
        <f t="shared" si="238"/>
        <v/>
      </c>
      <c r="S350" s="11" t="str">
        <f t="shared" si="239"/>
        <v/>
      </c>
      <c r="T350" s="11" t="str">
        <f t="shared" si="240"/>
        <v/>
      </c>
      <c r="U350" s="11" t="str">
        <f t="shared" si="241"/>
        <v/>
      </c>
      <c r="V350" s="11" t="str">
        <f t="shared" si="242"/>
        <v/>
      </c>
      <c r="W350" s="11" t="str">
        <f t="shared" si="235"/>
        <v/>
      </c>
      <c r="X350" s="11" t="s">
        <v>914</v>
      </c>
      <c r="Y350" s="11" t="str">
        <f>HLOOKUP($X350,Tables_Cat!$B$6:$P$7,2,FALSE)</f>
        <v>Information</v>
      </c>
      <c r="Z350" s="24" t="s">
        <v>700</v>
      </c>
      <c r="AA350" s="11" t="s">
        <v>751</v>
      </c>
      <c r="AB350" s="13" t="str">
        <f t="shared" si="236"/>
        <v/>
      </c>
      <c r="AC350" s="11" t="s">
        <v>702</v>
      </c>
      <c r="AD350" s="11" t="str">
        <f t="shared" si="230"/>
        <v/>
      </c>
      <c r="AE350" s="11" t="s">
        <v>870</v>
      </c>
      <c r="AF350" s="11" t="str">
        <f t="shared" si="231"/>
        <v/>
      </c>
      <c r="AG350" s="11" t="str">
        <f t="shared" si="232"/>
        <v/>
      </c>
      <c r="AH350" s="11" t="str">
        <f t="shared" si="237"/>
        <v/>
      </c>
      <c r="AI350" s="11" t="str">
        <f t="shared" si="215"/>
        <v/>
      </c>
      <c r="AJ350" s="11" t="str">
        <f t="shared" si="233"/>
        <v/>
      </c>
      <c r="AK350" s="11" t="str">
        <f t="shared" si="234"/>
        <v/>
      </c>
      <c r="AN350" s="11" t="s">
        <v>704</v>
      </c>
      <c r="AO350" s="11" t="s">
        <v>1231</v>
      </c>
    </row>
    <row r="351" spans="1:41" ht="31.5">
      <c r="A351" s="11">
        <v>345</v>
      </c>
      <c r="B351" s="11" t="s">
        <v>1221</v>
      </c>
      <c r="C351" s="11" t="s">
        <v>1235</v>
      </c>
      <c r="D351" s="32"/>
      <c r="E351" s="11" t="str">
        <f t="shared" si="248"/>
        <v>Select ...</v>
      </c>
      <c r="F351" s="11">
        <v>0.25</v>
      </c>
      <c r="G351" s="11">
        <v>0.25</v>
      </c>
      <c r="H351" s="11">
        <f>A348</f>
        <v>342</v>
      </c>
      <c r="I351" s="11">
        <f>A349</f>
        <v>343</v>
      </c>
      <c r="J351" s="11"/>
      <c r="K351" s="11"/>
      <c r="L351" s="11"/>
      <c r="M351" s="11" t="s">
        <v>694</v>
      </c>
      <c r="N351" s="11" t="s">
        <v>735</v>
      </c>
      <c r="O351" s="11" t="s">
        <v>931</v>
      </c>
      <c r="P351" s="11" t="s">
        <v>931</v>
      </c>
      <c r="Q351" s="11" t="s">
        <v>868</v>
      </c>
      <c r="R351" s="11" t="str">
        <f t="shared" si="238"/>
        <v/>
      </c>
      <c r="S351" s="11" t="str">
        <f t="shared" si="239"/>
        <v/>
      </c>
      <c r="T351" s="11" t="str">
        <f t="shared" si="240"/>
        <v/>
      </c>
      <c r="U351" s="11" t="str">
        <f t="shared" si="241"/>
        <v/>
      </c>
      <c r="V351" s="11" t="str">
        <f t="shared" si="242"/>
        <v/>
      </c>
      <c r="W351" s="11" t="str">
        <f t="shared" si="235"/>
        <v/>
      </c>
      <c r="X351" s="11" t="s">
        <v>914</v>
      </c>
      <c r="Y351" s="11" t="str">
        <f>HLOOKUP($X351,Tables_Cat!$B$6:$P$7,2,FALSE)</f>
        <v>Information</v>
      </c>
      <c r="Z351" s="24" t="s">
        <v>700</v>
      </c>
      <c r="AA351" s="11" t="s">
        <v>751</v>
      </c>
      <c r="AB351" s="13" t="str">
        <f t="shared" si="236"/>
        <v/>
      </c>
      <c r="AC351" s="11" t="s">
        <v>702</v>
      </c>
      <c r="AD351" s="11" t="str">
        <f t="shared" si="230"/>
        <v/>
      </c>
      <c r="AE351" s="11" t="s">
        <v>870</v>
      </c>
      <c r="AF351" s="11" t="str">
        <f t="shared" si="231"/>
        <v/>
      </c>
      <c r="AG351" s="11" t="str">
        <f t="shared" si="232"/>
        <v/>
      </c>
      <c r="AH351" s="11" t="str">
        <f t="shared" si="237"/>
        <v/>
      </c>
      <c r="AI351" s="11" t="str">
        <f t="shared" si="215"/>
        <v/>
      </c>
      <c r="AJ351" s="11" t="str">
        <f t="shared" si="233"/>
        <v/>
      </c>
      <c r="AK351" s="11" t="str">
        <f t="shared" si="234"/>
        <v/>
      </c>
      <c r="AN351" s="11" t="s">
        <v>704</v>
      </c>
      <c r="AO351" s="11" t="s">
        <v>1231</v>
      </c>
    </row>
    <row r="352" spans="1:41" ht="47.25">
      <c r="A352" s="11">
        <v>346</v>
      </c>
      <c r="B352" s="11" t="s">
        <v>876</v>
      </c>
      <c r="C352" s="11" t="s">
        <v>1236</v>
      </c>
      <c r="D352" s="32"/>
      <c r="E352" s="11" t="str">
        <f t="shared" si="248"/>
        <v>Select ...</v>
      </c>
      <c r="F352" s="11">
        <v>0.5</v>
      </c>
      <c r="G352" s="11">
        <v>0</v>
      </c>
      <c r="H352" s="11">
        <f>A342</f>
        <v>336</v>
      </c>
      <c r="I352" s="11"/>
      <c r="J352" s="11"/>
      <c r="K352" s="11"/>
      <c r="L352" s="11"/>
      <c r="M352" s="11" t="s">
        <v>750</v>
      </c>
      <c r="N352" s="11" t="s">
        <v>763</v>
      </c>
      <c r="O352" s="11" t="s">
        <v>464</v>
      </c>
      <c r="P352" s="11" t="s">
        <v>464</v>
      </c>
      <c r="Q352" s="11" t="s">
        <v>1237</v>
      </c>
      <c r="R352" s="11" t="str">
        <f t="shared" si="238"/>
        <v/>
      </c>
      <c r="S352" s="11" t="str">
        <f t="shared" si="239"/>
        <v/>
      </c>
      <c r="T352" s="11" t="str">
        <f t="shared" si="240"/>
        <v/>
      </c>
      <c r="U352" s="11" t="str">
        <f t="shared" si="241"/>
        <v/>
      </c>
      <c r="V352" s="11" t="str">
        <f t="shared" si="242"/>
        <v/>
      </c>
      <c r="W352" s="11" t="str">
        <f t="shared" si="235"/>
        <v/>
      </c>
      <c r="X352" s="11" t="s">
        <v>759</v>
      </c>
      <c r="Y352" s="11" t="str">
        <f>HLOOKUP($X352,Tables_Cat!$B$6:$P$7,2,FALSE)</f>
        <v>Information</v>
      </c>
      <c r="Z352" s="24" t="s">
        <v>793</v>
      </c>
      <c r="AA352" s="11" t="s">
        <v>765</v>
      </c>
      <c r="AB352" s="13" t="str">
        <f t="shared" si="236"/>
        <v/>
      </c>
      <c r="AC352" s="11" t="s">
        <v>702</v>
      </c>
      <c r="AD352" s="11" t="str">
        <f t="shared" si="230"/>
        <v/>
      </c>
      <c r="AE352" s="11" t="s">
        <v>839</v>
      </c>
      <c r="AF352" s="11" t="str">
        <f t="shared" si="231"/>
        <v/>
      </c>
      <c r="AG352" s="11" t="str">
        <f t="shared" si="232"/>
        <v/>
      </c>
      <c r="AH352" s="11" t="str">
        <f t="shared" si="237"/>
        <v/>
      </c>
      <c r="AI352" s="11" t="str">
        <f t="shared" si="215"/>
        <v/>
      </c>
      <c r="AJ352" s="11" t="str">
        <f t="shared" si="233"/>
        <v/>
      </c>
      <c r="AK352" s="11" t="str">
        <f t="shared" si="234"/>
        <v/>
      </c>
      <c r="AN352" s="11" t="s">
        <v>879</v>
      </c>
      <c r="AO352" s="11" t="s">
        <v>761</v>
      </c>
    </row>
    <row r="353" spans="1:41" ht="31.5">
      <c r="A353" s="11">
        <v>347</v>
      </c>
      <c r="B353" s="11" t="s">
        <v>1221</v>
      </c>
      <c r="C353" s="11" t="s">
        <v>1238</v>
      </c>
      <c r="D353" s="32"/>
      <c r="E353" s="11" t="s">
        <v>3</v>
      </c>
      <c r="F353" s="11">
        <v>1</v>
      </c>
      <c r="G353" s="11">
        <v>1</v>
      </c>
      <c r="H353" s="11">
        <f>A340</f>
        <v>334</v>
      </c>
      <c r="I353" s="11"/>
      <c r="J353" s="11"/>
      <c r="K353" s="11"/>
      <c r="L353" s="11"/>
      <c r="M353" s="11" t="s">
        <v>694</v>
      </c>
      <c r="N353" s="11" t="s">
        <v>735</v>
      </c>
      <c r="O353" s="11" t="s">
        <v>931</v>
      </c>
      <c r="P353" s="11" t="s">
        <v>881</v>
      </c>
      <c r="Q353" s="11" t="s">
        <v>1125</v>
      </c>
      <c r="R353" s="11">
        <f t="shared" si="238"/>
        <v>31.75</v>
      </c>
      <c r="S353" s="11" t="str">
        <f t="shared" si="239"/>
        <v/>
      </c>
      <c r="T353" s="11" t="str">
        <f t="shared" si="240"/>
        <v/>
      </c>
      <c r="U353" s="11" t="str">
        <f t="shared" si="241"/>
        <v/>
      </c>
      <c r="V353" s="11" t="str">
        <f t="shared" si="242"/>
        <v/>
      </c>
      <c r="W353" s="11">
        <f t="shared" ref="W353:W355" si="253">IF($E353="Yes",MAX(R353:V353),"")</f>
        <v>31.75</v>
      </c>
      <c r="X353" s="11" t="s">
        <v>801</v>
      </c>
      <c r="Y353" s="11" t="str">
        <f>HLOOKUP($X353,Tables_Cat!$B$6:$P$7,2,FALSE)</f>
        <v>Material</v>
      </c>
      <c r="Z353" s="24" t="s">
        <v>700</v>
      </c>
      <c r="AA353" s="11" t="s">
        <v>728</v>
      </c>
      <c r="AB353" s="13">
        <f t="shared" si="236"/>
        <v>0</v>
      </c>
      <c r="AC353" s="11" t="s">
        <v>702</v>
      </c>
      <c r="AD353" s="11">
        <f t="shared" si="230"/>
        <v>0</v>
      </c>
      <c r="AE353" s="11" t="s">
        <v>839</v>
      </c>
      <c r="AF353" s="11">
        <f t="shared" si="231"/>
        <v>31.75</v>
      </c>
      <c r="AG353" s="11">
        <f t="shared" si="232"/>
        <v>1008.0625</v>
      </c>
      <c r="AH353" s="11">
        <f t="shared" si="237"/>
        <v>4</v>
      </c>
      <c r="AI353" s="11">
        <f t="shared" si="215"/>
        <v>0</v>
      </c>
      <c r="AJ353" s="11">
        <f t="shared" si="233"/>
        <v>31.75</v>
      </c>
      <c r="AK353" s="11">
        <f t="shared" si="234"/>
        <v>1008.0625</v>
      </c>
      <c r="AN353" s="11" t="s">
        <v>710</v>
      </c>
      <c r="AO353" s="11" t="s">
        <v>1231</v>
      </c>
    </row>
    <row r="354" spans="1:41" ht="31.5">
      <c r="A354" s="11">
        <v>348</v>
      </c>
      <c r="B354" s="11" t="s">
        <v>1221</v>
      </c>
      <c r="C354" s="11" t="s">
        <v>1239</v>
      </c>
      <c r="D354" s="32"/>
      <c r="E354" s="11" t="s">
        <v>3</v>
      </c>
      <c r="F354" s="11">
        <v>1</v>
      </c>
      <c r="G354" s="11">
        <v>0.5</v>
      </c>
      <c r="H354" s="11">
        <f>A340</f>
        <v>334</v>
      </c>
      <c r="I354" s="11"/>
      <c r="J354" s="11"/>
      <c r="K354" s="11"/>
      <c r="L354" s="11"/>
      <c r="M354" s="11" t="s">
        <v>694</v>
      </c>
      <c r="N354" s="11" t="s">
        <v>735</v>
      </c>
      <c r="O354" s="11" t="s">
        <v>931</v>
      </c>
      <c r="P354" s="11" t="s">
        <v>881</v>
      </c>
      <c r="Q354" s="11" t="s">
        <v>1125</v>
      </c>
      <c r="R354" s="11">
        <f t="shared" si="238"/>
        <v>31.75</v>
      </c>
      <c r="S354" s="11" t="str">
        <f t="shared" si="239"/>
        <v/>
      </c>
      <c r="T354" s="11" t="str">
        <f t="shared" si="240"/>
        <v/>
      </c>
      <c r="U354" s="11" t="str">
        <f t="shared" si="241"/>
        <v/>
      </c>
      <c r="V354" s="11" t="str">
        <f t="shared" si="242"/>
        <v/>
      </c>
      <c r="W354" s="11">
        <f t="shared" si="253"/>
        <v>31.75</v>
      </c>
      <c r="X354" s="11" t="s">
        <v>801</v>
      </c>
      <c r="Y354" s="11" t="str">
        <f>HLOOKUP($X354,Tables_Cat!$B$6:$P$7,2,FALSE)</f>
        <v>Material</v>
      </c>
      <c r="Z354" s="24" t="s">
        <v>700</v>
      </c>
      <c r="AA354" s="11" t="s">
        <v>728</v>
      </c>
      <c r="AB354" s="13">
        <f t="shared" si="236"/>
        <v>0.5</v>
      </c>
      <c r="AC354" s="11" t="s">
        <v>702</v>
      </c>
      <c r="AD354" s="11">
        <f t="shared" si="230"/>
        <v>0.5</v>
      </c>
      <c r="AE354" s="11" t="s">
        <v>839</v>
      </c>
      <c r="AF354" s="11">
        <f t="shared" si="231"/>
        <v>31.75</v>
      </c>
      <c r="AG354" s="11">
        <f t="shared" si="232"/>
        <v>1008.0625</v>
      </c>
      <c r="AH354" s="11">
        <f t="shared" si="237"/>
        <v>4</v>
      </c>
      <c r="AI354" s="11">
        <f t="shared" si="215"/>
        <v>0</v>
      </c>
      <c r="AJ354" s="11">
        <f t="shared" si="233"/>
        <v>15.875</v>
      </c>
      <c r="AK354" s="11">
        <f t="shared" si="234"/>
        <v>504.03125</v>
      </c>
      <c r="AN354" s="11" t="s">
        <v>714</v>
      </c>
      <c r="AO354" s="11" t="s">
        <v>1231</v>
      </c>
    </row>
    <row r="355" spans="1:41" ht="47.25">
      <c r="A355" s="11">
        <v>349</v>
      </c>
      <c r="B355" s="11" t="s">
        <v>919</v>
      </c>
      <c r="C355" s="11" t="s">
        <v>1240</v>
      </c>
      <c r="D355" s="32"/>
      <c r="E355" s="11" t="s">
        <v>4</v>
      </c>
      <c r="F355" s="11">
        <v>0.01</v>
      </c>
      <c r="G355" s="11">
        <v>0.01</v>
      </c>
      <c r="H355" s="11">
        <f>A383</f>
        <v>377</v>
      </c>
      <c r="I355" s="11"/>
      <c r="J355" s="11"/>
      <c r="K355" s="11"/>
      <c r="L355" s="11"/>
      <c r="M355" s="11" t="s">
        <v>694</v>
      </c>
      <c r="N355" s="11" t="s">
        <v>769</v>
      </c>
      <c r="O355" s="11" t="s">
        <v>92</v>
      </c>
      <c r="P355" s="11" t="s">
        <v>92</v>
      </c>
      <c r="Q355" s="11" t="s">
        <v>921</v>
      </c>
      <c r="R355" s="11" t="str">
        <f t="shared" si="238"/>
        <v/>
      </c>
      <c r="S355" s="11" t="str">
        <f t="shared" si="239"/>
        <v/>
      </c>
      <c r="T355" s="11" t="str">
        <f t="shared" si="240"/>
        <v/>
      </c>
      <c r="U355" s="11" t="str">
        <f t="shared" si="241"/>
        <v/>
      </c>
      <c r="V355" s="11" t="str">
        <f t="shared" si="242"/>
        <v/>
      </c>
      <c r="W355" s="11" t="str">
        <f t="shared" si="253"/>
        <v/>
      </c>
      <c r="X355" s="11" t="s">
        <v>92</v>
      </c>
      <c r="Y355" s="11" t="str">
        <f>HLOOKUP($X355,Tables_Cat!$B$6:$P$7,2,FALSE)</f>
        <v>Material</v>
      </c>
      <c r="Z355" s="24" t="s">
        <v>904</v>
      </c>
      <c r="AA355" s="11" t="s">
        <v>728</v>
      </c>
      <c r="AB355" s="13" t="str">
        <f t="shared" si="236"/>
        <v/>
      </c>
      <c r="AC355" s="11" t="s">
        <v>922</v>
      </c>
      <c r="AD355" s="11" t="str">
        <f t="shared" si="230"/>
        <v/>
      </c>
      <c r="AE355" s="11" t="s">
        <v>923</v>
      </c>
      <c r="AF355" s="11" t="str">
        <f t="shared" si="231"/>
        <v/>
      </c>
      <c r="AG355" s="11" t="str">
        <f t="shared" si="232"/>
        <v/>
      </c>
      <c r="AH355" s="11" t="str">
        <f t="shared" si="237"/>
        <v/>
      </c>
      <c r="AI355" s="11" t="str">
        <f t="shared" si="215"/>
        <v/>
      </c>
      <c r="AJ355" s="11" t="str">
        <f t="shared" si="233"/>
        <v/>
      </c>
      <c r="AK355" s="11" t="str">
        <f t="shared" si="234"/>
        <v/>
      </c>
      <c r="AN355" s="11" t="s">
        <v>871</v>
      </c>
      <c r="AO355" s="11" t="s">
        <v>924</v>
      </c>
    </row>
    <row r="356" spans="1:41" ht="47.25">
      <c r="A356" s="11">
        <v>350</v>
      </c>
      <c r="B356" s="11" t="s">
        <v>919</v>
      </c>
      <c r="C356" s="11" t="s">
        <v>1241</v>
      </c>
      <c r="D356" s="32"/>
      <c r="E356" s="11" t="s">
        <v>4</v>
      </c>
      <c r="F356" s="11">
        <v>0.01</v>
      </c>
      <c r="G356" s="11">
        <v>0.01</v>
      </c>
      <c r="H356" s="11">
        <f>A379</f>
        <v>373</v>
      </c>
      <c r="I356" s="11"/>
      <c r="J356" s="11"/>
      <c r="K356" s="11"/>
      <c r="L356" s="11"/>
      <c r="M356" s="11" t="s">
        <v>750</v>
      </c>
      <c r="N356" s="11" t="s">
        <v>735</v>
      </c>
      <c r="O356" s="11" t="s">
        <v>696</v>
      </c>
      <c r="P356" s="11" t="s">
        <v>931</v>
      </c>
      <c r="Q356" s="11" t="s">
        <v>758</v>
      </c>
      <c r="R356" s="11" t="str">
        <f t="shared" si="238"/>
        <v/>
      </c>
      <c r="S356" s="11" t="str">
        <f t="shared" si="239"/>
        <v/>
      </c>
      <c r="T356" s="11" t="str">
        <f t="shared" si="240"/>
        <v/>
      </c>
      <c r="U356" s="11" t="str">
        <f t="shared" si="241"/>
        <v/>
      </c>
      <c r="V356" s="11" t="str">
        <f t="shared" si="242"/>
        <v/>
      </c>
      <c r="W356" s="11" t="str">
        <f>IF($E356="Yes",MAX(R356:V356),"")</f>
        <v/>
      </c>
      <c r="X356" s="11" t="s">
        <v>914</v>
      </c>
      <c r="Y356" s="11" t="str">
        <f>HLOOKUP($X356,Tables_Cat!$B$6:$P$7,2,FALSE)</f>
        <v>Information</v>
      </c>
      <c r="Z356" s="24" t="s">
        <v>709</v>
      </c>
      <c r="AA356" s="11" t="s">
        <v>701</v>
      </c>
      <c r="AB356" s="13" t="str">
        <f>IF($E356="Yes",($F356-$G356)/$F356,"")</f>
        <v/>
      </c>
      <c r="AC356" s="11" t="s">
        <v>932</v>
      </c>
      <c r="AD356" s="11" t="str">
        <f>IF($E356="Yes",$AB356+$AI356,"")</f>
        <v/>
      </c>
      <c r="AE356" s="11" t="s">
        <v>760</v>
      </c>
      <c r="AF356" s="11" t="str">
        <f>IF($E356="Yes",$F356*$W356,"")</f>
        <v/>
      </c>
      <c r="AG356" s="11" t="str">
        <f>IF($E356="Yes",$F356*$W356^2,"")</f>
        <v/>
      </c>
      <c r="AH356" s="11" t="str">
        <f>IF($E356="Yes",IF($AA356="Engineer",5,IF($AA356="Implement",4,IF($AA356="Manage",3,IF($AA356="Validate",2,1)))),"")</f>
        <v/>
      </c>
      <c r="AI356" s="11" t="str">
        <f>IF(AND($E356="Yes",$Z356&lt;&gt;"Not applicable"),IF($Z356="Manual/ None",0,IF($Z356="Other",2,4)),"")</f>
        <v/>
      </c>
      <c r="AJ356" s="11" t="str">
        <f>IF($E356="Yes",$G356*$W356,"")</f>
        <v/>
      </c>
      <c r="AK356" s="11" t="str">
        <f>IF($E356="Yes",$G356*$W356^2,"")</f>
        <v/>
      </c>
      <c r="AN356" s="11" t="s">
        <v>871</v>
      </c>
      <c r="AO356" s="11" t="s">
        <v>933</v>
      </c>
    </row>
    <row r="357" spans="1:41" ht="31.5">
      <c r="A357" s="11">
        <v>351</v>
      </c>
      <c r="B357" s="11" t="s">
        <v>1221</v>
      </c>
      <c r="C357" s="11" t="s">
        <v>1242</v>
      </c>
      <c r="D357" s="32"/>
      <c r="E357" s="11" t="str">
        <f t="shared" si="248"/>
        <v>Select ...</v>
      </c>
      <c r="F357" s="11">
        <v>1</v>
      </c>
      <c r="G357" s="11">
        <v>1</v>
      </c>
      <c r="H357" s="11">
        <f>A338</f>
        <v>332</v>
      </c>
      <c r="I357" s="11">
        <f>A339</f>
        <v>333</v>
      </c>
      <c r="J357" s="11">
        <f>A350</f>
        <v>344</v>
      </c>
      <c r="K357" s="11">
        <f>A351</f>
        <v>345</v>
      </c>
      <c r="L357" s="11"/>
      <c r="M357" s="11" t="s">
        <v>694</v>
      </c>
      <c r="N357" s="11" t="s">
        <v>735</v>
      </c>
      <c r="O357" s="11" t="s">
        <v>931</v>
      </c>
      <c r="P357" s="11" t="s">
        <v>881</v>
      </c>
      <c r="Q357" s="11" t="s">
        <v>1125</v>
      </c>
      <c r="R357" s="11" t="str">
        <f t="shared" si="238"/>
        <v/>
      </c>
      <c r="S357" s="11" t="str">
        <f t="shared" si="239"/>
        <v/>
      </c>
      <c r="T357" s="11" t="str">
        <f t="shared" si="240"/>
        <v/>
      </c>
      <c r="U357" s="11" t="str">
        <f t="shared" si="241"/>
        <v/>
      </c>
      <c r="V357" s="11" t="str">
        <f t="shared" si="242"/>
        <v/>
      </c>
      <c r="W357" s="11" t="str">
        <f t="shared" si="235"/>
        <v/>
      </c>
      <c r="X357" s="11" t="s">
        <v>911</v>
      </c>
      <c r="Y357" s="11" t="str">
        <f>HLOOKUP($X357,Tables_Cat!$B$6:$P$7,2,FALSE)</f>
        <v>Material</v>
      </c>
      <c r="Z357" s="24" t="s">
        <v>700</v>
      </c>
      <c r="AA357" s="11" t="s">
        <v>728</v>
      </c>
      <c r="AB357" s="13" t="str">
        <f t="shared" si="236"/>
        <v/>
      </c>
      <c r="AC357" s="11" t="s">
        <v>912</v>
      </c>
      <c r="AD357" s="11" t="str">
        <f t="shared" si="230"/>
        <v/>
      </c>
      <c r="AE357" s="11" t="s">
        <v>839</v>
      </c>
      <c r="AF357" s="11" t="str">
        <f t="shared" si="231"/>
        <v/>
      </c>
      <c r="AG357" s="11" t="str">
        <f t="shared" si="232"/>
        <v/>
      </c>
      <c r="AH357" s="11" t="str">
        <f t="shared" si="237"/>
        <v/>
      </c>
      <c r="AI357" s="11" t="str">
        <f t="shared" si="215"/>
        <v/>
      </c>
      <c r="AJ357" s="11" t="str">
        <f t="shared" si="233"/>
        <v/>
      </c>
      <c r="AK357" s="11" t="str">
        <f t="shared" si="234"/>
        <v/>
      </c>
      <c r="AN357" s="11" t="s">
        <v>710</v>
      </c>
      <c r="AO357" s="11" t="s">
        <v>1231</v>
      </c>
    </row>
    <row r="358" spans="1:41" ht="31.5">
      <c r="A358" s="11">
        <v>352</v>
      </c>
      <c r="B358" s="11" t="s">
        <v>1221</v>
      </c>
      <c r="C358" s="11" t="s">
        <v>1243</v>
      </c>
      <c r="D358" s="32"/>
      <c r="E358" s="11" t="s">
        <v>3</v>
      </c>
      <c r="F358" s="11">
        <v>1</v>
      </c>
      <c r="G358" s="11">
        <v>0.5</v>
      </c>
      <c r="H358" s="11">
        <f>A340</f>
        <v>334</v>
      </c>
      <c r="I358" s="11">
        <f>A353</f>
        <v>347</v>
      </c>
      <c r="J358" s="11"/>
      <c r="K358" s="11"/>
      <c r="L358" s="11"/>
      <c r="M358" s="11" t="s">
        <v>694</v>
      </c>
      <c r="N358" s="11" t="s">
        <v>735</v>
      </c>
      <c r="O358" s="11" t="s">
        <v>931</v>
      </c>
      <c r="P358" s="11" t="s">
        <v>881</v>
      </c>
      <c r="Q358" s="11" t="s">
        <v>1125</v>
      </c>
      <c r="R358" s="11">
        <f t="shared" si="238"/>
        <v>31.75</v>
      </c>
      <c r="S358" s="11">
        <f t="shared" si="239"/>
        <v>32.75</v>
      </c>
      <c r="T358" s="11" t="str">
        <f t="shared" si="240"/>
        <v/>
      </c>
      <c r="U358" s="11" t="str">
        <f t="shared" si="241"/>
        <v/>
      </c>
      <c r="V358" s="11" t="str">
        <f t="shared" si="242"/>
        <v/>
      </c>
      <c r="W358" s="11">
        <f t="shared" si="235"/>
        <v>32.75</v>
      </c>
      <c r="X358" s="11" t="s">
        <v>911</v>
      </c>
      <c r="Y358" s="11" t="str">
        <f>HLOOKUP($X358,Tables_Cat!$B$6:$P$7,2,FALSE)</f>
        <v>Material</v>
      </c>
      <c r="Z358" s="24" t="s">
        <v>700</v>
      </c>
      <c r="AA358" s="11" t="s">
        <v>728</v>
      </c>
      <c r="AB358" s="13">
        <f t="shared" si="236"/>
        <v>0.5</v>
      </c>
      <c r="AC358" s="11" t="s">
        <v>912</v>
      </c>
      <c r="AD358" s="11">
        <f t="shared" si="230"/>
        <v>0.5</v>
      </c>
      <c r="AE358" s="11" t="s">
        <v>839</v>
      </c>
      <c r="AF358" s="11">
        <f t="shared" si="231"/>
        <v>32.75</v>
      </c>
      <c r="AG358" s="11">
        <f t="shared" si="232"/>
        <v>1072.5625</v>
      </c>
      <c r="AH358" s="11">
        <f t="shared" si="237"/>
        <v>4</v>
      </c>
      <c r="AI358" s="11">
        <f t="shared" si="215"/>
        <v>0</v>
      </c>
      <c r="AJ358" s="11">
        <f t="shared" si="233"/>
        <v>16.375</v>
      </c>
      <c r="AK358" s="11">
        <f t="shared" si="234"/>
        <v>536.28125</v>
      </c>
      <c r="AN358" s="11" t="s">
        <v>710</v>
      </c>
      <c r="AO358" s="11" t="s">
        <v>1231</v>
      </c>
    </row>
    <row r="359" spans="1:41" ht="31.5">
      <c r="A359" s="11">
        <v>353</v>
      </c>
      <c r="B359" s="11" t="s">
        <v>1221</v>
      </c>
      <c r="C359" s="11" t="s">
        <v>1244</v>
      </c>
      <c r="D359" s="32"/>
      <c r="E359" s="11" t="str">
        <f t="shared" ref="E359" si="254">IF(D359="","Select ...")</f>
        <v>Select ...</v>
      </c>
      <c r="F359" s="11">
        <v>1</v>
      </c>
      <c r="G359" s="11">
        <v>1</v>
      </c>
      <c r="H359" s="11">
        <f>A340</f>
        <v>334</v>
      </c>
      <c r="I359" s="11">
        <f>A341</f>
        <v>335</v>
      </c>
      <c r="J359" s="11">
        <f>A353</f>
        <v>347</v>
      </c>
      <c r="K359" s="11">
        <f>A354</f>
        <v>348</v>
      </c>
      <c r="L359" s="11"/>
      <c r="M359" s="11" t="s">
        <v>694</v>
      </c>
      <c r="N359" s="11" t="s">
        <v>735</v>
      </c>
      <c r="O359" s="11" t="s">
        <v>931</v>
      </c>
      <c r="P359" s="11" t="s">
        <v>881</v>
      </c>
      <c r="Q359" s="11" t="s">
        <v>1125</v>
      </c>
      <c r="R359" s="11" t="str">
        <f t="shared" si="238"/>
        <v/>
      </c>
      <c r="S359" s="11" t="str">
        <f t="shared" si="239"/>
        <v/>
      </c>
      <c r="T359" s="11" t="str">
        <f t="shared" si="240"/>
        <v/>
      </c>
      <c r="U359" s="11" t="str">
        <f t="shared" si="241"/>
        <v/>
      </c>
      <c r="V359" s="11" t="str">
        <f t="shared" si="242"/>
        <v/>
      </c>
      <c r="W359" s="11" t="str">
        <f t="shared" ref="W359:W365" si="255">IF($E359="Yes",MAX(R359:V359),"")</f>
        <v/>
      </c>
      <c r="X359" s="11" t="s">
        <v>727</v>
      </c>
      <c r="Y359" s="11" t="str">
        <f>HLOOKUP($X359,Tables_Cat!$B$6:$P$7,2,FALSE)</f>
        <v>Material</v>
      </c>
      <c r="Z359" s="24" t="s">
        <v>700</v>
      </c>
      <c r="AA359" s="11" t="s">
        <v>728</v>
      </c>
      <c r="AB359" s="13" t="str">
        <f t="shared" si="236"/>
        <v/>
      </c>
      <c r="AC359" s="11" t="s">
        <v>912</v>
      </c>
      <c r="AD359" s="11" t="str">
        <f t="shared" si="230"/>
        <v/>
      </c>
      <c r="AE359" s="11" t="s">
        <v>839</v>
      </c>
      <c r="AF359" s="11" t="str">
        <f t="shared" si="231"/>
        <v/>
      </c>
      <c r="AG359" s="11" t="str">
        <f t="shared" si="232"/>
        <v/>
      </c>
      <c r="AH359" s="11" t="str">
        <f t="shared" si="237"/>
        <v/>
      </c>
      <c r="AI359" s="11" t="str">
        <f t="shared" si="215"/>
        <v/>
      </c>
      <c r="AJ359" s="11" t="str">
        <f t="shared" si="233"/>
        <v/>
      </c>
      <c r="AK359" s="11" t="str">
        <f t="shared" si="234"/>
        <v/>
      </c>
      <c r="AN359" s="11" t="s">
        <v>714</v>
      </c>
      <c r="AO359" s="11" t="s">
        <v>1231</v>
      </c>
    </row>
    <row r="360" spans="1:41" ht="31.5">
      <c r="A360" s="11">
        <v>354</v>
      </c>
      <c r="B360" s="11" t="s">
        <v>1221</v>
      </c>
      <c r="C360" s="11" t="s">
        <v>1245</v>
      </c>
      <c r="D360" s="32"/>
      <c r="E360" s="11" t="s">
        <v>3</v>
      </c>
      <c r="F360" s="11">
        <v>1</v>
      </c>
      <c r="G360" s="11">
        <v>0.5</v>
      </c>
      <c r="H360" s="11">
        <f>A340</f>
        <v>334</v>
      </c>
      <c r="I360" s="11">
        <f>A354</f>
        <v>348</v>
      </c>
      <c r="J360" s="11"/>
      <c r="K360" s="11"/>
      <c r="L360" s="11"/>
      <c r="M360" s="11" t="s">
        <v>694</v>
      </c>
      <c r="N360" s="11" t="s">
        <v>735</v>
      </c>
      <c r="O360" s="11" t="s">
        <v>931</v>
      </c>
      <c r="P360" s="11" t="s">
        <v>881</v>
      </c>
      <c r="Q360" s="11" t="s">
        <v>1125</v>
      </c>
      <c r="R360" s="11">
        <f t="shared" si="238"/>
        <v>31.75</v>
      </c>
      <c r="S360" s="11">
        <f t="shared" si="239"/>
        <v>32.75</v>
      </c>
      <c r="T360" s="11" t="str">
        <f t="shared" si="240"/>
        <v/>
      </c>
      <c r="U360" s="11" t="str">
        <f t="shared" si="241"/>
        <v/>
      </c>
      <c r="V360" s="11" t="str">
        <f t="shared" si="242"/>
        <v/>
      </c>
      <c r="W360" s="11">
        <f t="shared" si="255"/>
        <v>32.75</v>
      </c>
      <c r="X360" s="11" t="s">
        <v>727</v>
      </c>
      <c r="Y360" s="11" t="str">
        <f>HLOOKUP($X360,Tables_Cat!$B$6:$P$7,2,FALSE)</f>
        <v>Material</v>
      </c>
      <c r="Z360" s="24" t="s">
        <v>700</v>
      </c>
      <c r="AA360" s="11" t="s">
        <v>728</v>
      </c>
      <c r="AB360" s="13">
        <f t="shared" si="236"/>
        <v>0.5</v>
      </c>
      <c r="AC360" s="11" t="s">
        <v>912</v>
      </c>
      <c r="AD360" s="11">
        <f t="shared" si="230"/>
        <v>0.5</v>
      </c>
      <c r="AE360" s="11" t="s">
        <v>839</v>
      </c>
      <c r="AF360" s="11">
        <f t="shared" si="231"/>
        <v>32.75</v>
      </c>
      <c r="AG360" s="11">
        <f t="shared" si="232"/>
        <v>1072.5625</v>
      </c>
      <c r="AH360" s="11">
        <f t="shared" si="237"/>
        <v>4</v>
      </c>
      <c r="AI360" s="11">
        <f t="shared" si="215"/>
        <v>0</v>
      </c>
      <c r="AJ360" s="11">
        <f t="shared" si="233"/>
        <v>16.375</v>
      </c>
      <c r="AK360" s="11">
        <f t="shared" si="234"/>
        <v>536.28125</v>
      </c>
      <c r="AN360" s="11" t="s">
        <v>714</v>
      </c>
      <c r="AO360" s="11" t="s">
        <v>1231</v>
      </c>
    </row>
    <row r="361" spans="1:41" ht="63">
      <c r="A361" s="11">
        <v>355</v>
      </c>
      <c r="B361" s="11" t="s">
        <v>718</v>
      </c>
      <c r="C361" s="11" t="s">
        <v>1246</v>
      </c>
      <c r="D361" s="32"/>
      <c r="E361" s="11" t="s">
        <v>4</v>
      </c>
      <c r="F361" s="11">
        <v>3</v>
      </c>
      <c r="G361" s="11">
        <v>2</v>
      </c>
      <c r="H361" s="11">
        <v>1</v>
      </c>
      <c r="I361" s="11"/>
      <c r="J361" s="11"/>
      <c r="K361" s="11"/>
      <c r="L361" s="11"/>
      <c r="M361" s="11" t="s">
        <v>694</v>
      </c>
      <c r="N361" s="11" t="s">
        <v>763</v>
      </c>
      <c r="O361" s="11" t="s">
        <v>92</v>
      </c>
      <c r="P361" s="11" t="s">
        <v>464</v>
      </c>
      <c r="Q361" s="11" t="s">
        <v>758</v>
      </c>
      <c r="R361" s="11" t="str">
        <f t="shared" si="238"/>
        <v/>
      </c>
      <c r="S361" s="11" t="str">
        <f t="shared" si="239"/>
        <v/>
      </c>
      <c r="T361" s="11" t="str">
        <f t="shared" si="240"/>
        <v/>
      </c>
      <c r="U361" s="11" t="str">
        <f t="shared" si="241"/>
        <v/>
      </c>
      <c r="V361" s="11" t="str">
        <f t="shared" si="242"/>
        <v/>
      </c>
      <c r="W361" s="11" t="str">
        <f t="shared" ref="W361:W362" si="256">IF($E361="Yes",MAX(R361:V361),"")</f>
        <v/>
      </c>
      <c r="X361" s="11" t="s">
        <v>1007</v>
      </c>
      <c r="Y361" s="11" t="str">
        <f>HLOOKUP($X361,Tables_Cat!$B$6:$P$7,2,FALSE)</f>
        <v>Information</v>
      </c>
      <c r="Z361" s="24" t="s">
        <v>709</v>
      </c>
      <c r="AA361" s="11" t="s">
        <v>751</v>
      </c>
      <c r="AB361" s="13" t="str">
        <f t="shared" si="236"/>
        <v/>
      </c>
      <c r="AC361" s="11" t="s">
        <v>912</v>
      </c>
      <c r="AD361" s="11" t="str">
        <f t="shared" si="230"/>
        <v/>
      </c>
      <c r="AE361" s="11" t="s">
        <v>760</v>
      </c>
      <c r="AF361" s="11" t="str">
        <f t="shared" si="231"/>
        <v/>
      </c>
      <c r="AG361" s="11" t="str">
        <f t="shared" si="232"/>
        <v/>
      </c>
      <c r="AH361" s="11" t="str">
        <f t="shared" si="237"/>
        <v/>
      </c>
      <c r="AI361" s="11" t="str">
        <f t="shared" si="215"/>
        <v/>
      </c>
      <c r="AJ361" s="11" t="str">
        <f t="shared" si="233"/>
        <v/>
      </c>
      <c r="AK361" s="11" t="str">
        <f t="shared" si="234"/>
        <v/>
      </c>
      <c r="AN361" s="11" t="s">
        <v>722</v>
      </c>
      <c r="AO361" s="11" t="s">
        <v>982</v>
      </c>
    </row>
    <row r="362" spans="1:41" ht="78.75">
      <c r="A362" s="11">
        <v>356</v>
      </c>
      <c r="B362" s="11" t="s">
        <v>718</v>
      </c>
      <c r="C362" s="11" t="s">
        <v>1247</v>
      </c>
      <c r="D362" s="32"/>
      <c r="E362" s="11" t="s">
        <v>4</v>
      </c>
      <c r="F362" s="11">
        <v>3</v>
      </c>
      <c r="G362" s="11">
        <v>2</v>
      </c>
      <c r="H362" s="11">
        <v>1</v>
      </c>
      <c r="I362" s="11"/>
      <c r="J362" s="11"/>
      <c r="K362" s="11"/>
      <c r="L362" s="11"/>
      <c r="M362" s="11" t="s">
        <v>694</v>
      </c>
      <c r="N362" s="11" t="s">
        <v>763</v>
      </c>
      <c r="O362" s="11" t="s">
        <v>92</v>
      </c>
      <c r="P362" s="11" t="s">
        <v>464</v>
      </c>
      <c r="Q362" s="11" t="s">
        <v>1107</v>
      </c>
      <c r="R362" s="11" t="str">
        <f t="shared" si="238"/>
        <v/>
      </c>
      <c r="S362" s="11" t="str">
        <f t="shared" si="239"/>
        <v/>
      </c>
      <c r="T362" s="11" t="str">
        <f t="shared" si="240"/>
        <v/>
      </c>
      <c r="U362" s="11" t="str">
        <f t="shared" si="241"/>
        <v/>
      </c>
      <c r="V362" s="11" t="str">
        <f t="shared" si="242"/>
        <v/>
      </c>
      <c r="W362" s="11" t="str">
        <f t="shared" si="256"/>
        <v/>
      </c>
      <c r="X362" s="11" t="s">
        <v>1007</v>
      </c>
      <c r="Y362" s="11" t="str">
        <f>HLOOKUP($X362,Tables_Cat!$B$6:$P$7,2,FALSE)</f>
        <v>Information</v>
      </c>
      <c r="Z362" s="24" t="s">
        <v>793</v>
      </c>
      <c r="AA362" s="11" t="s">
        <v>751</v>
      </c>
      <c r="AB362" s="13" t="str">
        <f t="shared" si="236"/>
        <v/>
      </c>
      <c r="AC362" s="11" t="s">
        <v>912</v>
      </c>
      <c r="AD362" s="11" t="str">
        <f t="shared" si="230"/>
        <v/>
      </c>
      <c r="AE362" s="11" t="s">
        <v>839</v>
      </c>
      <c r="AF362" s="11" t="str">
        <f t="shared" si="231"/>
        <v/>
      </c>
      <c r="AG362" s="11" t="str">
        <f t="shared" si="232"/>
        <v/>
      </c>
      <c r="AH362" s="11" t="str">
        <f t="shared" si="237"/>
        <v/>
      </c>
      <c r="AI362" s="11" t="str">
        <f t="shared" si="215"/>
        <v/>
      </c>
      <c r="AJ362" s="11" t="str">
        <f t="shared" si="233"/>
        <v/>
      </c>
      <c r="AK362" s="11" t="str">
        <f t="shared" si="234"/>
        <v/>
      </c>
      <c r="AN362" s="11" t="s">
        <v>722</v>
      </c>
      <c r="AO362" s="11" t="s">
        <v>982</v>
      </c>
    </row>
    <row r="363" spans="1:41" ht="47.25">
      <c r="A363" s="11">
        <v>357</v>
      </c>
      <c r="B363" s="11" t="s">
        <v>718</v>
      </c>
      <c r="C363" s="11" t="s">
        <v>1248</v>
      </c>
      <c r="D363" s="32"/>
      <c r="E363" s="11" t="s">
        <v>4</v>
      </c>
      <c r="F363" s="11">
        <v>3</v>
      </c>
      <c r="G363" s="11">
        <v>2</v>
      </c>
      <c r="H363" s="11">
        <v>1</v>
      </c>
      <c r="I363" s="11"/>
      <c r="J363" s="11"/>
      <c r="K363" s="11"/>
      <c r="L363" s="11"/>
      <c r="M363" s="11" t="s">
        <v>694</v>
      </c>
      <c r="N363" s="11" t="s">
        <v>763</v>
      </c>
      <c r="O363" s="11" t="s">
        <v>1070</v>
      </c>
      <c r="P363" s="11" t="s">
        <v>464</v>
      </c>
      <c r="Q363" s="11" t="s">
        <v>464</v>
      </c>
      <c r="R363" s="11" t="str">
        <f t="shared" si="238"/>
        <v/>
      </c>
      <c r="S363" s="11" t="str">
        <f t="shared" si="239"/>
        <v/>
      </c>
      <c r="T363" s="11" t="str">
        <f t="shared" si="240"/>
        <v/>
      </c>
      <c r="U363" s="11" t="str">
        <f t="shared" si="241"/>
        <v/>
      </c>
      <c r="V363" s="11" t="str">
        <f t="shared" si="242"/>
        <v/>
      </c>
      <c r="W363" s="11" t="str">
        <f t="shared" si="255"/>
        <v/>
      </c>
      <c r="X363" s="11" t="s">
        <v>911</v>
      </c>
      <c r="Y363" s="11" t="str">
        <f>HLOOKUP($X363,Tables_Cat!$B$6:$P$7,2,FALSE)</f>
        <v>Material</v>
      </c>
      <c r="Z363" s="24" t="s">
        <v>709</v>
      </c>
      <c r="AA363" s="11" t="s">
        <v>728</v>
      </c>
      <c r="AB363" s="13" t="str">
        <f t="shared" si="236"/>
        <v/>
      </c>
      <c r="AC363" s="11" t="s">
        <v>912</v>
      </c>
      <c r="AD363" s="11" t="str">
        <f t="shared" si="230"/>
        <v/>
      </c>
      <c r="AE363" s="11" t="s">
        <v>839</v>
      </c>
      <c r="AF363" s="11" t="str">
        <f t="shared" si="231"/>
        <v/>
      </c>
      <c r="AG363" s="11" t="str">
        <f t="shared" si="232"/>
        <v/>
      </c>
      <c r="AH363" s="11" t="str">
        <f t="shared" si="237"/>
        <v/>
      </c>
      <c r="AI363" s="11" t="str">
        <f t="shared" si="215"/>
        <v/>
      </c>
      <c r="AJ363" s="11" t="str">
        <f t="shared" si="233"/>
        <v/>
      </c>
      <c r="AK363" s="11" t="str">
        <f t="shared" si="234"/>
        <v/>
      </c>
      <c r="AN363" s="11" t="s">
        <v>722</v>
      </c>
      <c r="AO363" s="11" t="s">
        <v>982</v>
      </c>
    </row>
    <row r="364" spans="1:41" ht="31.5">
      <c r="A364" s="11">
        <v>358</v>
      </c>
      <c r="B364" s="11" t="s">
        <v>718</v>
      </c>
      <c r="C364" s="11" t="s">
        <v>1249</v>
      </c>
      <c r="D364" s="32"/>
      <c r="E364" s="11" t="s">
        <v>4</v>
      </c>
      <c r="F364" s="11">
        <v>3</v>
      </c>
      <c r="G364" s="11">
        <v>2</v>
      </c>
      <c r="H364" s="11">
        <v>1</v>
      </c>
      <c r="I364" s="11"/>
      <c r="J364" s="11"/>
      <c r="K364" s="11"/>
      <c r="L364" s="11"/>
      <c r="M364" s="11" t="s">
        <v>694</v>
      </c>
      <c r="N364" s="11" t="s">
        <v>763</v>
      </c>
      <c r="O364" s="11" t="s">
        <v>1070</v>
      </c>
      <c r="P364" s="11" t="s">
        <v>464</v>
      </c>
      <c r="Q364" s="11" t="s">
        <v>1107</v>
      </c>
      <c r="R364" s="11" t="str">
        <f t="shared" si="238"/>
        <v/>
      </c>
      <c r="S364" s="11" t="str">
        <f t="shared" si="239"/>
        <v/>
      </c>
      <c r="T364" s="11" t="str">
        <f t="shared" si="240"/>
        <v/>
      </c>
      <c r="U364" s="11" t="str">
        <f t="shared" si="241"/>
        <v/>
      </c>
      <c r="V364" s="11" t="str">
        <f t="shared" si="242"/>
        <v/>
      </c>
      <c r="W364" s="11" t="str">
        <f t="shared" ref="W364" si="257">IF($E364="Yes",MAX(R364:V364),"")</f>
        <v/>
      </c>
      <c r="X364" s="11" t="s">
        <v>911</v>
      </c>
      <c r="Y364" s="11" t="str">
        <f>HLOOKUP($X364,Tables_Cat!$B$6:$P$7,2,FALSE)</f>
        <v>Material</v>
      </c>
      <c r="Z364" s="24" t="s">
        <v>709</v>
      </c>
      <c r="AA364" s="11" t="s">
        <v>728</v>
      </c>
      <c r="AB364" s="13" t="str">
        <f t="shared" si="236"/>
        <v/>
      </c>
      <c r="AC364" s="11" t="s">
        <v>912</v>
      </c>
      <c r="AD364" s="11" t="str">
        <f t="shared" si="230"/>
        <v/>
      </c>
      <c r="AE364" s="11" t="s">
        <v>839</v>
      </c>
      <c r="AF364" s="11" t="str">
        <f t="shared" si="231"/>
        <v/>
      </c>
      <c r="AG364" s="11" t="str">
        <f t="shared" si="232"/>
        <v/>
      </c>
      <c r="AH364" s="11" t="str">
        <f t="shared" si="237"/>
        <v/>
      </c>
      <c r="AI364" s="11" t="str">
        <f t="shared" si="215"/>
        <v/>
      </c>
      <c r="AJ364" s="11" t="str">
        <f t="shared" si="233"/>
        <v/>
      </c>
      <c r="AK364" s="11" t="str">
        <f t="shared" si="234"/>
        <v/>
      </c>
      <c r="AN364" s="11" t="s">
        <v>722</v>
      </c>
      <c r="AO364" s="11" t="s">
        <v>982</v>
      </c>
    </row>
    <row r="365" spans="1:41" ht="31.5">
      <c r="A365" s="11">
        <v>359</v>
      </c>
      <c r="B365" s="11" t="s">
        <v>718</v>
      </c>
      <c r="C365" s="11" t="s">
        <v>1250</v>
      </c>
      <c r="D365" s="32"/>
      <c r="E365" s="11" t="s">
        <v>4</v>
      </c>
      <c r="F365" s="11">
        <v>3</v>
      </c>
      <c r="G365" s="11">
        <v>2</v>
      </c>
      <c r="H365" s="11">
        <v>1</v>
      </c>
      <c r="I365" s="11"/>
      <c r="J365" s="11"/>
      <c r="K365" s="11"/>
      <c r="L365" s="11"/>
      <c r="M365" s="11" t="s">
        <v>694</v>
      </c>
      <c r="N365" s="11" t="s">
        <v>763</v>
      </c>
      <c r="O365" s="11" t="s">
        <v>1112</v>
      </c>
      <c r="P365" s="11" t="s">
        <v>464</v>
      </c>
      <c r="Q365" s="11" t="s">
        <v>464</v>
      </c>
      <c r="R365" s="11" t="str">
        <f t="shared" si="238"/>
        <v/>
      </c>
      <c r="S365" s="11" t="str">
        <f t="shared" si="239"/>
        <v/>
      </c>
      <c r="T365" s="11" t="str">
        <f t="shared" si="240"/>
        <v/>
      </c>
      <c r="U365" s="11" t="str">
        <f t="shared" si="241"/>
        <v/>
      </c>
      <c r="V365" s="11" t="str">
        <f t="shared" si="242"/>
        <v/>
      </c>
      <c r="W365" s="11" t="str">
        <f t="shared" si="255"/>
        <v/>
      </c>
      <c r="X365" s="11" t="s">
        <v>801</v>
      </c>
      <c r="Y365" s="11" t="str">
        <f>HLOOKUP($X365,Tables_Cat!$B$6:$P$7,2,FALSE)</f>
        <v>Material</v>
      </c>
      <c r="Z365" s="24" t="s">
        <v>904</v>
      </c>
      <c r="AA365" s="11" t="s">
        <v>728</v>
      </c>
      <c r="AB365" s="13" t="str">
        <f t="shared" si="236"/>
        <v/>
      </c>
      <c r="AC365" s="11" t="s">
        <v>912</v>
      </c>
      <c r="AD365" s="11" t="str">
        <f t="shared" si="230"/>
        <v/>
      </c>
      <c r="AE365" s="11" t="s">
        <v>839</v>
      </c>
      <c r="AF365" s="11" t="str">
        <f t="shared" si="231"/>
        <v/>
      </c>
      <c r="AG365" s="11" t="str">
        <f t="shared" si="232"/>
        <v/>
      </c>
      <c r="AH365" s="11" t="str">
        <f t="shared" si="237"/>
        <v/>
      </c>
      <c r="AI365" s="11" t="str">
        <f t="shared" si="215"/>
        <v/>
      </c>
      <c r="AJ365" s="11" t="str">
        <f t="shared" si="233"/>
        <v/>
      </c>
      <c r="AK365" s="11" t="str">
        <f t="shared" si="234"/>
        <v/>
      </c>
      <c r="AN365" s="11" t="s">
        <v>722</v>
      </c>
      <c r="AO365" s="11" t="s">
        <v>982</v>
      </c>
    </row>
    <row r="366" spans="1:41" ht="31.5">
      <c r="A366" s="11">
        <v>360</v>
      </c>
      <c r="B366" s="11" t="s">
        <v>718</v>
      </c>
      <c r="C366" s="11" t="s">
        <v>1251</v>
      </c>
      <c r="D366" s="32"/>
      <c r="E366" s="11" t="s">
        <v>4</v>
      </c>
      <c r="F366" s="11">
        <v>3</v>
      </c>
      <c r="G366" s="11">
        <v>2</v>
      </c>
      <c r="H366" s="11">
        <v>1</v>
      </c>
      <c r="I366" s="11"/>
      <c r="J366" s="11"/>
      <c r="K366" s="11"/>
      <c r="L366" s="11"/>
      <c r="M366" s="11" t="s">
        <v>694</v>
      </c>
      <c r="N366" s="11" t="s">
        <v>763</v>
      </c>
      <c r="O366" s="11" t="s">
        <v>1112</v>
      </c>
      <c r="P366" s="11" t="s">
        <v>464</v>
      </c>
      <c r="Q366" s="11" t="s">
        <v>1107</v>
      </c>
      <c r="R366" s="11" t="str">
        <f t="shared" si="238"/>
        <v/>
      </c>
      <c r="S366" s="11" t="str">
        <f t="shared" si="239"/>
        <v/>
      </c>
      <c r="T366" s="11" t="str">
        <f t="shared" si="240"/>
        <v/>
      </c>
      <c r="U366" s="11" t="str">
        <f t="shared" si="241"/>
        <v/>
      </c>
      <c r="V366" s="11" t="str">
        <f t="shared" si="242"/>
        <v/>
      </c>
      <c r="W366" s="11" t="str">
        <f t="shared" ref="W366:W367" si="258">IF($E366="Yes",MAX(R366:V366),"")</f>
        <v/>
      </c>
      <c r="X366" s="11" t="s">
        <v>801</v>
      </c>
      <c r="Y366" s="11" t="str">
        <f>HLOOKUP($X366,Tables_Cat!$B$6:$P$7,2,FALSE)</f>
        <v>Material</v>
      </c>
      <c r="Z366" s="24" t="s">
        <v>793</v>
      </c>
      <c r="AA366" s="11" t="s">
        <v>728</v>
      </c>
      <c r="AB366" s="13" t="str">
        <f t="shared" si="236"/>
        <v/>
      </c>
      <c r="AC366" s="11" t="s">
        <v>912</v>
      </c>
      <c r="AD366" s="11" t="str">
        <f t="shared" si="230"/>
        <v/>
      </c>
      <c r="AE366" s="11" t="s">
        <v>839</v>
      </c>
      <c r="AF366" s="11" t="str">
        <f t="shared" si="231"/>
        <v/>
      </c>
      <c r="AG366" s="11" t="str">
        <f t="shared" si="232"/>
        <v/>
      </c>
      <c r="AH366" s="11" t="str">
        <f t="shared" si="237"/>
        <v/>
      </c>
      <c r="AI366" s="11" t="str">
        <f t="shared" si="215"/>
        <v/>
      </c>
      <c r="AJ366" s="11" t="str">
        <f t="shared" si="233"/>
        <v/>
      </c>
      <c r="AK366" s="11" t="str">
        <f t="shared" si="234"/>
        <v/>
      </c>
      <c r="AN366" s="11" t="s">
        <v>722</v>
      </c>
      <c r="AO366" s="11" t="s">
        <v>982</v>
      </c>
    </row>
    <row r="367" spans="1:41" ht="31.5">
      <c r="A367" s="11">
        <v>361</v>
      </c>
      <c r="B367" s="11" t="s">
        <v>718</v>
      </c>
      <c r="C367" s="11" t="s">
        <v>1252</v>
      </c>
      <c r="D367" s="32"/>
      <c r="E367" s="11" t="s">
        <v>4</v>
      </c>
      <c r="F367" s="11">
        <v>3</v>
      </c>
      <c r="G367" s="11">
        <v>2</v>
      </c>
      <c r="H367" s="11">
        <v>1</v>
      </c>
      <c r="I367" s="11"/>
      <c r="J367" s="11"/>
      <c r="K367" s="11"/>
      <c r="L367" s="11"/>
      <c r="M367" s="11" t="s">
        <v>694</v>
      </c>
      <c r="N367" s="11" t="s">
        <v>763</v>
      </c>
      <c r="O367" s="11" t="s">
        <v>1112</v>
      </c>
      <c r="P367" s="11" t="s">
        <v>464</v>
      </c>
      <c r="Q367" s="11" t="s">
        <v>464</v>
      </c>
      <c r="R367" s="11" t="str">
        <f t="shared" si="238"/>
        <v/>
      </c>
      <c r="S367" s="11" t="str">
        <f t="shared" si="239"/>
        <v/>
      </c>
      <c r="T367" s="11" t="str">
        <f t="shared" si="240"/>
        <v/>
      </c>
      <c r="U367" s="11" t="str">
        <f t="shared" si="241"/>
        <v/>
      </c>
      <c r="V367" s="11" t="str">
        <f t="shared" si="242"/>
        <v/>
      </c>
      <c r="W367" s="11" t="str">
        <f t="shared" si="258"/>
        <v/>
      </c>
      <c r="X367" s="11" t="s">
        <v>801</v>
      </c>
      <c r="Y367" s="11" t="str">
        <f>HLOOKUP($X367,Tables_Cat!$B$6:$P$7,2,FALSE)</f>
        <v>Material</v>
      </c>
      <c r="Z367" s="24" t="s">
        <v>904</v>
      </c>
      <c r="AA367" s="11" t="s">
        <v>728</v>
      </c>
      <c r="AB367" s="13" t="str">
        <f t="shared" si="236"/>
        <v/>
      </c>
      <c r="AC367" s="11" t="s">
        <v>912</v>
      </c>
      <c r="AD367" s="11" t="str">
        <f t="shared" si="230"/>
        <v/>
      </c>
      <c r="AE367" s="11" t="s">
        <v>839</v>
      </c>
      <c r="AF367" s="11" t="str">
        <f t="shared" si="231"/>
        <v/>
      </c>
      <c r="AG367" s="11" t="str">
        <f t="shared" si="232"/>
        <v/>
      </c>
      <c r="AH367" s="11" t="str">
        <f t="shared" si="237"/>
        <v/>
      </c>
      <c r="AI367" s="11" t="str">
        <f t="shared" si="215"/>
        <v/>
      </c>
      <c r="AJ367" s="11" t="str">
        <f t="shared" si="233"/>
        <v/>
      </c>
      <c r="AK367" s="11" t="str">
        <f t="shared" si="234"/>
        <v/>
      </c>
      <c r="AN367" s="11" t="s">
        <v>722</v>
      </c>
      <c r="AO367" s="11" t="s">
        <v>982</v>
      </c>
    </row>
    <row r="368" spans="1:41" ht="31.5">
      <c r="A368" s="11">
        <v>362</v>
      </c>
      <c r="B368" s="11" t="s">
        <v>718</v>
      </c>
      <c r="C368" s="11" t="s">
        <v>1253</v>
      </c>
      <c r="D368" s="32"/>
      <c r="E368" s="11" t="s">
        <v>4</v>
      </c>
      <c r="F368" s="11">
        <v>3</v>
      </c>
      <c r="G368" s="11">
        <v>2</v>
      </c>
      <c r="H368" s="11">
        <v>1</v>
      </c>
      <c r="I368" s="11"/>
      <c r="J368" s="11"/>
      <c r="K368" s="11"/>
      <c r="L368" s="11"/>
      <c r="M368" s="11" t="s">
        <v>694</v>
      </c>
      <c r="N368" s="11" t="s">
        <v>763</v>
      </c>
      <c r="O368" s="11" t="s">
        <v>1112</v>
      </c>
      <c r="P368" s="11" t="s">
        <v>464</v>
      </c>
      <c r="Q368" s="11" t="s">
        <v>1107</v>
      </c>
      <c r="R368" s="11" t="str">
        <f t="shared" si="238"/>
        <v/>
      </c>
      <c r="S368" s="11" t="str">
        <f t="shared" si="239"/>
        <v/>
      </c>
      <c r="T368" s="11" t="str">
        <f t="shared" si="240"/>
        <v/>
      </c>
      <c r="U368" s="11" t="str">
        <f t="shared" si="241"/>
        <v/>
      </c>
      <c r="V368" s="11" t="str">
        <f t="shared" si="242"/>
        <v/>
      </c>
      <c r="W368" s="11" t="str">
        <f t="shared" ref="W368" si="259">IF($E368="Yes",MAX(R368:V368),"")</f>
        <v/>
      </c>
      <c r="X368" s="11" t="s">
        <v>801</v>
      </c>
      <c r="Y368" s="11" t="str">
        <f>HLOOKUP($X368,Tables_Cat!$B$6:$P$7,2,FALSE)</f>
        <v>Material</v>
      </c>
      <c r="Z368" s="24" t="s">
        <v>793</v>
      </c>
      <c r="AA368" s="11" t="s">
        <v>728</v>
      </c>
      <c r="AB368" s="13" t="str">
        <f t="shared" si="236"/>
        <v/>
      </c>
      <c r="AC368" s="11" t="s">
        <v>912</v>
      </c>
      <c r="AD368" s="11" t="str">
        <f t="shared" si="230"/>
        <v/>
      </c>
      <c r="AE368" s="11" t="s">
        <v>839</v>
      </c>
      <c r="AF368" s="11" t="str">
        <f t="shared" si="231"/>
        <v/>
      </c>
      <c r="AG368" s="11" t="str">
        <f t="shared" si="232"/>
        <v/>
      </c>
      <c r="AH368" s="11" t="str">
        <f t="shared" si="237"/>
        <v/>
      </c>
      <c r="AI368" s="11" t="str">
        <f t="shared" si="215"/>
        <v/>
      </c>
      <c r="AJ368" s="11" t="str">
        <f t="shared" si="233"/>
        <v/>
      </c>
      <c r="AK368" s="11" t="str">
        <f t="shared" si="234"/>
        <v/>
      </c>
      <c r="AN368" s="11" t="s">
        <v>722</v>
      </c>
      <c r="AO368" s="11" t="s">
        <v>982</v>
      </c>
    </row>
    <row r="369" spans="1:41" ht="31.5">
      <c r="A369" s="11">
        <v>363</v>
      </c>
      <c r="B369" s="11" t="s">
        <v>1221</v>
      </c>
      <c r="C369" s="11" t="s">
        <v>1254</v>
      </c>
      <c r="D369" s="32"/>
      <c r="E369" s="11" t="s">
        <v>3</v>
      </c>
      <c r="F369" s="11">
        <v>1</v>
      </c>
      <c r="G369" s="11">
        <v>1</v>
      </c>
      <c r="H369" s="11">
        <f>A358</f>
        <v>352</v>
      </c>
      <c r="I369" s="11"/>
      <c r="J369" s="11"/>
      <c r="K369" s="11"/>
      <c r="L369" s="11"/>
      <c r="M369" s="11" t="s">
        <v>694</v>
      </c>
      <c r="N369" s="11" t="s">
        <v>735</v>
      </c>
      <c r="O369" s="11" t="s">
        <v>931</v>
      </c>
      <c r="P369" s="11" t="s">
        <v>881</v>
      </c>
      <c r="Q369" s="11" t="s">
        <v>1125</v>
      </c>
      <c r="R369" s="11">
        <f t="shared" si="238"/>
        <v>33.75</v>
      </c>
      <c r="S369" s="11" t="str">
        <f t="shared" si="239"/>
        <v/>
      </c>
      <c r="T369" s="11" t="str">
        <f t="shared" si="240"/>
        <v/>
      </c>
      <c r="U369" s="11" t="str">
        <f t="shared" si="241"/>
        <v/>
      </c>
      <c r="V369" s="11" t="str">
        <f t="shared" si="242"/>
        <v/>
      </c>
      <c r="W369" s="11">
        <f t="shared" si="235"/>
        <v>33.75</v>
      </c>
      <c r="X369" s="11" t="s">
        <v>911</v>
      </c>
      <c r="Y369" s="11" t="str">
        <f>HLOOKUP($X369,Tables_Cat!$B$6:$P$7,2,FALSE)</f>
        <v>Material</v>
      </c>
      <c r="Z369" s="24" t="s">
        <v>700</v>
      </c>
      <c r="AA369" s="11" t="s">
        <v>728</v>
      </c>
      <c r="AB369" s="13">
        <f t="shared" si="236"/>
        <v>0</v>
      </c>
      <c r="AC369" s="11" t="s">
        <v>702</v>
      </c>
      <c r="AD369" s="11">
        <f t="shared" si="230"/>
        <v>0</v>
      </c>
      <c r="AE369" s="11" t="s">
        <v>839</v>
      </c>
      <c r="AF369" s="11">
        <f t="shared" si="231"/>
        <v>33.75</v>
      </c>
      <c r="AG369" s="11">
        <f t="shared" si="232"/>
        <v>1139.0625</v>
      </c>
      <c r="AH369" s="11">
        <f t="shared" si="237"/>
        <v>4</v>
      </c>
      <c r="AI369" s="11">
        <f t="shared" si="215"/>
        <v>0</v>
      </c>
      <c r="AJ369" s="11">
        <f t="shared" si="233"/>
        <v>33.75</v>
      </c>
      <c r="AK369" s="11">
        <f t="shared" si="234"/>
        <v>1139.0625</v>
      </c>
      <c r="AN369" s="11" t="s">
        <v>840</v>
      </c>
      <c r="AO369" s="11" t="s">
        <v>1255</v>
      </c>
    </row>
    <row r="370" spans="1:41" ht="31.5">
      <c r="A370" s="11">
        <v>364</v>
      </c>
      <c r="B370" s="11" t="s">
        <v>1221</v>
      </c>
      <c r="C370" s="11" t="s">
        <v>1256</v>
      </c>
      <c r="D370" s="32"/>
      <c r="E370" s="11" t="s">
        <v>3</v>
      </c>
      <c r="F370" s="11">
        <v>1</v>
      </c>
      <c r="G370" s="11">
        <v>1</v>
      </c>
      <c r="H370" s="11">
        <f>A360</f>
        <v>354</v>
      </c>
      <c r="I370" s="11"/>
      <c r="J370" s="11"/>
      <c r="K370" s="11"/>
      <c r="L370" s="11"/>
      <c r="M370" s="11" t="s">
        <v>694</v>
      </c>
      <c r="N370" s="11" t="s">
        <v>735</v>
      </c>
      <c r="O370" s="11" t="s">
        <v>931</v>
      </c>
      <c r="P370" s="11" t="s">
        <v>881</v>
      </c>
      <c r="Q370" s="11" t="s">
        <v>1125</v>
      </c>
      <c r="R370" s="11">
        <f t="shared" si="238"/>
        <v>33.75</v>
      </c>
      <c r="S370" s="11" t="str">
        <f t="shared" si="239"/>
        <v/>
      </c>
      <c r="T370" s="11" t="str">
        <f t="shared" si="240"/>
        <v/>
      </c>
      <c r="U370" s="11" t="str">
        <f t="shared" si="241"/>
        <v/>
      </c>
      <c r="V370" s="11" t="str">
        <f t="shared" si="242"/>
        <v/>
      </c>
      <c r="W370" s="11">
        <f t="shared" si="235"/>
        <v>33.75</v>
      </c>
      <c r="X370" s="11" t="s">
        <v>727</v>
      </c>
      <c r="Y370" s="11" t="str">
        <f>HLOOKUP($X370,Tables_Cat!$B$6:$P$7,2,FALSE)</f>
        <v>Material</v>
      </c>
      <c r="Z370" s="24" t="s">
        <v>700</v>
      </c>
      <c r="AA370" s="11" t="s">
        <v>728</v>
      </c>
      <c r="AB370" s="13">
        <f t="shared" si="236"/>
        <v>0</v>
      </c>
      <c r="AC370" s="11" t="s">
        <v>702</v>
      </c>
      <c r="AD370" s="11">
        <f t="shared" si="230"/>
        <v>0</v>
      </c>
      <c r="AE370" s="11" t="s">
        <v>839</v>
      </c>
      <c r="AF370" s="11">
        <f t="shared" si="231"/>
        <v>33.75</v>
      </c>
      <c r="AG370" s="11">
        <f t="shared" si="232"/>
        <v>1139.0625</v>
      </c>
      <c r="AH370" s="11">
        <f t="shared" si="237"/>
        <v>4</v>
      </c>
      <c r="AI370" s="11">
        <f t="shared" si="215"/>
        <v>0</v>
      </c>
      <c r="AJ370" s="11">
        <f t="shared" si="233"/>
        <v>33.75</v>
      </c>
      <c r="AK370" s="11">
        <f t="shared" si="234"/>
        <v>1139.0625</v>
      </c>
      <c r="AN370" s="11" t="s">
        <v>840</v>
      </c>
      <c r="AO370" s="11" t="s">
        <v>1255</v>
      </c>
    </row>
    <row r="371" spans="1:41" ht="31.5">
      <c r="A371" s="11">
        <v>365</v>
      </c>
      <c r="B371" s="11" t="s">
        <v>1221</v>
      </c>
      <c r="C371" s="11" t="s">
        <v>1257</v>
      </c>
      <c r="D371" s="32"/>
      <c r="E371" s="11" t="str">
        <f t="shared" ref="E371" si="260">IF(D371="","Select ...")</f>
        <v>Select ...</v>
      </c>
      <c r="F371" s="11">
        <v>1</v>
      </c>
      <c r="G371" s="11">
        <v>1</v>
      </c>
      <c r="H371" s="11">
        <f>A342</f>
        <v>336</v>
      </c>
      <c r="I371" s="11">
        <f>A343</f>
        <v>337</v>
      </c>
      <c r="J371" s="11">
        <f>A357</f>
        <v>351</v>
      </c>
      <c r="K371" s="11">
        <f>A358</f>
        <v>352</v>
      </c>
      <c r="L371" s="11"/>
      <c r="M371" s="11" t="s">
        <v>694</v>
      </c>
      <c r="N371" s="11" t="s">
        <v>735</v>
      </c>
      <c r="O371" s="11" t="s">
        <v>931</v>
      </c>
      <c r="P371" s="11" t="s">
        <v>881</v>
      </c>
      <c r="Q371" s="11" t="s">
        <v>1125</v>
      </c>
      <c r="R371" s="11" t="str">
        <f t="shared" si="238"/>
        <v/>
      </c>
      <c r="S371" s="11" t="str">
        <f t="shared" si="239"/>
        <v/>
      </c>
      <c r="T371" s="11" t="str">
        <f t="shared" si="240"/>
        <v/>
      </c>
      <c r="U371" s="11" t="str">
        <f t="shared" si="241"/>
        <v/>
      </c>
      <c r="V371" s="11" t="str">
        <f t="shared" si="242"/>
        <v/>
      </c>
      <c r="W371" s="11" t="str">
        <f t="shared" ref="W371:W372" si="261">IF($E371="Yes",MAX(R371:V371),"")</f>
        <v/>
      </c>
      <c r="X371" s="11" t="s">
        <v>911</v>
      </c>
      <c r="Y371" s="11" t="str">
        <f>HLOOKUP($X371,Tables_Cat!$B$6:$P$7,2,FALSE)</f>
        <v>Material</v>
      </c>
      <c r="Z371" s="24" t="s">
        <v>700</v>
      </c>
      <c r="AA371" s="11" t="s">
        <v>728</v>
      </c>
      <c r="AB371" s="13" t="str">
        <f t="shared" si="236"/>
        <v/>
      </c>
      <c r="AC371" s="11" t="s">
        <v>912</v>
      </c>
      <c r="AD371" s="11" t="str">
        <f t="shared" si="230"/>
        <v/>
      </c>
      <c r="AE371" s="11" t="s">
        <v>839</v>
      </c>
      <c r="AF371" s="11" t="str">
        <f t="shared" si="231"/>
        <v/>
      </c>
      <c r="AG371" s="11" t="str">
        <f t="shared" si="232"/>
        <v/>
      </c>
      <c r="AH371" s="11" t="str">
        <f t="shared" si="237"/>
        <v/>
      </c>
      <c r="AI371" s="11" t="str">
        <f t="shared" si="215"/>
        <v/>
      </c>
      <c r="AJ371" s="11" t="str">
        <f t="shared" si="233"/>
        <v/>
      </c>
      <c r="AK371" s="11" t="str">
        <f t="shared" si="234"/>
        <v/>
      </c>
      <c r="AN371" s="11" t="s">
        <v>840</v>
      </c>
      <c r="AO371" s="11" t="s">
        <v>1255</v>
      </c>
    </row>
    <row r="372" spans="1:41" ht="31.5">
      <c r="A372" s="11">
        <v>366</v>
      </c>
      <c r="B372" s="11" t="s">
        <v>1221</v>
      </c>
      <c r="C372" s="11" t="s">
        <v>1258</v>
      </c>
      <c r="D372" s="32"/>
      <c r="E372" s="11" t="s">
        <v>3</v>
      </c>
      <c r="F372" s="11">
        <v>1</v>
      </c>
      <c r="G372" s="11">
        <v>0.5</v>
      </c>
      <c r="H372" s="11">
        <f>A369</f>
        <v>363</v>
      </c>
      <c r="I372" s="11">
        <f>A383</f>
        <v>377</v>
      </c>
      <c r="J372" s="11"/>
      <c r="K372" s="11"/>
      <c r="L372" s="11"/>
      <c r="M372" s="11" t="s">
        <v>694</v>
      </c>
      <c r="N372" s="11" t="s">
        <v>735</v>
      </c>
      <c r="O372" s="11" t="s">
        <v>931</v>
      </c>
      <c r="P372" s="11" t="s">
        <v>881</v>
      </c>
      <c r="Q372" s="11" t="s">
        <v>1125</v>
      </c>
      <c r="R372" s="11">
        <f t="shared" si="238"/>
        <v>34.75</v>
      </c>
      <c r="S372" s="11">
        <f t="shared" si="239"/>
        <v>34.25</v>
      </c>
      <c r="T372" s="11" t="str">
        <f t="shared" si="240"/>
        <v/>
      </c>
      <c r="U372" s="11" t="str">
        <f t="shared" si="241"/>
        <v/>
      </c>
      <c r="V372" s="11" t="str">
        <f t="shared" si="242"/>
        <v/>
      </c>
      <c r="W372" s="11">
        <f t="shared" si="261"/>
        <v>34.75</v>
      </c>
      <c r="X372" s="11" t="s">
        <v>911</v>
      </c>
      <c r="Y372" s="11" t="str">
        <f>HLOOKUP($X372,Tables_Cat!$B$6:$P$7,2,FALSE)</f>
        <v>Material</v>
      </c>
      <c r="Z372" s="24" t="s">
        <v>700</v>
      </c>
      <c r="AA372" s="11" t="s">
        <v>728</v>
      </c>
      <c r="AB372" s="13">
        <f t="shared" si="236"/>
        <v>0.5</v>
      </c>
      <c r="AC372" s="11" t="s">
        <v>912</v>
      </c>
      <c r="AD372" s="11">
        <f t="shared" si="230"/>
        <v>0.5</v>
      </c>
      <c r="AE372" s="11" t="s">
        <v>839</v>
      </c>
      <c r="AF372" s="11">
        <f t="shared" si="231"/>
        <v>34.75</v>
      </c>
      <c r="AG372" s="11">
        <f t="shared" si="232"/>
        <v>1207.5625</v>
      </c>
      <c r="AH372" s="11">
        <f t="shared" si="237"/>
        <v>4</v>
      </c>
      <c r="AI372" s="11">
        <f t="shared" si="215"/>
        <v>0</v>
      </c>
      <c r="AJ372" s="11">
        <f t="shared" si="233"/>
        <v>17.375</v>
      </c>
      <c r="AK372" s="11">
        <f t="shared" si="234"/>
        <v>603.78125</v>
      </c>
      <c r="AN372" s="11" t="s">
        <v>840</v>
      </c>
      <c r="AO372" s="11" t="s">
        <v>1255</v>
      </c>
    </row>
    <row r="373" spans="1:41" ht="31.5">
      <c r="A373" s="11">
        <v>367</v>
      </c>
      <c r="B373" s="11" t="s">
        <v>1221</v>
      </c>
      <c r="C373" s="11" t="s">
        <v>1259</v>
      </c>
      <c r="D373" s="32"/>
      <c r="E373" s="11" t="str">
        <f t="shared" ref="E373" si="262">IF(D373="","Select ...")</f>
        <v>Select ...</v>
      </c>
      <c r="F373" s="11">
        <v>1</v>
      </c>
      <c r="G373" s="11">
        <v>1</v>
      </c>
      <c r="H373" s="11">
        <f>A344</f>
        <v>338</v>
      </c>
      <c r="I373" s="11">
        <f>A345</f>
        <v>339</v>
      </c>
      <c r="J373" s="11">
        <f>A359</f>
        <v>353</v>
      </c>
      <c r="K373" s="11">
        <f>A360</f>
        <v>354</v>
      </c>
      <c r="L373" s="11"/>
      <c r="M373" s="11" t="s">
        <v>694</v>
      </c>
      <c r="N373" s="11" t="s">
        <v>735</v>
      </c>
      <c r="O373" s="11" t="s">
        <v>931</v>
      </c>
      <c r="P373" s="11" t="s">
        <v>881</v>
      </c>
      <c r="Q373" s="11" t="s">
        <v>1125</v>
      </c>
      <c r="R373" s="11" t="str">
        <f t="shared" si="238"/>
        <v/>
      </c>
      <c r="S373" s="11" t="str">
        <f t="shared" si="239"/>
        <v/>
      </c>
      <c r="T373" s="11" t="str">
        <f t="shared" si="240"/>
        <v/>
      </c>
      <c r="U373" s="11" t="str">
        <f t="shared" si="241"/>
        <v/>
      </c>
      <c r="V373" s="11" t="str">
        <f t="shared" si="242"/>
        <v/>
      </c>
      <c r="W373" s="11" t="str">
        <f t="shared" ref="W373:W377" si="263">IF($E373="Yes",MAX(R373:V373),"")</f>
        <v/>
      </c>
      <c r="X373" s="11" t="s">
        <v>727</v>
      </c>
      <c r="Y373" s="11" t="str">
        <f>HLOOKUP($X373,Tables_Cat!$B$6:$P$7,2,FALSE)</f>
        <v>Material</v>
      </c>
      <c r="Z373" s="24" t="s">
        <v>700</v>
      </c>
      <c r="AA373" s="11" t="s">
        <v>728</v>
      </c>
      <c r="AB373" s="13" t="str">
        <f t="shared" si="236"/>
        <v/>
      </c>
      <c r="AC373" s="11" t="s">
        <v>912</v>
      </c>
      <c r="AD373" s="11" t="str">
        <f t="shared" si="230"/>
        <v/>
      </c>
      <c r="AE373" s="11" t="s">
        <v>839</v>
      </c>
      <c r="AF373" s="11" t="str">
        <f t="shared" si="231"/>
        <v/>
      </c>
      <c r="AG373" s="11" t="str">
        <f t="shared" si="232"/>
        <v/>
      </c>
      <c r="AH373" s="11" t="str">
        <f t="shared" si="237"/>
        <v/>
      </c>
      <c r="AI373" s="11" t="str">
        <f t="shared" si="215"/>
        <v/>
      </c>
      <c r="AJ373" s="11" t="str">
        <f t="shared" si="233"/>
        <v/>
      </c>
      <c r="AK373" s="11" t="str">
        <f t="shared" si="234"/>
        <v/>
      </c>
      <c r="AN373" s="11" t="s">
        <v>840</v>
      </c>
      <c r="AO373" s="11" t="s">
        <v>1255</v>
      </c>
    </row>
    <row r="374" spans="1:41" ht="31.5">
      <c r="A374" s="11">
        <v>368</v>
      </c>
      <c r="B374" s="11" t="s">
        <v>1221</v>
      </c>
      <c r="C374" s="11" t="s">
        <v>1260</v>
      </c>
      <c r="D374" s="32"/>
      <c r="E374" s="11" t="s">
        <v>3</v>
      </c>
      <c r="F374" s="11">
        <v>1</v>
      </c>
      <c r="G374" s="11">
        <v>0.5</v>
      </c>
      <c r="H374" s="11">
        <f>A370</f>
        <v>364</v>
      </c>
      <c r="I374" s="11">
        <f>A383</f>
        <v>377</v>
      </c>
      <c r="J374" s="11"/>
      <c r="K374" s="11"/>
      <c r="L374" s="11"/>
      <c r="M374" s="11" t="s">
        <v>694</v>
      </c>
      <c r="N374" s="11" t="s">
        <v>735</v>
      </c>
      <c r="O374" s="11" t="s">
        <v>931</v>
      </c>
      <c r="P374" s="11" t="s">
        <v>881</v>
      </c>
      <c r="Q374" s="11" t="s">
        <v>1125</v>
      </c>
      <c r="R374" s="11">
        <f t="shared" si="238"/>
        <v>34.75</v>
      </c>
      <c r="S374" s="11">
        <f t="shared" si="239"/>
        <v>34.25</v>
      </c>
      <c r="T374" s="11" t="str">
        <f t="shared" si="240"/>
        <v/>
      </c>
      <c r="U374" s="11" t="str">
        <f t="shared" si="241"/>
        <v/>
      </c>
      <c r="V374" s="11" t="str">
        <f t="shared" si="242"/>
        <v/>
      </c>
      <c r="W374" s="11">
        <f t="shared" si="263"/>
        <v>34.75</v>
      </c>
      <c r="X374" s="11" t="s">
        <v>727</v>
      </c>
      <c r="Y374" s="11" t="str">
        <f>HLOOKUP($X374,Tables_Cat!$B$6:$P$7,2,FALSE)</f>
        <v>Material</v>
      </c>
      <c r="Z374" s="24" t="s">
        <v>700</v>
      </c>
      <c r="AA374" s="11" t="s">
        <v>728</v>
      </c>
      <c r="AB374" s="13">
        <f t="shared" si="236"/>
        <v>0.5</v>
      </c>
      <c r="AC374" s="11" t="s">
        <v>912</v>
      </c>
      <c r="AD374" s="11">
        <f t="shared" si="230"/>
        <v>0.5</v>
      </c>
      <c r="AE374" s="11" t="s">
        <v>839</v>
      </c>
      <c r="AF374" s="11">
        <f t="shared" si="231"/>
        <v>34.75</v>
      </c>
      <c r="AG374" s="11">
        <f t="shared" si="232"/>
        <v>1207.5625</v>
      </c>
      <c r="AH374" s="11">
        <f t="shared" si="237"/>
        <v>4</v>
      </c>
      <c r="AI374" s="11">
        <f t="shared" ref="AI374:AI449" si="264">IF(AND($E374="Yes",$Z374&lt;&gt;"Not applicable"),IF($Z374="Manual/ None",0,IF($Z374="Other",2,4)),"")</f>
        <v>0</v>
      </c>
      <c r="AJ374" s="11">
        <f t="shared" si="233"/>
        <v>17.375</v>
      </c>
      <c r="AK374" s="11">
        <f t="shared" si="234"/>
        <v>603.78125</v>
      </c>
      <c r="AN374" s="11" t="s">
        <v>840</v>
      </c>
      <c r="AO374" s="11" t="s">
        <v>1255</v>
      </c>
    </row>
    <row r="375" spans="1:41" ht="31.5">
      <c r="A375" s="11">
        <v>369</v>
      </c>
      <c r="B375" s="11" t="s">
        <v>718</v>
      </c>
      <c r="C375" s="11" t="s">
        <v>1261</v>
      </c>
      <c r="D375" s="32"/>
      <c r="E375" s="11" t="s">
        <v>4</v>
      </c>
      <c r="F375" s="11">
        <v>3</v>
      </c>
      <c r="G375" s="11">
        <v>2</v>
      </c>
      <c r="H375" s="11">
        <v>1</v>
      </c>
      <c r="I375" s="11"/>
      <c r="J375" s="11"/>
      <c r="K375" s="11"/>
      <c r="L375" s="11"/>
      <c r="M375" s="11" t="s">
        <v>694</v>
      </c>
      <c r="N375" s="11" t="s">
        <v>763</v>
      </c>
      <c r="O375" s="11" t="s">
        <v>1112</v>
      </c>
      <c r="P375" s="11" t="s">
        <v>464</v>
      </c>
      <c r="Q375" s="11" t="s">
        <v>464</v>
      </c>
      <c r="R375" s="11" t="str">
        <f t="shared" si="238"/>
        <v/>
      </c>
      <c r="S375" s="11" t="str">
        <f t="shared" si="239"/>
        <v/>
      </c>
      <c r="T375" s="11" t="str">
        <f t="shared" si="240"/>
        <v/>
      </c>
      <c r="U375" s="11" t="str">
        <f t="shared" si="241"/>
        <v/>
      </c>
      <c r="V375" s="11" t="str">
        <f t="shared" si="242"/>
        <v/>
      </c>
      <c r="W375" s="11" t="str">
        <f t="shared" ref="W375" si="265">IF($E375="Yes",MAX(R375:V375),"")</f>
        <v/>
      </c>
      <c r="X375" s="11" t="s">
        <v>911</v>
      </c>
      <c r="Y375" s="11" t="str">
        <f>HLOOKUP($X375,Tables_Cat!$B$6:$P$7,2,FALSE)</f>
        <v>Material</v>
      </c>
      <c r="Z375" s="24" t="s">
        <v>793</v>
      </c>
      <c r="AA375" s="11" t="s">
        <v>728</v>
      </c>
      <c r="AB375" s="13" t="str">
        <f t="shared" si="236"/>
        <v/>
      </c>
      <c r="AC375" s="11" t="s">
        <v>912</v>
      </c>
      <c r="AD375" s="11" t="str">
        <f t="shared" si="230"/>
        <v/>
      </c>
      <c r="AE375" s="11" t="s">
        <v>839</v>
      </c>
      <c r="AF375" s="11" t="str">
        <f t="shared" si="231"/>
        <v/>
      </c>
      <c r="AG375" s="11" t="str">
        <f t="shared" si="232"/>
        <v/>
      </c>
      <c r="AH375" s="11" t="str">
        <f t="shared" si="237"/>
        <v/>
      </c>
      <c r="AI375" s="11" t="str">
        <f t="shared" si="215"/>
        <v/>
      </c>
      <c r="AJ375" s="11" t="str">
        <f t="shared" si="233"/>
        <v/>
      </c>
      <c r="AK375" s="11" t="str">
        <f t="shared" si="234"/>
        <v/>
      </c>
      <c r="AN375" s="11" t="s">
        <v>722</v>
      </c>
      <c r="AO375" s="11" t="s">
        <v>982</v>
      </c>
    </row>
    <row r="376" spans="1:41" ht="63">
      <c r="A376" s="11">
        <v>370</v>
      </c>
      <c r="B376" s="11" t="s">
        <v>718</v>
      </c>
      <c r="C376" s="11" t="s">
        <v>1262</v>
      </c>
      <c r="D376" s="32"/>
      <c r="E376" s="11" t="s">
        <v>4</v>
      </c>
      <c r="F376" s="11">
        <v>3</v>
      </c>
      <c r="G376" s="11">
        <v>2</v>
      </c>
      <c r="H376" s="11">
        <v>1</v>
      </c>
      <c r="I376" s="11"/>
      <c r="J376" s="11"/>
      <c r="K376" s="11"/>
      <c r="L376" s="11"/>
      <c r="M376" s="11" t="s">
        <v>694</v>
      </c>
      <c r="N376" s="11" t="s">
        <v>763</v>
      </c>
      <c r="O376" s="11" t="s">
        <v>1112</v>
      </c>
      <c r="P376" s="11" t="s">
        <v>464</v>
      </c>
      <c r="Q376" s="11" t="s">
        <v>464</v>
      </c>
      <c r="R376" s="11" t="str">
        <f t="shared" si="238"/>
        <v/>
      </c>
      <c r="S376" s="11" t="str">
        <f t="shared" si="239"/>
        <v/>
      </c>
      <c r="T376" s="11" t="str">
        <f t="shared" si="240"/>
        <v/>
      </c>
      <c r="U376" s="11" t="str">
        <f t="shared" si="241"/>
        <v/>
      </c>
      <c r="V376" s="11" t="str">
        <f t="shared" si="242"/>
        <v/>
      </c>
      <c r="W376" s="11" t="str">
        <f t="shared" si="263"/>
        <v/>
      </c>
      <c r="X376" s="11" t="s">
        <v>911</v>
      </c>
      <c r="Y376" s="11" t="str">
        <f>HLOOKUP($X376,Tables_Cat!$B$6:$P$7,2,FALSE)</f>
        <v>Material</v>
      </c>
      <c r="Z376" s="24" t="s">
        <v>793</v>
      </c>
      <c r="AA376" s="11" t="s">
        <v>728</v>
      </c>
      <c r="AB376" s="13" t="str">
        <f t="shared" si="236"/>
        <v/>
      </c>
      <c r="AC376" s="11" t="s">
        <v>912</v>
      </c>
      <c r="AD376" s="11" t="str">
        <f t="shared" si="230"/>
        <v/>
      </c>
      <c r="AE376" s="11" t="s">
        <v>839</v>
      </c>
      <c r="AF376" s="11" t="str">
        <f t="shared" si="231"/>
        <v/>
      </c>
      <c r="AG376" s="11" t="str">
        <f t="shared" si="232"/>
        <v/>
      </c>
      <c r="AH376" s="11" t="str">
        <f t="shared" si="237"/>
        <v/>
      </c>
      <c r="AI376" s="11" t="str">
        <f t="shared" si="215"/>
        <v/>
      </c>
      <c r="AJ376" s="11" t="str">
        <f t="shared" si="233"/>
        <v/>
      </c>
      <c r="AK376" s="11" t="str">
        <f t="shared" si="234"/>
        <v/>
      </c>
      <c r="AN376" s="11" t="s">
        <v>722</v>
      </c>
      <c r="AO376" s="11" t="s">
        <v>982</v>
      </c>
    </row>
    <row r="377" spans="1:41" ht="47.25">
      <c r="A377" s="11">
        <v>371</v>
      </c>
      <c r="B377" s="11" t="s">
        <v>718</v>
      </c>
      <c r="C377" s="11" t="s">
        <v>1263</v>
      </c>
      <c r="D377" s="32"/>
      <c r="E377" s="11" t="s">
        <v>4</v>
      </c>
      <c r="F377" s="11">
        <v>3</v>
      </c>
      <c r="G377" s="11">
        <v>2</v>
      </c>
      <c r="H377" s="11">
        <v>1</v>
      </c>
      <c r="I377" s="11"/>
      <c r="J377" s="11"/>
      <c r="K377" s="11"/>
      <c r="L377" s="11"/>
      <c r="M377" s="11" t="s">
        <v>694</v>
      </c>
      <c r="N377" s="11" t="s">
        <v>763</v>
      </c>
      <c r="O377" s="11" t="s">
        <v>1112</v>
      </c>
      <c r="P377" s="11" t="s">
        <v>464</v>
      </c>
      <c r="Q377" s="11" t="s">
        <v>1107</v>
      </c>
      <c r="R377" s="11" t="str">
        <f t="shared" si="238"/>
        <v/>
      </c>
      <c r="S377" s="11" t="str">
        <f t="shared" si="239"/>
        <v/>
      </c>
      <c r="T377" s="11" t="str">
        <f t="shared" si="240"/>
        <v/>
      </c>
      <c r="U377" s="11" t="str">
        <f t="shared" si="241"/>
        <v/>
      </c>
      <c r="V377" s="11" t="str">
        <f t="shared" si="242"/>
        <v/>
      </c>
      <c r="W377" s="11" t="str">
        <f t="shared" si="263"/>
        <v/>
      </c>
      <c r="X377" s="11" t="s">
        <v>911</v>
      </c>
      <c r="Y377" s="11" t="str">
        <f>HLOOKUP($X377,Tables_Cat!$B$6:$P$7,2,FALSE)</f>
        <v>Material</v>
      </c>
      <c r="Z377" s="24" t="s">
        <v>793</v>
      </c>
      <c r="AA377" s="11" t="s">
        <v>728</v>
      </c>
      <c r="AB377" s="13" t="str">
        <f t="shared" si="236"/>
        <v/>
      </c>
      <c r="AC377" s="11" t="s">
        <v>912</v>
      </c>
      <c r="AD377" s="11" t="str">
        <f t="shared" si="230"/>
        <v/>
      </c>
      <c r="AE377" s="11" t="s">
        <v>839</v>
      </c>
      <c r="AF377" s="11" t="str">
        <f t="shared" si="231"/>
        <v/>
      </c>
      <c r="AG377" s="11" t="str">
        <f t="shared" si="232"/>
        <v/>
      </c>
      <c r="AH377" s="11" t="str">
        <f t="shared" si="237"/>
        <v/>
      </c>
      <c r="AI377" s="11" t="str">
        <f t="shared" ref="AI377" si="266">IF(AND($E377="Yes",$Z377&lt;&gt;"Not applicable"),IF($Z377="Manual/ None",0,IF($Z377="Other",2,4)),"")</f>
        <v/>
      </c>
      <c r="AJ377" s="11" t="str">
        <f t="shared" si="233"/>
        <v/>
      </c>
      <c r="AK377" s="11" t="str">
        <f t="shared" si="234"/>
        <v/>
      </c>
      <c r="AN377" s="11" t="s">
        <v>722</v>
      </c>
      <c r="AO377" s="11" t="s">
        <v>982</v>
      </c>
    </row>
    <row r="378" spans="1:41" ht="47.25">
      <c r="A378" s="11">
        <v>372</v>
      </c>
      <c r="B378" s="11" t="s">
        <v>1221</v>
      </c>
      <c r="C378" s="11" t="s">
        <v>1264</v>
      </c>
      <c r="D378" s="32"/>
      <c r="E378" s="11" t="str">
        <f t="shared" si="248"/>
        <v>Select ...</v>
      </c>
      <c r="F378" s="11">
        <v>0.5</v>
      </c>
      <c r="G378" s="11">
        <v>0.25</v>
      </c>
      <c r="H378" s="11">
        <f>A149</f>
        <v>143</v>
      </c>
      <c r="I378" s="11">
        <f>A150</f>
        <v>144</v>
      </c>
      <c r="J378" s="11">
        <f>A338</f>
        <v>332</v>
      </c>
      <c r="K378" s="11">
        <f>A350</f>
        <v>344</v>
      </c>
      <c r="L378" s="11"/>
      <c r="M378" s="11" t="s">
        <v>694</v>
      </c>
      <c r="N378" s="11" t="s">
        <v>735</v>
      </c>
      <c r="O378" s="11" t="s">
        <v>931</v>
      </c>
      <c r="P378" s="11" t="s">
        <v>881</v>
      </c>
      <c r="Q378" s="11" t="s">
        <v>1125</v>
      </c>
      <c r="R378" s="11" t="str">
        <f t="shared" si="238"/>
        <v/>
      </c>
      <c r="S378" s="11" t="str">
        <f t="shared" si="239"/>
        <v/>
      </c>
      <c r="T378" s="11" t="str">
        <f t="shared" si="240"/>
        <v/>
      </c>
      <c r="U378" s="11" t="str">
        <f t="shared" si="241"/>
        <v/>
      </c>
      <c r="V378" s="11" t="str">
        <f t="shared" si="242"/>
        <v/>
      </c>
      <c r="W378" s="11" t="str">
        <f t="shared" si="235"/>
        <v/>
      </c>
      <c r="X378" s="11" t="s">
        <v>911</v>
      </c>
      <c r="Y378" s="11" t="str">
        <f>HLOOKUP($X378,Tables_Cat!$B$6:$P$7,2,FALSE)</f>
        <v>Material</v>
      </c>
      <c r="Z378" s="24" t="s">
        <v>700</v>
      </c>
      <c r="AA378" s="11" t="s">
        <v>728</v>
      </c>
      <c r="AB378" s="13" t="str">
        <f t="shared" si="236"/>
        <v/>
      </c>
      <c r="AC378" s="11" t="s">
        <v>912</v>
      </c>
      <c r="AD378" s="11" t="str">
        <f t="shared" si="230"/>
        <v/>
      </c>
      <c r="AE378" s="11" t="s">
        <v>839</v>
      </c>
      <c r="AF378" s="11" t="str">
        <f t="shared" si="231"/>
        <v/>
      </c>
      <c r="AG378" s="11" t="str">
        <f t="shared" si="232"/>
        <v/>
      </c>
      <c r="AH378" s="11" t="str">
        <f t="shared" si="237"/>
        <v/>
      </c>
      <c r="AI378" s="11" t="str">
        <f t="shared" si="264"/>
        <v/>
      </c>
      <c r="AJ378" s="11" t="str">
        <f t="shared" si="233"/>
        <v/>
      </c>
      <c r="AK378" s="11" t="str">
        <f t="shared" si="234"/>
        <v/>
      </c>
      <c r="AN378" s="11" t="s">
        <v>710</v>
      </c>
      <c r="AO378" s="11" t="s">
        <v>1231</v>
      </c>
    </row>
    <row r="379" spans="1:41" ht="47.25">
      <c r="A379" s="11">
        <v>373</v>
      </c>
      <c r="B379" s="11" t="s">
        <v>1221</v>
      </c>
      <c r="C379" s="11" t="s">
        <v>1265</v>
      </c>
      <c r="D379" s="32"/>
      <c r="E379" s="11" t="str">
        <f t="shared" ref="E379" si="267">IF(D379="","Select ...")</f>
        <v>Select ...</v>
      </c>
      <c r="F379" s="11">
        <v>0.5</v>
      </c>
      <c r="G379" s="11">
        <v>0.25</v>
      </c>
      <c r="H379" s="11">
        <f>A150</f>
        <v>144</v>
      </c>
      <c r="I379" s="11">
        <f>A170</f>
        <v>164</v>
      </c>
      <c r="J379" s="11">
        <f>A339</f>
        <v>333</v>
      </c>
      <c r="K379" s="11">
        <f>A351</f>
        <v>345</v>
      </c>
      <c r="L379" s="11"/>
      <c r="M379" s="11" t="s">
        <v>694</v>
      </c>
      <c r="N379" s="11" t="s">
        <v>735</v>
      </c>
      <c r="O379" s="11" t="s">
        <v>931</v>
      </c>
      <c r="P379" s="11" t="s">
        <v>881</v>
      </c>
      <c r="Q379" s="11" t="s">
        <v>1125</v>
      </c>
      <c r="R379" s="11" t="str">
        <f t="shared" si="238"/>
        <v/>
      </c>
      <c r="S379" s="11" t="str">
        <f t="shared" si="239"/>
        <v/>
      </c>
      <c r="T379" s="11" t="str">
        <f t="shared" si="240"/>
        <v/>
      </c>
      <c r="U379" s="11" t="str">
        <f t="shared" si="241"/>
        <v/>
      </c>
      <c r="V379" s="11" t="str">
        <f t="shared" si="242"/>
        <v/>
      </c>
      <c r="W379" s="11" t="str">
        <f t="shared" ref="W379" si="268">IF($E379="Yes",MAX(R379:V379),"")</f>
        <v/>
      </c>
      <c r="X379" s="11" t="s">
        <v>727</v>
      </c>
      <c r="Y379" s="11" t="str">
        <f>HLOOKUP($X379,Tables_Cat!$B$6:$P$7,2,FALSE)</f>
        <v>Material</v>
      </c>
      <c r="Z379" s="24" t="s">
        <v>700</v>
      </c>
      <c r="AA379" s="11" t="s">
        <v>728</v>
      </c>
      <c r="AB379" s="13" t="str">
        <f t="shared" si="236"/>
        <v/>
      </c>
      <c r="AC379" s="11" t="s">
        <v>912</v>
      </c>
      <c r="AD379" s="11" t="str">
        <f t="shared" si="230"/>
        <v/>
      </c>
      <c r="AE379" s="11" t="s">
        <v>839</v>
      </c>
      <c r="AF379" s="11" t="str">
        <f t="shared" si="231"/>
        <v/>
      </c>
      <c r="AG379" s="11" t="str">
        <f t="shared" si="232"/>
        <v/>
      </c>
      <c r="AH379" s="11" t="str">
        <f t="shared" si="237"/>
        <v/>
      </c>
      <c r="AI379" s="11" t="str">
        <f t="shared" si="264"/>
        <v/>
      </c>
      <c r="AJ379" s="11" t="str">
        <f t="shared" si="233"/>
        <v/>
      </c>
      <c r="AK379" s="11" t="str">
        <f t="shared" si="234"/>
        <v/>
      </c>
      <c r="AN379" s="11" t="s">
        <v>714</v>
      </c>
      <c r="AO379" s="11" t="s">
        <v>1231</v>
      </c>
    </row>
    <row r="380" spans="1:41" ht="47.25">
      <c r="A380" s="11">
        <v>374</v>
      </c>
      <c r="B380" s="11" t="s">
        <v>1221</v>
      </c>
      <c r="C380" s="11" t="s">
        <v>1266</v>
      </c>
      <c r="D380" s="32"/>
      <c r="E380" s="11" t="str">
        <f t="shared" ref="E380" si="269">IF(D380="","Select ...")</f>
        <v>Select ...</v>
      </c>
      <c r="F380" s="11">
        <v>0.5</v>
      </c>
      <c r="G380" s="11">
        <v>0.25</v>
      </c>
      <c r="H380" s="11">
        <f>A161</f>
        <v>155</v>
      </c>
      <c r="I380" s="11">
        <f>A171</f>
        <v>165</v>
      </c>
      <c r="J380" s="11">
        <f>A340</f>
        <v>334</v>
      </c>
      <c r="K380" s="11">
        <f>A353</f>
        <v>347</v>
      </c>
      <c r="L380" s="11"/>
      <c r="M380" s="11" t="s">
        <v>694</v>
      </c>
      <c r="N380" s="11" t="s">
        <v>735</v>
      </c>
      <c r="O380" s="11" t="s">
        <v>931</v>
      </c>
      <c r="P380" s="11" t="s">
        <v>881</v>
      </c>
      <c r="Q380" s="11" t="s">
        <v>1125</v>
      </c>
      <c r="R380" s="11" t="str">
        <f t="shared" si="238"/>
        <v/>
      </c>
      <c r="S380" s="11" t="str">
        <f t="shared" si="239"/>
        <v/>
      </c>
      <c r="T380" s="11" t="str">
        <f t="shared" si="240"/>
        <v/>
      </c>
      <c r="U380" s="11" t="str">
        <f t="shared" si="241"/>
        <v/>
      </c>
      <c r="V380" s="11" t="str">
        <f t="shared" si="242"/>
        <v/>
      </c>
      <c r="W380" s="11" t="str">
        <f t="shared" ref="W380" si="270">IF($E380="Yes",MAX(R380:V380),"")</f>
        <v/>
      </c>
      <c r="X380" s="11" t="s">
        <v>727</v>
      </c>
      <c r="Y380" s="11" t="str">
        <f>HLOOKUP($X380,Tables_Cat!$B$6:$P$7,2,FALSE)</f>
        <v>Material</v>
      </c>
      <c r="Z380" s="24" t="s">
        <v>700</v>
      </c>
      <c r="AA380" s="11" t="s">
        <v>728</v>
      </c>
      <c r="AB380" s="13" t="str">
        <f t="shared" si="236"/>
        <v/>
      </c>
      <c r="AC380" s="11" t="s">
        <v>912</v>
      </c>
      <c r="AD380" s="11" t="str">
        <f t="shared" si="230"/>
        <v/>
      </c>
      <c r="AE380" s="11" t="s">
        <v>839</v>
      </c>
      <c r="AF380" s="11" t="str">
        <f t="shared" si="231"/>
        <v/>
      </c>
      <c r="AG380" s="11" t="str">
        <f t="shared" si="232"/>
        <v/>
      </c>
      <c r="AH380" s="11" t="str">
        <f t="shared" si="237"/>
        <v/>
      </c>
      <c r="AI380" s="11" t="str">
        <f t="shared" si="264"/>
        <v/>
      </c>
      <c r="AJ380" s="11" t="str">
        <f t="shared" si="233"/>
        <v/>
      </c>
      <c r="AK380" s="11" t="str">
        <f t="shared" si="234"/>
        <v/>
      </c>
      <c r="AN380" s="11" t="s">
        <v>714</v>
      </c>
      <c r="AO380" s="11" t="s">
        <v>1231</v>
      </c>
    </row>
    <row r="381" spans="1:41" ht="47.25">
      <c r="A381" s="11">
        <v>375</v>
      </c>
      <c r="B381" s="11" t="s">
        <v>1221</v>
      </c>
      <c r="C381" s="11" t="s">
        <v>1267</v>
      </c>
      <c r="D381" s="32"/>
      <c r="E381" s="11" t="str">
        <f t="shared" ref="E381" si="271">IF(D381="","Select ...")</f>
        <v>Select ...</v>
      </c>
      <c r="F381" s="11">
        <v>0.5</v>
      </c>
      <c r="G381" s="11">
        <v>0.25</v>
      </c>
      <c r="H381" s="11">
        <f>A164</f>
        <v>158</v>
      </c>
      <c r="I381" s="11">
        <f>A193</f>
        <v>187</v>
      </c>
      <c r="J381" s="11">
        <f>A341</f>
        <v>335</v>
      </c>
      <c r="K381" s="11">
        <f>A354</f>
        <v>348</v>
      </c>
      <c r="L381" s="11"/>
      <c r="M381" s="11" t="s">
        <v>694</v>
      </c>
      <c r="N381" s="11" t="s">
        <v>735</v>
      </c>
      <c r="O381" s="11" t="s">
        <v>931</v>
      </c>
      <c r="P381" s="11" t="s">
        <v>881</v>
      </c>
      <c r="Q381" s="11" t="s">
        <v>1125</v>
      </c>
      <c r="R381" s="11" t="str">
        <f t="shared" si="238"/>
        <v/>
      </c>
      <c r="S381" s="11" t="str">
        <f t="shared" si="239"/>
        <v/>
      </c>
      <c r="T381" s="11" t="str">
        <f t="shared" si="240"/>
        <v/>
      </c>
      <c r="U381" s="11" t="str">
        <f t="shared" si="241"/>
        <v/>
      </c>
      <c r="V381" s="11" t="str">
        <f t="shared" si="242"/>
        <v/>
      </c>
      <c r="W381" s="11" t="str">
        <f t="shared" ref="W381" si="272">IF($E381="Yes",MAX(R381:V381),"")</f>
        <v/>
      </c>
      <c r="X381" s="11" t="s">
        <v>911</v>
      </c>
      <c r="Y381" s="11" t="str">
        <f>HLOOKUP($X381,Tables_Cat!$B$6:$P$7,2,FALSE)</f>
        <v>Material</v>
      </c>
      <c r="Z381" s="24" t="s">
        <v>700</v>
      </c>
      <c r="AA381" s="11" t="s">
        <v>728</v>
      </c>
      <c r="AB381" s="13" t="str">
        <f t="shared" si="236"/>
        <v/>
      </c>
      <c r="AC381" s="11" t="s">
        <v>912</v>
      </c>
      <c r="AD381" s="11" t="str">
        <f t="shared" si="230"/>
        <v/>
      </c>
      <c r="AE381" s="11" t="s">
        <v>839</v>
      </c>
      <c r="AF381" s="11" t="str">
        <f t="shared" si="231"/>
        <v/>
      </c>
      <c r="AG381" s="11" t="str">
        <f t="shared" si="232"/>
        <v/>
      </c>
      <c r="AH381" s="11" t="str">
        <f t="shared" si="237"/>
        <v/>
      </c>
      <c r="AI381" s="11" t="str">
        <f t="shared" si="264"/>
        <v/>
      </c>
      <c r="AJ381" s="11" t="str">
        <f t="shared" si="233"/>
        <v/>
      </c>
      <c r="AK381" s="11" t="str">
        <f t="shared" si="234"/>
        <v/>
      </c>
      <c r="AN381" s="11" t="s">
        <v>742</v>
      </c>
      <c r="AO381" s="11" t="s">
        <v>1231</v>
      </c>
    </row>
    <row r="382" spans="1:41" ht="47.25">
      <c r="A382" s="11">
        <v>376</v>
      </c>
      <c r="B382" s="11" t="s">
        <v>1221</v>
      </c>
      <c r="C382" s="11" t="s">
        <v>1268</v>
      </c>
      <c r="D382" s="32"/>
      <c r="E382" s="11" t="str">
        <f t="shared" ref="E382" si="273">IF(D382="","Select ...")</f>
        <v>Select ...</v>
      </c>
      <c r="F382" s="11">
        <v>0.5</v>
      </c>
      <c r="G382" s="11">
        <v>0.25</v>
      </c>
      <c r="H382" s="11">
        <f>A165</f>
        <v>159</v>
      </c>
      <c r="I382" s="11">
        <f>A194</f>
        <v>188</v>
      </c>
      <c r="J382" s="11">
        <f>A342</f>
        <v>336</v>
      </c>
      <c r="K382" s="11">
        <f>A357</f>
        <v>351</v>
      </c>
      <c r="L382" s="11"/>
      <c r="M382" s="11" t="s">
        <v>694</v>
      </c>
      <c r="N382" s="11" t="s">
        <v>735</v>
      </c>
      <c r="O382" s="11" t="s">
        <v>931</v>
      </c>
      <c r="P382" s="11" t="s">
        <v>881</v>
      </c>
      <c r="Q382" s="11" t="s">
        <v>1125</v>
      </c>
      <c r="R382" s="11" t="str">
        <f t="shared" si="238"/>
        <v/>
      </c>
      <c r="S382" s="11" t="str">
        <f t="shared" si="239"/>
        <v/>
      </c>
      <c r="T382" s="11" t="str">
        <f t="shared" si="240"/>
        <v/>
      </c>
      <c r="U382" s="11" t="str">
        <f t="shared" si="241"/>
        <v/>
      </c>
      <c r="V382" s="11" t="str">
        <f t="shared" si="242"/>
        <v/>
      </c>
      <c r="W382" s="11" t="str">
        <f t="shared" ref="W382" si="274">IF($E382="Yes",MAX(R382:V382),"")</f>
        <v/>
      </c>
      <c r="X382" s="11" t="s">
        <v>911</v>
      </c>
      <c r="Y382" s="11" t="str">
        <f>HLOOKUP($X382,Tables_Cat!$B$6:$P$7,2,FALSE)</f>
        <v>Material</v>
      </c>
      <c r="Z382" s="24" t="s">
        <v>700</v>
      </c>
      <c r="AA382" s="11" t="s">
        <v>728</v>
      </c>
      <c r="AB382" s="13" t="str">
        <f t="shared" si="236"/>
        <v/>
      </c>
      <c r="AC382" s="11" t="s">
        <v>912</v>
      </c>
      <c r="AD382" s="11" t="str">
        <f t="shared" si="230"/>
        <v/>
      </c>
      <c r="AE382" s="11" t="s">
        <v>839</v>
      </c>
      <c r="AF382" s="11" t="str">
        <f t="shared" si="231"/>
        <v/>
      </c>
      <c r="AG382" s="11" t="str">
        <f t="shared" si="232"/>
        <v/>
      </c>
      <c r="AH382" s="11" t="str">
        <f t="shared" si="237"/>
        <v/>
      </c>
      <c r="AI382" s="11" t="str">
        <f t="shared" si="264"/>
        <v/>
      </c>
      <c r="AJ382" s="11" t="str">
        <f t="shared" si="233"/>
        <v/>
      </c>
      <c r="AK382" s="11" t="str">
        <f t="shared" si="234"/>
        <v/>
      </c>
      <c r="AN382" s="11" t="s">
        <v>742</v>
      </c>
      <c r="AO382" s="11" t="s">
        <v>1231</v>
      </c>
    </row>
    <row r="383" spans="1:41" ht="31.5">
      <c r="A383" s="11">
        <v>377</v>
      </c>
      <c r="B383" s="11" t="s">
        <v>1221</v>
      </c>
      <c r="C383" s="11" t="s">
        <v>1269</v>
      </c>
      <c r="D383" s="32"/>
      <c r="E383" s="11" t="s">
        <v>3</v>
      </c>
      <c r="F383" s="11">
        <v>0.5</v>
      </c>
      <c r="G383" s="11">
        <v>0.5</v>
      </c>
      <c r="H383" s="11">
        <f>A358</f>
        <v>352</v>
      </c>
      <c r="I383" s="11">
        <f>A360</f>
        <v>354</v>
      </c>
      <c r="J383" s="11"/>
      <c r="K383" s="11"/>
      <c r="L383" s="11"/>
      <c r="M383" s="11" t="s">
        <v>694</v>
      </c>
      <c r="N383" s="11" t="s">
        <v>735</v>
      </c>
      <c r="O383" s="11" t="s">
        <v>881</v>
      </c>
      <c r="P383" s="11" t="s">
        <v>950</v>
      </c>
      <c r="Q383" s="11" t="s">
        <v>1270</v>
      </c>
      <c r="R383" s="11">
        <f t="shared" si="238"/>
        <v>33.75</v>
      </c>
      <c r="S383" s="11">
        <f t="shared" si="239"/>
        <v>33.75</v>
      </c>
      <c r="T383" s="11" t="str">
        <f t="shared" si="240"/>
        <v/>
      </c>
      <c r="U383" s="11" t="str">
        <f t="shared" si="241"/>
        <v/>
      </c>
      <c r="V383" s="11" t="str">
        <f t="shared" si="242"/>
        <v/>
      </c>
      <c r="W383" s="11">
        <f t="shared" ref="W383" si="275">IF($E383="Yes",MAX(R383:V383),"")</f>
        <v>33.75</v>
      </c>
      <c r="X383" s="11" t="s">
        <v>1007</v>
      </c>
      <c r="Y383" s="11" t="str">
        <f>HLOOKUP($X383,Tables_Cat!$B$6:$P$7,2,FALSE)</f>
        <v>Information</v>
      </c>
      <c r="Z383" s="24" t="s">
        <v>700</v>
      </c>
      <c r="AA383" s="11" t="s">
        <v>701</v>
      </c>
      <c r="AB383" s="13">
        <f t="shared" si="236"/>
        <v>0</v>
      </c>
      <c r="AC383" s="11" t="s">
        <v>1216</v>
      </c>
      <c r="AD383" s="11">
        <f t="shared" si="230"/>
        <v>0</v>
      </c>
      <c r="AE383" s="11" t="s">
        <v>839</v>
      </c>
      <c r="AF383" s="11">
        <f t="shared" si="231"/>
        <v>16.875</v>
      </c>
      <c r="AG383" s="11">
        <f t="shared" si="232"/>
        <v>569.53125</v>
      </c>
      <c r="AH383" s="11">
        <f t="shared" si="237"/>
        <v>3</v>
      </c>
      <c r="AI383" s="11">
        <f t="shared" si="264"/>
        <v>0</v>
      </c>
      <c r="AJ383" s="11">
        <f t="shared" si="233"/>
        <v>16.875</v>
      </c>
      <c r="AK383" s="11">
        <f t="shared" si="234"/>
        <v>569.53125</v>
      </c>
      <c r="AN383" s="11" t="s">
        <v>1271</v>
      </c>
      <c r="AO383" s="11" t="s">
        <v>1213</v>
      </c>
    </row>
    <row r="384" spans="1:41" ht="31.5">
      <c r="A384" s="11">
        <v>378</v>
      </c>
      <c r="B384" s="11" t="s">
        <v>1221</v>
      </c>
      <c r="C384" s="11" t="s">
        <v>1272</v>
      </c>
      <c r="D384" s="32"/>
      <c r="E384" s="11" t="str">
        <f t="shared" ref="E384" si="276">IF(D384="","Select ...")</f>
        <v>Select ...</v>
      </c>
      <c r="F384" s="11"/>
      <c r="G384" s="11"/>
      <c r="H384" s="11"/>
      <c r="I384" s="11"/>
      <c r="J384" s="11"/>
      <c r="K384" s="11"/>
      <c r="L384" s="11"/>
      <c r="M384" s="11" t="s">
        <v>694</v>
      </c>
      <c r="N384" s="11" t="s">
        <v>781</v>
      </c>
      <c r="O384" s="11" t="s">
        <v>950</v>
      </c>
      <c r="P384" s="11" t="s">
        <v>881</v>
      </c>
      <c r="Q384" s="11" t="s">
        <v>758</v>
      </c>
      <c r="R384" s="11" t="str">
        <f t="shared" si="238"/>
        <v/>
      </c>
      <c r="S384" s="11" t="str">
        <f t="shared" si="239"/>
        <v/>
      </c>
      <c r="T384" s="11" t="str">
        <f t="shared" si="240"/>
        <v/>
      </c>
      <c r="U384" s="11" t="str">
        <f t="shared" si="241"/>
        <v/>
      </c>
      <c r="V384" s="11" t="str">
        <f t="shared" si="242"/>
        <v/>
      </c>
      <c r="W384" s="11" t="str">
        <f t="shared" ref="W384" si="277">IF($E384="Yes",MAX(R384:V384),"")</f>
        <v/>
      </c>
      <c r="X384" s="11" t="s">
        <v>881</v>
      </c>
      <c r="Y384" s="11" t="str">
        <f>HLOOKUP($X384,Tables_Cat!$B$6:$P$7,2,FALSE)</f>
        <v>Material</v>
      </c>
      <c r="Z384" s="24" t="s">
        <v>700</v>
      </c>
      <c r="AA384" s="11" t="s">
        <v>728</v>
      </c>
      <c r="AB384" s="13" t="str">
        <f t="shared" si="236"/>
        <v/>
      </c>
      <c r="AC384" s="11" t="s">
        <v>1216</v>
      </c>
      <c r="AD384" s="11" t="str">
        <f t="shared" si="230"/>
        <v/>
      </c>
      <c r="AE384" s="11" t="s">
        <v>760</v>
      </c>
      <c r="AF384" s="11" t="str">
        <f t="shared" si="231"/>
        <v/>
      </c>
      <c r="AG384" s="11" t="str">
        <f t="shared" si="232"/>
        <v/>
      </c>
      <c r="AH384" s="11" t="str">
        <f t="shared" si="237"/>
        <v/>
      </c>
      <c r="AI384" s="11" t="str">
        <f t="shared" si="264"/>
        <v/>
      </c>
      <c r="AJ384" s="11" t="str">
        <f t="shared" si="233"/>
        <v/>
      </c>
      <c r="AK384" s="11" t="str">
        <f t="shared" si="234"/>
        <v/>
      </c>
      <c r="AN384" s="11" t="s">
        <v>1271</v>
      </c>
      <c r="AO384" s="11" t="s">
        <v>1213</v>
      </c>
    </row>
    <row r="385" spans="1:41" ht="31.5">
      <c r="A385" s="11">
        <v>379</v>
      </c>
      <c r="B385" s="11" t="s">
        <v>1221</v>
      </c>
      <c r="C385" s="11" t="s">
        <v>1273</v>
      </c>
      <c r="D385" s="32"/>
      <c r="E385" s="11" t="str">
        <f t="shared" ref="E385:E387" si="278">IF(D385="","Select ...")</f>
        <v>Select ...</v>
      </c>
      <c r="F385" s="11"/>
      <c r="G385" s="11"/>
      <c r="H385" s="11"/>
      <c r="I385" s="11"/>
      <c r="J385" s="11"/>
      <c r="K385" s="11"/>
      <c r="L385" s="11"/>
      <c r="M385" s="11" t="s">
        <v>694</v>
      </c>
      <c r="N385" s="11" t="s">
        <v>769</v>
      </c>
      <c r="O385" s="11" t="s">
        <v>950</v>
      </c>
      <c r="P385" s="11" t="s">
        <v>92</v>
      </c>
      <c r="Q385" s="11" t="s">
        <v>758</v>
      </c>
      <c r="R385" s="11" t="str">
        <f t="shared" si="238"/>
        <v/>
      </c>
      <c r="S385" s="11" t="str">
        <f t="shared" si="239"/>
        <v/>
      </c>
      <c r="T385" s="11" t="str">
        <f t="shared" si="240"/>
        <v/>
      </c>
      <c r="U385" s="11" t="str">
        <f t="shared" si="241"/>
        <v/>
      </c>
      <c r="V385" s="11" t="str">
        <f t="shared" si="242"/>
        <v/>
      </c>
      <c r="W385" s="11" t="str">
        <f t="shared" ref="W385" si="279">IF($E385="Yes",MAX(R385:V385),"")</f>
        <v/>
      </c>
      <c r="X385" s="11" t="s">
        <v>92</v>
      </c>
      <c r="Y385" s="11" t="str">
        <f>HLOOKUP($X385,Tables_Cat!$B$6:$P$7,2,FALSE)</f>
        <v>Material</v>
      </c>
      <c r="Z385" s="24" t="s">
        <v>700</v>
      </c>
      <c r="AA385" s="11" t="s">
        <v>728</v>
      </c>
      <c r="AB385" s="13" t="str">
        <f t="shared" si="236"/>
        <v/>
      </c>
      <c r="AC385" s="11" t="s">
        <v>1216</v>
      </c>
      <c r="AD385" s="11" t="str">
        <f t="shared" si="230"/>
        <v/>
      </c>
      <c r="AE385" s="11" t="s">
        <v>760</v>
      </c>
      <c r="AF385" s="11" t="str">
        <f t="shared" si="231"/>
        <v/>
      </c>
      <c r="AG385" s="11" t="str">
        <f t="shared" si="232"/>
        <v/>
      </c>
      <c r="AH385" s="11" t="str">
        <f t="shared" si="237"/>
        <v/>
      </c>
      <c r="AI385" s="11" t="str">
        <f t="shared" si="264"/>
        <v/>
      </c>
      <c r="AJ385" s="11" t="str">
        <f t="shared" si="233"/>
        <v/>
      </c>
      <c r="AK385" s="11" t="str">
        <f t="shared" si="234"/>
        <v/>
      </c>
      <c r="AN385" s="11" t="s">
        <v>1271</v>
      </c>
      <c r="AO385" s="11" t="s">
        <v>1213</v>
      </c>
    </row>
    <row r="386" spans="1:41" ht="47.25">
      <c r="A386" s="11">
        <v>380</v>
      </c>
      <c r="B386" s="11" t="s">
        <v>1221</v>
      </c>
      <c r="C386" s="11" t="s">
        <v>1274</v>
      </c>
      <c r="D386" s="32"/>
      <c r="E386" s="11" t="str">
        <f t="shared" ref="E386" si="280">IF(D386="","Select ...")</f>
        <v>Select ...</v>
      </c>
      <c r="F386" s="11">
        <v>1</v>
      </c>
      <c r="G386" s="11">
        <v>1</v>
      </c>
      <c r="H386" s="11">
        <f>A399</f>
        <v>393</v>
      </c>
      <c r="I386" s="11"/>
      <c r="J386" s="11"/>
      <c r="K386" s="11"/>
      <c r="L386" s="11"/>
      <c r="M386" s="11" t="s">
        <v>694</v>
      </c>
      <c r="N386" s="11" t="s">
        <v>781</v>
      </c>
      <c r="O386" s="11" t="s">
        <v>881</v>
      </c>
      <c r="P386" s="11" t="s">
        <v>881</v>
      </c>
      <c r="Q386" s="11" t="s">
        <v>995</v>
      </c>
      <c r="R386" s="11" t="str">
        <f t="shared" si="238"/>
        <v/>
      </c>
      <c r="S386" s="11" t="str">
        <f t="shared" si="239"/>
        <v/>
      </c>
      <c r="T386" s="11" t="str">
        <f t="shared" si="240"/>
        <v/>
      </c>
      <c r="U386" s="11" t="str">
        <f t="shared" si="241"/>
        <v/>
      </c>
      <c r="V386" s="11" t="str">
        <f t="shared" si="242"/>
        <v/>
      </c>
      <c r="W386" s="11" t="str">
        <f>IF($E386="Yes",MAX(R386:V386),"")</f>
        <v/>
      </c>
      <c r="X386" s="11" t="s">
        <v>881</v>
      </c>
      <c r="Y386" s="11" t="str">
        <f>HLOOKUP($X386,Tables_Cat!$B$6:$P$7,2,FALSE)</f>
        <v>Material</v>
      </c>
      <c r="Z386" s="24" t="s">
        <v>700</v>
      </c>
      <c r="AA386" s="11" t="s">
        <v>728</v>
      </c>
      <c r="AB386" s="13" t="str">
        <f>IF($E386="Yes",($F386-$G386)/$F386,"")</f>
        <v/>
      </c>
      <c r="AC386" s="11" t="s">
        <v>1275</v>
      </c>
      <c r="AD386" s="11" t="str">
        <f>IF($E386="Yes",$AB386+$AI386,"")</f>
        <v/>
      </c>
      <c r="AE386" s="11" t="s">
        <v>996</v>
      </c>
      <c r="AF386" s="11" t="str">
        <f>IF($E386="Yes",$F386*$W386,"")</f>
        <v/>
      </c>
      <c r="AG386" s="11" t="str">
        <f>IF($E386="Yes",$F386*$W386^2,"")</f>
        <v/>
      </c>
      <c r="AH386" s="11" t="str">
        <f>IF($E386="Yes",IF($AA386="Engineer",5,IF($AA386="Implement",4,IF($AA386="Manage",3,IF($AA386="Validate",2,1)))),"")</f>
        <v/>
      </c>
      <c r="AI386" s="11" t="str">
        <f t="shared" si="264"/>
        <v/>
      </c>
      <c r="AJ386" s="11" t="str">
        <f>IF($E386="Yes",$G386*$W386,"")</f>
        <v/>
      </c>
      <c r="AK386" s="11" t="str">
        <f>IF($E386="Yes",$G386*$W386^2,"")</f>
        <v/>
      </c>
      <c r="AN386" s="11" t="s">
        <v>778</v>
      </c>
      <c r="AO386" s="11" t="s">
        <v>1043</v>
      </c>
    </row>
    <row r="387" spans="1:41" ht="47.25">
      <c r="A387" s="11">
        <v>381</v>
      </c>
      <c r="B387" s="11" t="s">
        <v>1221</v>
      </c>
      <c r="C387" s="11" t="s">
        <v>1276</v>
      </c>
      <c r="D387" s="32"/>
      <c r="E387" s="11" t="str">
        <f t="shared" si="278"/>
        <v>Select ...</v>
      </c>
      <c r="F387" s="11">
        <v>1</v>
      </c>
      <c r="G387" s="11">
        <v>1</v>
      </c>
      <c r="H387" s="11">
        <f>A398</f>
        <v>392</v>
      </c>
      <c r="I387" s="11"/>
      <c r="J387" s="11"/>
      <c r="K387" s="11"/>
      <c r="L387" s="11"/>
      <c r="M387" s="11" t="s">
        <v>694</v>
      </c>
      <c r="N387" s="11" t="s">
        <v>781</v>
      </c>
      <c r="O387" s="11" t="s">
        <v>881</v>
      </c>
      <c r="P387" s="11" t="s">
        <v>881</v>
      </c>
      <c r="Q387" s="11" t="s">
        <v>995</v>
      </c>
      <c r="R387" s="11" t="str">
        <f t="shared" si="238"/>
        <v/>
      </c>
      <c r="S387" s="11" t="str">
        <f t="shared" si="239"/>
        <v/>
      </c>
      <c r="T387" s="11" t="str">
        <f t="shared" si="240"/>
        <v/>
      </c>
      <c r="U387" s="11" t="str">
        <f t="shared" si="241"/>
        <v/>
      </c>
      <c r="V387" s="11" t="str">
        <f t="shared" si="242"/>
        <v/>
      </c>
      <c r="W387" s="11" t="str">
        <f>IF($E387="Yes",MAX(R387:V387),"")</f>
        <v/>
      </c>
      <c r="X387" s="11" t="s">
        <v>881</v>
      </c>
      <c r="Y387" s="11" t="str">
        <f>HLOOKUP($X387,Tables_Cat!$B$6:$P$7,2,FALSE)</f>
        <v>Material</v>
      </c>
      <c r="Z387" s="24" t="s">
        <v>700</v>
      </c>
      <c r="AA387" s="11" t="s">
        <v>728</v>
      </c>
      <c r="AB387" s="13" t="str">
        <f>IF($E387="Yes",($F387-$G387)/$F387,"")</f>
        <v/>
      </c>
      <c r="AC387" s="11" t="s">
        <v>1275</v>
      </c>
      <c r="AD387" s="11" t="str">
        <f>IF($E387="Yes",$AB387+$AI387,"")</f>
        <v/>
      </c>
      <c r="AE387" s="11" t="s">
        <v>996</v>
      </c>
      <c r="AF387" s="11" t="str">
        <f>IF($E387="Yes",$F387*$W387,"")</f>
        <v/>
      </c>
      <c r="AG387" s="11" t="str">
        <f>IF($E387="Yes",$F387*$W387^2,"")</f>
        <v/>
      </c>
      <c r="AH387" s="11" t="str">
        <f>IF($E387="Yes",IF($AA387="Engineer",5,IF($AA387="Implement",4,IF($AA387="Manage",3,IF($AA387="Validate",2,1)))),"")</f>
        <v/>
      </c>
      <c r="AI387" s="11" t="str">
        <f t="shared" si="264"/>
        <v/>
      </c>
      <c r="AJ387" s="11" t="str">
        <f>IF($E387="Yes",$G387*$W387,"")</f>
        <v/>
      </c>
      <c r="AK387" s="11" t="str">
        <f>IF($E387="Yes",$G387*$W387^2,"")</f>
        <v/>
      </c>
      <c r="AN387" s="11" t="s">
        <v>778</v>
      </c>
      <c r="AO387" s="11" t="s">
        <v>1043</v>
      </c>
    </row>
    <row r="388" spans="1:41" ht="31.5">
      <c r="A388" s="11">
        <v>382</v>
      </c>
      <c r="B388" s="11" t="s">
        <v>1277</v>
      </c>
      <c r="C388" s="11" t="s">
        <v>1278</v>
      </c>
      <c r="D388" s="32"/>
      <c r="E388" s="11" t="str">
        <f t="shared" ref="E388" si="281">IF(D388="","Select ...")</f>
        <v>Select ...</v>
      </c>
      <c r="F388" s="11"/>
      <c r="G388" s="11"/>
      <c r="H388" s="11"/>
      <c r="I388" s="11"/>
      <c r="J388" s="11"/>
      <c r="K388" s="11"/>
      <c r="L388" s="11"/>
      <c r="M388" s="11" t="s">
        <v>694</v>
      </c>
      <c r="N388" s="11" t="s">
        <v>748</v>
      </c>
      <c r="O388" s="11" t="s">
        <v>464</v>
      </c>
      <c r="P388" s="11" t="s">
        <v>464</v>
      </c>
      <c r="Q388" s="11" t="s">
        <v>947</v>
      </c>
      <c r="R388" s="11" t="str">
        <f t="shared" si="238"/>
        <v/>
      </c>
      <c r="S388" s="11" t="str">
        <f t="shared" si="239"/>
        <v/>
      </c>
      <c r="T388" s="11" t="str">
        <f t="shared" si="240"/>
        <v/>
      </c>
      <c r="U388" s="11" t="str">
        <f t="shared" si="241"/>
        <v/>
      </c>
      <c r="V388" s="11" t="str">
        <f t="shared" si="242"/>
        <v/>
      </c>
      <c r="W388" s="11" t="str">
        <f t="shared" ref="W388" si="282">IF($E388="Yes",MAX(R388:V388),"")</f>
        <v/>
      </c>
      <c r="X388" s="11" t="s">
        <v>759</v>
      </c>
      <c r="Y388" s="11" t="str">
        <f>HLOOKUP($X388,Tables_Cat!$B$6:$P$7,2,FALSE)</f>
        <v>Information</v>
      </c>
      <c r="Z388" s="24" t="s">
        <v>904</v>
      </c>
      <c r="AA388" s="11" t="s">
        <v>701</v>
      </c>
      <c r="AB388" s="13" t="str">
        <f t="shared" si="236"/>
        <v/>
      </c>
      <c r="AC388" s="11" t="s">
        <v>702</v>
      </c>
      <c r="AD388" s="11" t="str">
        <f t="shared" si="230"/>
        <v/>
      </c>
      <c r="AE388" s="11" t="s">
        <v>1022</v>
      </c>
      <c r="AF388" s="11" t="str">
        <f t="shared" si="231"/>
        <v/>
      </c>
      <c r="AG388" s="11" t="str">
        <f t="shared" si="232"/>
        <v/>
      </c>
      <c r="AH388" s="11" t="str">
        <f t="shared" si="237"/>
        <v/>
      </c>
      <c r="AI388" s="11" t="str">
        <f t="shared" si="264"/>
        <v/>
      </c>
      <c r="AJ388" s="11" t="str">
        <f t="shared" si="233"/>
        <v/>
      </c>
      <c r="AK388" s="11" t="str">
        <f t="shared" si="234"/>
        <v/>
      </c>
      <c r="AN388" s="11" t="s">
        <v>904</v>
      </c>
      <c r="AO388" s="11" t="s">
        <v>761</v>
      </c>
    </row>
    <row r="389" spans="1:41" ht="31.5">
      <c r="A389" s="11">
        <v>383</v>
      </c>
      <c r="B389" s="11" t="s">
        <v>1277</v>
      </c>
      <c r="C389" s="11" t="s">
        <v>1279</v>
      </c>
      <c r="D389" s="32"/>
      <c r="E389" s="11" t="str">
        <f t="shared" ref="E389" si="283">IF(D389="","Select ...")</f>
        <v>Select ...</v>
      </c>
      <c r="F389" s="11"/>
      <c r="G389" s="11"/>
      <c r="H389" s="11"/>
      <c r="I389" s="11"/>
      <c r="J389" s="11"/>
      <c r="K389" s="11"/>
      <c r="L389" s="11"/>
      <c r="M389" s="11" t="s">
        <v>694</v>
      </c>
      <c r="N389" s="11" t="s">
        <v>748</v>
      </c>
      <c r="O389" s="11" t="s">
        <v>464</v>
      </c>
      <c r="P389" s="11" t="s">
        <v>464</v>
      </c>
      <c r="Q389" s="11" t="s">
        <v>1280</v>
      </c>
      <c r="R389" s="11" t="str">
        <f t="shared" si="238"/>
        <v/>
      </c>
      <c r="S389" s="11" t="str">
        <f t="shared" si="239"/>
        <v/>
      </c>
      <c r="T389" s="11" t="str">
        <f t="shared" si="240"/>
        <v/>
      </c>
      <c r="U389" s="11" t="str">
        <f t="shared" si="241"/>
        <v/>
      </c>
      <c r="V389" s="11" t="str">
        <f t="shared" si="242"/>
        <v/>
      </c>
      <c r="W389" s="11" t="str">
        <f t="shared" ref="W389" si="284">IF($E389="Yes",MAX(R389:V389),"")</f>
        <v/>
      </c>
      <c r="X389" s="11" t="s">
        <v>759</v>
      </c>
      <c r="Y389" s="11" t="str">
        <f>HLOOKUP($X389,Tables_Cat!$B$6:$P$7,2,FALSE)</f>
        <v>Information</v>
      </c>
      <c r="Z389" s="24" t="s">
        <v>904</v>
      </c>
      <c r="AA389" s="11" t="s">
        <v>701</v>
      </c>
      <c r="AB389" s="13" t="str">
        <f t="shared" si="236"/>
        <v/>
      </c>
      <c r="AC389" s="11" t="s">
        <v>702</v>
      </c>
      <c r="AD389" s="11" t="str">
        <f t="shared" si="230"/>
        <v/>
      </c>
      <c r="AE389" s="11" t="s">
        <v>1281</v>
      </c>
      <c r="AF389" s="11" t="str">
        <f t="shared" si="231"/>
        <v/>
      </c>
      <c r="AG389" s="11" t="str">
        <f t="shared" si="232"/>
        <v/>
      </c>
      <c r="AH389" s="11" t="str">
        <f t="shared" si="237"/>
        <v/>
      </c>
      <c r="AI389" s="11" t="str">
        <f t="shared" si="264"/>
        <v/>
      </c>
      <c r="AJ389" s="11" t="str">
        <f t="shared" si="233"/>
        <v/>
      </c>
      <c r="AK389" s="11" t="str">
        <f t="shared" si="234"/>
        <v/>
      </c>
      <c r="AN389" s="11" t="s">
        <v>904</v>
      </c>
      <c r="AO389" s="11" t="s">
        <v>761</v>
      </c>
    </row>
    <row r="390" spans="1:41" ht="31.5">
      <c r="A390" s="11">
        <v>384</v>
      </c>
      <c r="B390" s="11" t="s">
        <v>1277</v>
      </c>
      <c r="C390" s="11" t="s">
        <v>1282</v>
      </c>
      <c r="D390" s="32"/>
      <c r="E390" s="11" t="str">
        <f t="shared" ref="E390" si="285">IF(D390="","Select ...")</f>
        <v>Select ...</v>
      </c>
      <c r="F390" s="11"/>
      <c r="G390" s="11"/>
      <c r="H390" s="11"/>
      <c r="I390" s="11"/>
      <c r="J390" s="11"/>
      <c r="K390" s="11"/>
      <c r="L390" s="11"/>
      <c r="M390" s="11" t="s">
        <v>694</v>
      </c>
      <c r="N390" s="11" t="s">
        <v>763</v>
      </c>
      <c r="O390" s="11" t="s">
        <v>464</v>
      </c>
      <c r="P390" s="11" t="s">
        <v>764</v>
      </c>
      <c r="Q390" s="11" t="s">
        <v>1280</v>
      </c>
      <c r="R390" s="11" t="str">
        <f t="shared" si="238"/>
        <v/>
      </c>
      <c r="S390" s="11" t="str">
        <f t="shared" si="239"/>
        <v/>
      </c>
      <c r="T390" s="11" t="str">
        <f t="shared" si="240"/>
        <v/>
      </c>
      <c r="U390" s="11" t="str">
        <f t="shared" si="241"/>
        <v/>
      </c>
      <c r="V390" s="11" t="str">
        <f t="shared" si="242"/>
        <v/>
      </c>
      <c r="W390" s="11" t="str">
        <f t="shared" ref="W390:W391" si="286">IF($E390="Yes",MAX(R390:V390),"")</f>
        <v/>
      </c>
      <c r="X390" s="11" t="s">
        <v>741</v>
      </c>
      <c r="Y390" s="11" t="str">
        <f>HLOOKUP($X390,Tables_Cat!$B$6:$P$7,2,FALSE)</f>
        <v>Material</v>
      </c>
      <c r="Z390" s="24" t="s">
        <v>904</v>
      </c>
      <c r="AA390" s="11" t="s">
        <v>765</v>
      </c>
      <c r="AB390" s="13" t="str">
        <f t="shared" si="236"/>
        <v/>
      </c>
      <c r="AC390" s="11" t="s">
        <v>702</v>
      </c>
      <c r="AD390" s="11" t="str">
        <f t="shared" si="230"/>
        <v/>
      </c>
      <c r="AE390" s="11" t="s">
        <v>1281</v>
      </c>
      <c r="AF390" s="11" t="str">
        <f t="shared" si="231"/>
        <v/>
      </c>
      <c r="AG390" s="11" t="str">
        <f t="shared" si="232"/>
        <v/>
      </c>
      <c r="AH390" s="11" t="str">
        <f t="shared" si="237"/>
        <v/>
      </c>
      <c r="AI390" s="11" t="str">
        <f t="shared" si="264"/>
        <v/>
      </c>
      <c r="AJ390" s="11" t="str">
        <f t="shared" si="233"/>
        <v/>
      </c>
      <c r="AK390" s="11" t="str">
        <f t="shared" si="234"/>
        <v/>
      </c>
      <c r="AN390" s="11" t="s">
        <v>904</v>
      </c>
      <c r="AO390" s="11" t="s">
        <v>766</v>
      </c>
    </row>
    <row r="391" spans="1:41" ht="47.25">
      <c r="A391" s="11">
        <v>385</v>
      </c>
      <c r="B391" s="11" t="s">
        <v>767</v>
      </c>
      <c r="C391" s="11" t="s">
        <v>1283</v>
      </c>
      <c r="D391" s="32"/>
      <c r="E391" s="11" t="s">
        <v>4</v>
      </c>
      <c r="F391" s="11">
        <v>1.5</v>
      </c>
      <c r="G391" s="11">
        <v>1</v>
      </c>
      <c r="H391" s="11">
        <f>A390</f>
        <v>384</v>
      </c>
      <c r="I391" s="11"/>
      <c r="J391" s="11"/>
      <c r="K391" s="11"/>
      <c r="L391" s="11"/>
      <c r="M391" s="11" t="s">
        <v>694</v>
      </c>
      <c r="N391" s="11" t="s">
        <v>769</v>
      </c>
      <c r="O391" s="11" t="s">
        <v>464</v>
      </c>
      <c r="P391" s="11" t="s">
        <v>764</v>
      </c>
      <c r="Q391" s="11" t="s">
        <v>770</v>
      </c>
      <c r="R391" s="11" t="str">
        <f t="shared" ref="R391:R454" si="287">IF(OR(H391="INIT",H391&gt;0),IF(AND($E391="Yes",VLOOKUP(H391,$A$6:$E$461,5,FALSE)="Yes"),VLOOKUP(H391,$A$6:$W$461,23,FALSE)+VLOOKUP(H391,$A$6:$F$461,6,FALSE),""),"")</f>
        <v/>
      </c>
      <c r="S391" s="11" t="str">
        <f t="shared" ref="S391:S454" si="288">IF(OR(I391="INIT",I391&gt;0),IF(AND($E391="Yes",VLOOKUP(I391,$A$6:$E$461,5,FALSE)="Yes"),VLOOKUP(I391,$A$6:$W$461,23,FALSE)+VLOOKUP(I391,$A$6:$F$461,6,FALSE),""),"")</f>
        <v/>
      </c>
      <c r="T391" s="11" t="str">
        <f t="shared" ref="T391:T454" si="289">IF(OR(J391="INIT",J391&gt;0),IF(AND($E391="Yes",VLOOKUP(J391,$A$6:$E$461,5,FALSE)="Yes"),VLOOKUP(J391,$A$6:$W$461,23,FALSE)+VLOOKUP(J391,$A$6:$F$461,6,FALSE),""),"")</f>
        <v/>
      </c>
      <c r="U391" s="11" t="str">
        <f t="shared" ref="U391:U454" si="290">IF(OR(K391="INIT",K391&gt;0),IF(AND($E391="Yes",VLOOKUP(K391,$A$6:$E$461,5,FALSE)="Yes"),VLOOKUP(K391,$A$6:$W$461,23,FALSE)+VLOOKUP(K391,$A$6:$F$461,6,FALSE),""),"")</f>
        <v/>
      </c>
      <c r="V391" s="11" t="str">
        <f t="shared" ref="V391:V454" si="291">IF(OR(L391="INIT",L391&gt;0),IF(AND($E391="Yes",VLOOKUP(L391,$A$6:$E$461,5,FALSE)="Yes"),VLOOKUP(L391,$A$6:$W$461,23,FALSE)+VLOOKUP(L391,$A$6:$F$461,6,FALSE),""),"")</f>
        <v/>
      </c>
      <c r="W391" s="11" t="str">
        <f t="shared" si="286"/>
        <v/>
      </c>
      <c r="X391" s="11" t="s">
        <v>771</v>
      </c>
      <c r="Y391" s="11" t="str">
        <f>HLOOKUP($X391,Tables_Cat!$B$6:$P$7,2,FALSE)</f>
        <v>Material</v>
      </c>
      <c r="Z391" s="24" t="s">
        <v>709</v>
      </c>
      <c r="AA391" s="11" t="s">
        <v>765</v>
      </c>
      <c r="AB391" s="13" t="str">
        <f t="shared" si="236"/>
        <v/>
      </c>
      <c r="AC391" s="11" t="s">
        <v>702</v>
      </c>
      <c r="AD391" s="11" t="str">
        <f t="shared" si="230"/>
        <v/>
      </c>
      <c r="AE391" s="11" t="s">
        <v>772</v>
      </c>
      <c r="AF391" s="11" t="str">
        <f t="shared" si="231"/>
        <v/>
      </c>
      <c r="AG391" s="11" t="str">
        <f t="shared" si="232"/>
        <v/>
      </c>
      <c r="AH391" s="11" t="str">
        <f t="shared" si="237"/>
        <v/>
      </c>
      <c r="AI391" s="11" t="str">
        <f t="shared" si="264"/>
        <v/>
      </c>
      <c r="AJ391" s="11" t="str">
        <f t="shared" si="233"/>
        <v/>
      </c>
      <c r="AK391" s="11" t="str">
        <f t="shared" si="234"/>
        <v/>
      </c>
      <c r="AN391" s="11" t="s">
        <v>904</v>
      </c>
      <c r="AO391" s="11" t="s">
        <v>766</v>
      </c>
    </row>
    <row r="392" spans="1:41" ht="47.25">
      <c r="A392" s="11">
        <v>386</v>
      </c>
      <c r="B392" s="11" t="s">
        <v>1277</v>
      </c>
      <c r="C392" s="11" t="s">
        <v>1284</v>
      </c>
      <c r="D392" s="32"/>
      <c r="E392" s="11" t="str">
        <f t="shared" ref="E392" si="292">IF(D392="","Select ...")</f>
        <v>Select ...</v>
      </c>
      <c r="F392" s="11"/>
      <c r="G392" s="11"/>
      <c r="H392" s="11"/>
      <c r="I392" s="11"/>
      <c r="J392" s="11"/>
      <c r="K392" s="11"/>
      <c r="L392" s="11"/>
      <c r="M392" s="11" t="s">
        <v>750</v>
      </c>
      <c r="N392" s="11" t="s">
        <v>781</v>
      </c>
      <c r="O392" s="11" t="s">
        <v>464</v>
      </c>
      <c r="P392" s="11" t="s">
        <v>464</v>
      </c>
      <c r="Q392" s="11" t="s">
        <v>1280</v>
      </c>
      <c r="R392" s="11" t="str">
        <f t="shared" si="287"/>
        <v/>
      </c>
      <c r="S392" s="11" t="str">
        <f t="shared" si="288"/>
        <v/>
      </c>
      <c r="T392" s="11" t="str">
        <f t="shared" si="289"/>
        <v/>
      </c>
      <c r="U392" s="11" t="str">
        <f t="shared" si="290"/>
        <v/>
      </c>
      <c r="V392" s="11" t="str">
        <f t="shared" si="291"/>
        <v/>
      </c>
      <c r="W392" s="11" t="str">
        <f t="shared" ref="W392" si="293">IF($E392="Yes",MAX(R392:V392),"")</f>
        <v/>
      </c>
      <c r="X392" s="11" t="s">
        <v>1007</v>
      </c>
      <c r="Y392" s="11" t="str">
        <f>HLOOKUP($X392,Tables_Cat!$B$6:$P$7,2,FALSE)</f>
        <v>Information</v>
      </c>
      <c r="Z392" s="24" t="s">
        <v>904</v>
      </c>
      <c r="AA392" s="11" t="s">
        <v>751</v>
      </c>
      <c r="AB392" s="13" t="str">
        <f t="shared" si="236"/>
        <v/>
      </c>
      <c r="AC392" s="11" t="s">
        <v>1008</v>
      </c>
      <c r="AD392" s="11" t="str">
        <f t="shared" si="230"/>
        <v/>
      </c>
      <c r="AE392" s="11" t="s">
        <v>1281</v>
      </c>
      <c r="AF392" s="11" t="str">
        <f t="shared" si="231"/>
        <v/>
      </c>
      <c r="AG392" s="11" t="str">
        <f t="shared" si="232"/>
        <v/>
      </c>
      <c r="AH392" s="11" t="str">
        <f t="shared" si="237"/>
        <v/>
      </c>
      <c r="AI392" s="11" t="str">
        <f t="shared" si="264"/>
        <v/>
      </c>
      <c r="AJ392" s="11" t="str">
        <f t="shared" si="233"/>
        <v/>
      </c>
      <c r="AK392" s="11" t="str">
        <f t="shared" si="234"/>
        <v/>
      </c>
      <c r="AN392" s="11" t="s">
        <v>904</v>
      </c>
      <c r="AO392" s="11" t="s">
        <v>924</v>
      </c>
    </row>
    <row r="393" spans="1:41" ht="47.25">
      <c r="A393" s="11">
        <v>387</v>
      </c>
      <c r="B393" s="11" t="s">
        <v>1277</v>
      </c>
      <c r="C393" s="11" t="s">
        <v>1285</v>
      </c>
      <c r="D393" s="32"/>
      <c r="E393" s="11" t="str">
        <f t="shared" ref="E393:E396" si="294">IF(D393="","Select ...")</f>
        <v>Select ...</v>
      </c>
      <c r="F393" s="11"/>
      <c r="G393" s="11"/>
      <c r="H393" s="11"/>
      <c r="I393" s="11"/>
      <c r="J393" s="11"/>
      <c r="K393" s="11"/>
      <c r="L393" s="11"/>
      <c r="M393" s="11" t="s">
        <v>750</v>
      </c>
      <c r="N393" s="11" t="s">
        <v>787</v>
      </c>
      <c r="O393" s="11" t="s">
        <v>464</v>
      </c>
      <c r="P393" s="11" t="s">
        <v>464</v>
      </c>
      <c r="Q393" s="11" t="s">
        <v>1280</v>
      </c>
      <c r="R393" s="11" t="str">
        <f t="shared" si="287"/>
        <v/>
      </c>
      <c r="S393" s="11" t="str">
        <f t="shared" si="288"/>
        <v/>
      </c>
      <c r="T393" s="11" t="str">
        <f t="shared" si="289"/>
        <v/>
      </c>
      <c r="U393" s="11" t="str">
        <f t="shared" si="290"/>
        <v/>
      </c>
      <c r="V393" s="11" t="str">
        <f t="shared" si="291"/>
        <v/>
      </c>
      <c r="W393" s="11" t="str">
        <f t="shared" ref="W393:W396" si="295">IF($E393="Yes",MAX(R393:V393),"")</f>
        <v/>
      </c>
      <c r="X393" s="11" t="s">
        <v>1007</v>
      </c>
      <c r="Y393" s="11" t="str">
        <f>HLOOKUP($X393,Tables_Cat!$B$6:$P$7,2,FALSE)</f>
        <v>Information</v>
      </c>
      <c r="Z393" s="24" t="s">
        <v>904</v>
      </c>
      <c r="AA393" s="11" t="s">
        <v>751</v>
      </c>
      <c r="AB393" s="13" t="str">
        <f t="shared" si="236"/>
        <v/>
      </c>
      <c r="AC393" s="11" t="s">
        <v>1008</v>
      </c>
      <c r="AD393" s="11" t="str">
        <f t="shared" si="230"/>
        <v/>
      </c>
      <c r="AE393" s="11" t="s">
        <v>1281</v>
      </c>
      <c r="AF393" s="11" t="str">
        <f t="shared" si="231"/>
        <v/>
      </c>
      <c r="AG393" s="11" t="str">
        <f t="shared" si="232"/>
        <v/>
      </c>
      <c r="AH393" s="11" t="str">
        <f t="shared" si="237"/>
        <v/>
      </c>
      <c r="AI393" s="11" t="str">
        <f t="shared" si="264"/>
        <v/>
      </c>
      <c r="AJ393" s="11" t="str">
        <f t="shared" si="233"/>
        <v/>
      </c>
      <c r="AK393" s="11" t="str">
        <f t="shared" si="234"/>
        <v/>
      </c>
      <c r="AN393" s="11" t="s">
        <v>904</v>
      </c>
      <c r="AO393" s="11" t="s">
        <v>924</v>
      </c>
    </row>
    <row r="394" spans="1:41" ht="47.25">
      <c r="A394" s="11">
        <v>388</v>
      </c>
      <c r="B394" s="11" t="s">
        <v>1277</v>
      </c>
      <c r="C394" s="11" t="s">
        <v>1286</v>
      </c>
      <c r="D394" s="32"/>
      <c r="E394" s="11" t="str">
        <f t="shared" si="294"/>
        <v>Select ...</v>
      </c>
      <c r="F394" s="11"/>
      <c r="G394" s="11"/>
      <c r="H394" s="11"/>
      <c r="I394" s="11"/>
      <c r="J394" s="11"/>
      <c r="K394" s="11"/>
      <c r="L394" s="11"/>
      <c r="M394" s="11" t="s">
        <v>750</v>
      </c>
      <c r="N394" s="11" t="s">
        <v>781</v>
      </c>
      <c r="O394" s="11" t="s">
        <v>464</v>
      </c>
      <c r="P394" s="11" t="s">
        <v>464</v>
      </c>
      <c r="Q394" s="11" t="s">
        <v>1280</v>
      </c>
      <c r="R394" s="11" t="str">
        <f t="shared" si="287"/>
        <v/>
      </c>
      <c r="S394" s="11" t="str">
        <f t="shared" si="288"/>
        <v/>
      </c>
      <c r="T394" s="11" t="str">
        <f t="shared" si="289"/>
        <v/>
      </c>
      <c r="U394" s="11" t="str">
        <f t="shared" si="290"/>
        <v/>
      </c>
      <c r="V394" s="11" t="str">
        <f t="shared" si="291"/>
        <v/>
      </c>
      <c r="W394" s="11" t="str">
        <f t="shared" si="295"/>
        <v/>
      </c>
      <c r="X394" s="11" t="s">
        <v>1007</v>
      </c>
      <c r="Y394" s="11" t="str">
        <f>HLOOKUP($X394,Tables_Cat!$B$6:$P$7,2,FALSE)</f>
        <v>Information</v>
      </c>
      <c r="Z394" s="24" t="s">
        <v>904</v>
      </c>
      <c r="AA394" s="11" t="s">
        <v>751</v>
      </c>
      <c r="AB394" s="13" t="str">
        <f t="shared" si="236"/>
        <v/>
      </c>
      <c r="AC394" s="11" t="s">
        <v>971</v>
      </c>
      <c r="AD394" s="11" t="str">
        <f t="shared" si="230"/>
        <v/>
      </c>
      <c r="AE394" s="11" t="s">
        <v>1281</v>
      </c>
      <c r="AF394" s="11" t="str">
        <f t="shared" si="231"/>
        <v/>
      </c>
      <c r="AG394" s="11" t="str">
        <f t="shared" si="232"/>
        <v/>
      </c>
      <c r="AH394" s="11" t="str">
        <f t="shared" si="237"/>
        <v/>
      </c>
      <c r="AI394" s="11" t="str">
        <f t="shared" si="264"/>
        <v/>
      </c>
      <c r="AJ394" s="11" t="str">
        <f t="shared" si="233"/>
        <v/>
      </c>
      <c r="AK394" s="11" t="str">
        <f t="shared" si="234"/>
        <v/>
      </c>
      <c r="AN394" s="11" t="s">
        <v>904</v>
      </c>
      <c r="AO394" s="11" t="s">
        <v>924</v>
      </c>
    </row>
    <row r="395" spans="1:41" ht="47.25">
      <c r="A395" s="11">
        <v>389</v>
      </c>
      <c r="B395" s="11" t="s">
        <v>1277</v>
      </c>
      <c r="C395" s="11" t="s">
        <v>1287</v>
      </c>
      <c r="D395" s="32"/>
      <c r="E395" s="11" t="str">
        <f t="shared" ref="E395" si="296">IF(D395="","Select ...")</f>
        <v>Select ...</v>
      </c>
      <c r="F395" s="11"/>
      <c r="G395" s="11"/>
      <c r="H395" s="11"/>
      <c r="I395" s="11"/>
      <c r="J395" s="11"/>
      <c r="K395" s="11"/>
      <c r="L395" s="11"/>
      <c r="M395" s="11" t="s">
        <v>750</v>
      </c>
      <c r="N395" s="11" t="s">
        <v>787</v>
      </c>
      <c r="O395" s="11" t="s">
        <v>464</v>
      </c>
      <c r="P395" s="11" t="s">
        <v>464</v>
      </c>
      <c r="Q395" s="11" t="s">
        <v>1280</v>
      </c>
      <c r="R395" s="11" t="str">
        <f t="shared" si="287"/>
        <v/>
      </c>
      <c r="S395" s="11" t="str">
        <f t="shared" si="288"/>
        <v/>
      </c>
      <c r="T395" s="11" t="str">
        <f t="shared" si="289"/>
        <v/>
      </c>
      <c r="U395" s="11" t="str">
        <f t="shared" si="290"/>
        <v/>
      </c>
      <c r="V395" s="11" t="str">
        <f t="shared" si="291"/>
        <v/>
      </c>
      <c r="W395" s="11" t="str">
        <f t="shared" ref="W395" si="297">IF($E395="Yes",MAX(R395:V395),"")</f>
        <v/>
      </c>
      <c r="X395" s="11" t="s">
        <v>1007</v>
      </c>
      <c r="Y395" s="11" t="str">
        <f>HLOOKUP($X395,Tables_Cat!$B$6:$P$7,2,FALSE)</f>
        <v>Information</v>
      </c>
      <c r="Z395" s="24" t="s">
        <v>904</v>
      </c>
      <c r="AA395" s="11" t="s">
        <v>751</v>
      </c>
      <c r="AB395" s="13" t="str">
        <f t="shared" si="236"/>
        <v/>
      </c>
      <c r="AC395" s="11" t="s">
        <v>971</v>
      </c>
      <c r="AD395" s="11" t="str">
        <f t="shared" si="230"/>
        <v/>
      </c>
      <c r="AE395" s="11" t="s">
        <v>1281</v>
      </c>
      <c r="AF395" s="11" t="str">
        <f t="shared" si="231"/>
        <v/>
      </c>
      <c r="AG395" s="11" t="str">
        <f t="shared" si="232"/>
        <v/>
      </c>
      <c r="AH395" s="11" t="str">
        <f t="shared" si="237"/>
        <v/>
      </c>
      <c r="AI395" s="11" t="str">
        <f t="shared" si="264"/>
        <v/>
      </c>
      <c r="AJ395" s="11" t="str">
        <f t="shared" si="233"/>
        <v/>
      </c>
      <c r="AK395" s="11" t="str">
        <f t="shared" si="234"/>
        <v/>
      </c>
      <c r="AN395" s="11" t="s">
        <v>904</v>
      </c>
      <c r="AO395" s="11" t="s">
        <v>924</v>
      </c>
    </row>
    <row r="396" spans="1:41" ht="31.5">
      <c r="A396" s="11">
        <v>390</v>
      </c>
      <c r="B396" s="11" t="s">
        <v>1277</v>
      </c>
      <c r="C396" s="11" t="s">
        <v>1288</v>
      </c>
      <c r="D396" s="32"/>
      <c r="E396" s="11" t="str">
        <f t="shared" si="294"/>
        <v>Select ...</v>
      </c>
      <c r="F396" s="11"/>
      <c r="G396" s="11"/>
      <c r="H396" s="11"/>
      <c r="I396" s="11"/>
      <c r="J396" s="11"/>
      <c r="K396" s="11"/>
      <c r="L396" s="11"/>
      <c r="M396" s="11" t="s">
        <v>750</v>
      </c>
      <c r="N396" s="11" t="s">
        <v>781</v>
      </c>
      <c r="O396" s="11" t="s">
        <v>464</v>
      </c>
      <c r="P396" s="11" t="s">
        <v>464</v>
      </c>
      <c r="Q396" s="11" t="s">
        <v>1280</v>
      </c>
      <c r="R396" s="11" t="str">
        <f t="shared" si="287"/>
        <v/>
      </c>
      <c r="S396" s="11" t="str">
        <f t="shared" si="288"/>
        <v/>
      </c>
      <c r="T396" s="11" t="str">
        <f t="shared" si="289"/>
        <v/>
      </c>
      <c r="U396" s="11" t="str">
        <f t="shared" si="290"/>
        <v/>
      </c>
      <c r="V396" s="11" t="str">
        <f t="shared" si="291"/>
        <v/>
      </c>
      <c r="W396" s="11" t="str">
        <f t="shared" si="295"/>
        <v/>
      </c>
      <c r="X396" s="11" t="s">
        <v>1007</v>
      </c>
      <c r="Y396" s="11" t="str">
        <f>HLOOKUP($X396,Tables_Cat!$B$6:$P$7,2,FALSE)</f>
        <v>Information</v>
      </c>
      <c r="Z396" s="24" t="s">
        <v>904</v>
      </c>
      <c r="AA396" s="11" t="s">
        <v>751</v>
      </c>
      <c r="AB396" s="13" t="str">
        <f t="shared" si="236"/>
        <v/>
      </c>
      <c r="AC396" s="11" t="s">
        <v>922</v>
      </c>
      <c r="AD396" s="11" t="str">
        <f t="shared" si="230"/>
        <v/>
      </c>
      <c r="AE396" s="11" t="s">
        <v>1281</v>
      </c>
      <c r="AF396" s="11" t="str">
        <f t="shared" si="231"/>
        <v/>
      </c>
      <c r="AG396" s="11" t="str">
        <f t="shared" si="232"/>
        <v/>
      </c>
      <c r="AH396" s="11" t="str">
        <f t="shared" si="237"/>
        <v/>
      </c>
      <c r="AI396" s="11" t="str">
        <f t="shared" si="264"/>
        <v/>
      </c>
      <c r="AJ396" s="11" t="str">
        <f t="shared" si="233"/>
        <v/>
      </c>
      <c r="AK396" s="11" t="str">
        <f t="shared" si="234"/>
        <v/>
      </c>
      <c r="AN396" s="11" t="s">
        <v>904</v>
      </c>
      <c r="AO396" s="11" t="s">
        <v>924</v>
      </c>
    </row>
    <row r="397" spans="1:41" ht="31.5">
      <c r="A397" s="11">
        <v>391</v>
      </c>
      <c r="B397" s="11" t="s">
        <v>1277</v>
      </c>
      <c r="C397" s="11" t="s">
        <v>1289</v>
      </c>
      <c r="D397" s="32"/>
      <c r="E397" s="11" t="str">
        <f t="shared" ref="E397" si="298">IF(D397="","Select ...")</f>
        <v>Select ...</v>
      </c>
      <c r="F397" s="11"/>
      <c r="G397" s="11"/>
      <c r="H397" s="11"/>
      <c r="I397" s="11"/>
      <c r="J397" s="11"/>
      <c r="K397" s="11"/>
      <c r="L397" s="11"/>
      <c r="M397" s="11" t="s">
        <v>750</v>
      </c>
      <c r="N397" s="11" t="s">
        <v>787</v>
      </c>
      <c r="O397" s="11" t="s">
        <v>464</v>
      </c>
      <c r="P397" s="11" t="s">
        <v>464</v>
      </c>
      <c r="Q397" s="11" t="s">
        <v>1280</v>
      </c>
      <c r="R397" s="11" t="str">
        <f t="shared" si="287"/>
        <v/>
      </c>
      <c r="S397" s="11" t="str">
        <f t="shared" si="288"/>
        <v/>
      </c>
      <c r="T397" s="11" t="str">
        <f t="shared" si="289"/>
        <v/>
      </c>
      <c r="U397" s="11" t="str">
        <f t="shared" si="290"/>
        <v/>
      </c>
      <c r="V397" s="11" t="str">
        <f t="shared" si="291"/>
        <v/>
      </c>
      <c r="W397" s="11" t="str">
        <f t="shared" ref="W397" si="299">IF($E397="Yes",MAX(R397:V397),"")</f>
        <v/>
      </c>
      <c r="X397" s="11" t="s">
        <v>1007</v>
      </c>
      <c r="Y397" s="11" t="str">
        <f>HLOOKUP($X397,Tables_Cat!$B$6:$P$7,2,FALSE)</f>
        <v>Information</v>
      </c>
      <c r="Z397" s="24" t="s">
        <v>904</v>
      </c>
      <c r="AA397" s="11" t="s">
        <v>751</v>
      </c>
      <c r="AB397" s="13" t="str">
        <f t="shared" si="236"/>
        <v/>
      </c>
      <c r="AC397" s="11" t="s">
        <v>922</v>
      </c>
      <c r="AD397" s="11" t="str">
        <f t="shared" si="230"/>
        <v/>
      </c>
      <c r="AE397" s="11" t="s">
        <v>1281</v>
      </c>
      <c r="AF397" s="11" t="str">
        <f t="shared" si="231"/>
        <v/>
      </c>
      <c r="AG397" s="11" t="str">
        <f t="shared" si="232"/>
        <v/>
      </c>
      <c r="AH397" s="11" t="str">
        <f t="shared" si="237"/>
        <v/>
      </c>
      <c r="AI397" s="11" t="str">
        <f t="shared" si="264"/>
        <v/>
      </c>
      <c r="AJ397" s="11" t="str">
        <f t="shared" si="233"/>
        <v/>
      </c>
      <c r="AK397" s="11" t="str">
        <f t="shared" si="234"/>
        <v/>
      </c>
      <c r="AN397" s="11" t="s">
        <v>904</v>
      </c>
      <c r="AO397" s="11" t="s">
        <v>924</v>
      </c>
    </row>
    <row r="398" spans="1:41" ht="31.5">
      <c r="A398" s="11">
        <v>392</v>
      </c>
      <c r="B398" s="11" t="s">
        <v>1277</v>
      </c>
      <c r="C398" s="11" t="s">
        <v>1290</v>
      </c>
      <c r="D398" s="32"/>
      <c r="E398" s="11" t="str">
        <f t="shared" ref="E398" si="300">IF(D398="","Select ...")</f>
        <v>Select ...</v>
      </c>
      <c r="F398" s="11"/>
      <c r="G398" s="11"/>
      <c r="H398" s="11"/>
      <c r="I398" s="11"/>
      <c r="J398" s="11"/>
      <c r="K398" s="11"/>
      <c r="L398" s="11"/>
      <c r="M398" s="11" t="s">
        <v>750</v>
      </c>
      <c r="N398" s="11" t="s">
        <v>763</v>
      </c>
      <c r="O398" s="11" t="s">
        <v>464</v>
      </c>
      <c r="P398" s="11" t="s">
        <v>464</v>
      </c>
      <c r="Q398" s="11" t="s">
        <v>1280</v>
      </c>
      <c r="R398" s="11" t="str">
        <f t="shared" si="287"/>
        <v/>
      </c>
      <c r="S398" s="11" t="str">
        <f t="shared" si="288"/>
        <v/>
      </c>
      <c r="T398" s="11" t="str">
        <f t="shared" si="289"/>
        <v/>
      </c>
      <c r="U398" s="11" t="str">
        <f t="shared" si="290"/>
        <v/>
      </c>
      <c r="V398" s="11" t="str">
        <f t="shared" si="291"/>
        <v/>
      </c>
      <c r="W398" s="11" t="str">
        <f t="shared" ref="W398" si="301">IF($E398="Yes",MAX(R398:V398),"")</f>
        <v/>
      </c>
      <c r="X398" s="11" t="s">
        <v>1007</v>
      </c>
      <c r="Y398" s="11" t="str">
        <f>HLOOKUP($X398,Tables_Cat!$B$6:$P$7,2,FALSE)</f>
        <v>Information</v>
      </c>
      <c r="Z398" s="24" t="s">
        <v>904</v>
      </c>
      <c r="AA398" s="11" t="s">
        <v>751</v>
      </c>
      <c r="AB398" s="13" t="str">
        <f t="shared" si="236"/>
        <v/>
      </c>
      <c r="AC398" s="11" t="s">
        <v>1012</v>
      </c>
      <c r="AD398" s="11" t="str">
        <f t="shared" si="230"/>
        <v/>
      </c>
      <c r="AE398" s="11" t="s">
        <v>1281</v>
      </c>
      <c r="AF398" s="11" t="str">
        <f t="shared" si="231"/>
        <v/>
      </c>
      <c r="AG398" s="11" t="str">
        <f t="shared" si="232"/>
        <v/>
      </c>
      <c r="AH398" s="11" t="str">
        <f t="shared" si="237"/>
        <v/>
      </c>
      <c r="AI398" s="11" t="str">
        <f t="shared" si="264"/>
        <v/>
      </c>
      <c r="AJ398" s="11" t="str">
        <f t="shared" si="233"/>
        <v/>
      </c>
      <c r="AK398" s="11" t="str">
        <f t="shared" si="234"/>
        <v/>
      </c>
      <c r="AN398" s="11" t="s">
        <v>904</v>
      </c>
      <c r="AO398" s="11" t="s">
        <v>924</v>
      </c>
    </row>
    <row r="399" spans="1:41" ht="31.5">
      <c r="A399" s="11">
        <v>393</v>
      </c>
      <c r="B399" s="11" t="s">
        <v>1277</v>
      </c>
      <c r="C399" s="11" t="s">
        <v>1291</v>
      </c>
      <c r="D399" s="32"/>
      <c r="E399" s="11" t="str">
        <f t="shared" ref="E399:E400" si="302">IF(D399="","Select ...")</f>
        <v>Select ...</v>
      </c>
      <c r="F399" s="11"/>
      <c r="G399" s="11"/>
      <c r="H399" s="11"/>
      <c r="I399" s="11"/>
      <c r="J399" s="11"/>
      <c r="K399" s="11"/>
      <c r="L399" s="11"/>
      <c r="M399" s="11" t="s">
        <v>750</v>
      </c>
      <c r="N399" s="11" t="s">
        <v>763</v>
      </c>
      <c r="O399" s="11" t="s">
        <v>464</v>
      </c>
      <c r="P399" s="11" t="s">
        <v>464</v>
      </c>
      <c r="Q399" s="11" t="s">
        <v>1280</v>
      </c>
      <c r="R399" s="11" t="str">
        <f t="shared" si="287"/>
        <v/>
      </c>
      <c r="S399" s="11" t="str">
        <f t="shared" si="288"/>
        <v/>
      </c>
      <c r="T399" s="11" t="str">
        <f t="shared" si="289"/>
        <v/>
      </c>
      <c r="U399" s="11" t="str">
        <f t="shared" si="290"/>
        <v/>
      </c>
      <c r="V399" s="11" t="str">
        <f t="shared" si="291"/>
        <v/>
      </c>
      <c r="W399" s="11" t="str">
        <f t="shared" ref="W399:W400" si="303">IF($E399="Yes",MAX(R399:V399),"")</f>
        <v/>
      </c>
      <c r="X399" s="11" t="s">
        <v>1007</v>
      </c>
      <c r="Y399" s="11" t="str">
        <f>HLOOKUP($X399,Tables_Cat!$B$6:$P$7,2,FALSE)</f>
        <v>Information</v>
      </c>
      <c r="Z399" s="24" t="s">
        <v>904</v>
      </c>
      <c r="AA399" s="11" t="s">
        <v>751</v>
      </c>
      <c r="AB399" s="13" t="str">
        <f t="shared" si="236"/>
        <v/>
      </c>
      <c r="AC399" s="11" t="s">
        <v>922</v>
      </c>
      <c r="AD399" s="11" t="str">
        <f t="shared" si="230"/>
        <v/>
      </c>
      <c r="AE399" s="11" t="s">
        <v>1281</v>
      </c>
      <c r="AF399" s="11" t="str">
        <f t="shared" si="231"/>
        <v/>
      </c>
      <c r="AG399" s="11" t="str">
        <f t="shared" si="232"/>
        <v/>
      </c>
      <c r="AH399" s="11" t="str">
        <f t="shared" si="237"/>
        <v/>
      </c>
      <c r="AI399" s="11" t="str">
        <f t="shared" si="264"/>
        <v/>
      </c>
      <c r="AJ399" s="11" t="str">
        <f t="shared" si="233"/>
        <v/>
      </c>
      <c r="AK399" s="11" t="str">
        <f t="shared" si="234"/>
        <v/>
      </c>
      <c r="AN399" s="11" t="s">
        <v>904</v>
      </c>
      <c r="AO399" s="11" t="s">
        <v>924</v>
      </c>
    </row>
    <row r="400" spans="1:41" ht="31.5">
      <c r="A400" s="11">
        <v>394</v>
      </c>
      <c r="B400" s="11" t="s">
        <v>1277</v>
      </c>
      <c r="C400" s="11" t="s">
        <v>1292</v>
      </c>
      <c r="D400" s="32"/>
      <c r="E400" s="11" t="str">
        <f t="shared" si="302"/>
        <v>Select ...</v>
      </c>
      <c r="F400" s="11"/>
      <c r="G400" s="11"/>
      <c r="H400" s="11"/>
      <c r="I400" s="11"/>
      <c r="J400" s="11"/>
      <c r="K400" s="11"/>
      <c r="L400" s="11"/>
      <c r="M400" s="11" t="s">
        <v>750</v>
      </c>
      <c r="N400" s="11" t="s">
        <v>763</v>
      </c>
      <c r="O400" s="11" t="s">
        <v>464</v>
      </c>
      <c r="P400" s="11" t="s">
        <v>464</v>
      </c>
      <c r="Q400" s="11" t="s">
        <v>1280</v>
      </c>
      <c r="R400" s="11" t="str">
        <f t="shared" si="287"/>
        <v/>
      </c>
      <c r="S400" s="11" t="str">
        <f t="shared" si="288"/>
        <v/>
      </c>
      <c r="T400" s="11" t="str">
        <f t="shared" si="289"/>
        <v/>
      </c>
      <c r="U400" s="11" t="str">
        <f t="shared" si="290"/>
        <v/>
      </c>
      <c r="V400" s="11" t="str">
        <f t="shared" si="291"/>
        <v/>
      </c>
      <c r="W400" s="11" t="str">
        <f t="shared" si="303"/>
        <v/>
      </c>
      <c r="X400" s="11" t="s">
        <v>1007</v>
      </c>
      <c r="Y400" s="11" t="str">
        <f>HLOOKUP($X400,Tables_Cat!$B$6:$P$7,2,FALSE)</f>
        <v>Information</v>
      </c>
      <c r="Z400" s="24" t="s">
        <v>904</v>
      </c>
      <c r="AA400" s="11" t="s">
        <v>751</v>
      </c>
      <c r="AB400" s="13" t="str">
        <f t="shared" si="236"/>
        <v/>
      </c>
      <c r="AC400" s="11" t="s">
        <v>1012</v>
      </c>
      <c r="AD400" s="11" t="str">
        <f t="shared" si="230"/>
        <v/>
      </c>
      <c r="AE400" s="11" t="s">
        <v>1281</v>
      </c>
      <c r="AF400" s="11" t="str">
        <f t="shared" si="231"/>
        <v/>
      </c>
      <c r="AG400" s="11" t="str">
        <f t="shared" si="232"/>
        <v/>
      </c>
      <c r="AH400" s="11" t="str">
        <f t="shared" si="237"/>
        <v/>
      </c>
      <c r="AI400" s="11" t="str">
        <f t="shared" si="264"/>
        <v/>
      </c>
      <c r="AJ400" s="11" t="str">
        <f t="shared" si="233"/>
        <v/>
      </c>
      <c r="AK400" s="11" t="str">
        <f t="shared" si="234"/>
        <v/>
      </c>
      <c r="AN400" s="11" t="s">
        <v>904</v>
      </c>
      <c r="AO400" s="11" t="s">
        <v>924</v>
      </c>
    </row>
    <row r="401" spans="1:41" ht="31.5">
      <c r="A401" s="11">
        <v>395</v>
      </c>
      <c r="B401" s="11" t="s">
        <v>1277</v>
      </c>
      <c r="C401" s="11" t="s">
        <v>1293</v>
      </c>
      <c r="D401" s="32"/>
      <c r="E401" s="11" t="str">
        <f t="shared" ref="E401" si="304">IF(D401="","Select ...")</f>
        <v>Select ...</v>
      </c>
      <c r="F401" s="11"/>
      <c r="G401" s="11"/>
      <c r="H401" s="11"/>
      <c r="I401" s="11"/>
      <c r="J401" s="11"/>
      <c r="K401" s="11"/>
      <c r="L401" s="11"/>
      <c r="M401" s="11" t="s">
        <v>750</v>
      </c>
      <c r="N401" s="11" t="s">
        <v>763</v>
      </c>
      <c r="O401" s="11" t="s">
        <v>464</v>
      </c>
      <c r="P401" s="11" t="s">
        <v>464</v>
      </c>
      <c r="Q401" s="11" t="s">
        <v>1280</v>
      </c>
      <c r="R401" s="11" t="str">
        <f t="shared" si="287"/>
        <v/>
      </c>
      <c r="S401" s="11" t="str">
        <f t="shared" si="288"/>
        <v/>
      </c>
      <c r="T401" s="11" t="str">
        <f t="shared" si="289"/>
        <v/>
      </c>
      <c r="U401" s="11" t="str">
        <f t="shared" si="290"/>
        <v/>
      </c>
      <c r="V401" s="11" t="str">
        <f t="shared" si="291"/>
        <v/>
      </c>
      <c r="W401" s="11" t="str">
        <f t="shared" ref="W401:W402" si="305">IF($E401="Yes",MAX(R401:V401),"")</f>
        <v/>
      </c>
      <c r="X401" s="11" t="s">
        <v>1007</v>
      </c>
      <c r="Y401" s="11" t="str">
        <f>HLOOKUP($X401,Tables_Cat!$B$6:$P$7,2,FALSE)</f>
        <v>Information</v>
      </c>
      <c r="Z401" s="24" t="s">
        <v>904</v>
      </c>
      <c r="AA401" s="11" t="s">
        <v>751</v>
      </c>
      <c r="AB401" s="13" t="str">
        <f t="shared" si="236"/>
        <v/>
      </c>
      <c r="AC401" s="11" t="s">
        <v>922</v>
      </c>
      <c r="AD401" s="11" t="str">
        <f t="shared" si="230"/>
        <v/>
      </c>
      <c r="AE401" s="11" t="s">
        <v>1281</v>
      </c>
      <c r="AF401" s="11" t="str">
        <f t="shared" si="231"/>
        <v/>
      </c>
      <c r="AG401" s="11" t="str">
        <f t="shared" si="232"/>
        <v/>
      </c>
      <c r="AH401" s="11" t="str">
        <f t="shared" si="237"/>
        <v/>
      </c>
      <c r="AI401" s="11" t="str">
        <f t="shared" si="264"/>
        <v/>
      </c>
      <c r="AJ401" s="11" t="str">
        <f t="shared" si="233"/>
        <v/>
      </c>
      <c r="AK401" s="11" t="str">
        <f t="shared" si="234"/>
        <v/>
      </c>
      <c r="AN401" s="11" t="s">
        <v>904</v>
      </c>
      <c r="AO401" s="11" t="s">
        <v>924</v>
      </c>
    </row>
    <row r="402" spans="1:41" ht="47.25">
      <c r="A402" s="11">
        <v>396</v>
      </c>
      <c r="B402" s="11" t="s">
        <v>718</v>
      </c>
      <c r="C402" s="11" t="s">
        <v>1294</v>
      </c>
      <c r="D402" s="32"/>
      <c r="E402" s="11" t="s">
        <v>4</v>
      </c>
      <c r="F402" s="11">
        <v>3</v>
      </c>
      <c r="G402" s="11">
        <v>2</v>
      </c>
      <c r="H402" s="11">
        <v>1</v>
      </c>
      <c r="I402" s="11"/>
      <c r="J402" s="11"/>
      <c r="K402" s="11"/>
      <c r="L402" s="11"/>
      <c r="M402" s="11" t="s">
        <v>694</v>
      </c>
      <c r="N402" s="11" t="s">
        <v>720</v>
      </c>
      <c r="O402" s="11" t="s">
        <v>1112</v>
      </c>
      <c r="P402" s="11" t="s">
        <v>464</v>
      </c>
      <c r="Q402" s="11" t="s">
        <v>1280</v>
      </c>
      <c r="R402" s="11" t="str">
        <f t="shared" si="287"/>
        <v/>
      </c>
      <c r="S402" s="11" t="str">
        <f t="shared" si="288"/>
        <v/>
      </c>
      <c r="T402" s="11" t="str">
        <f t="shared" si="289"/>
        <v/>
      </c>
      <c r="U402" s="11" t="str">
        <f t="shared" si="290"/>
        <v/>
      </c>
      <c r="V402" s="11" t="str">
        <f t="shared" si="291"/>
        <v/>
      </c>
      <c r="W402" s="11" t="str">
        <f t="shared" si="305"/>
        <v/>
      </c>
      <c r="X402" s="11" t="s">
        <v>1007</v>
      </c>
      <c r="Y402" s="11" t="str">
        <f>HLOOKUP($X402,Tables_Cat!$B$6:$P$7,2,FALSE)</f>
        <v>Information</v>
      </c>
      <c r="Z402" s="24" t="s">
        <v>904</v>
      </c>
      <c r="AA402" s="11" t="s">
        <v>728</v>
      </c>
      <c r="AB402" s="13" t="str">
        <f t="shared" si="236"/>
        <v/>
      </c>
      <c r="AC402" s="11" t="s">
        <v>1008</v>
      </c>
      <c r="AD402" s="11" t="str">
        <f t="shared" si="230"/>
        <v/>
      </c>
      <c r="AE402" s="11" t="s">
        <v>1281</v>
      </c>
      <c r="AF402" s="11" t="str">
        <f t="shared" si="231"/>
        <v/>
      </c>
      <c r="AG402" s="11" t="str">
        <f t="shared" si="232"/>
        <v/>
      </c>
      <c r="AH402" s="11" t="str">
        <f t="shared" si="237"/>
        <v/>
      </c>
      <c r="AI402" s="11" t="str">
        <f t="shared" si="264"/>
        <v/>
      </c>
      <c r="AJ402" s="11" t="str">
        <f t="shared" si="233"/>
        <v/>
      </c>
      <c r="AK402" s="11" t="str">
        <f t="shared" si="234"/>
        <v/>
      </c>
      <c r="AN402" s="11" t="s">
        <v>722</v>
      </c>
      <c r="AO402" s="11" t="s">
        <v>982</v>
      </c>
    </row>
    <row r="403" spans="1:41" ht="63">
      <c r="A403" s="11">
        <v>397</v>
      </c>
      <c r="B403" s="11" t="s">
        <v>718</v>
      </c>
      <c r="C403" s="11" t="s">
        <v>1295</v>
      </c>
      <c r="D403" s="32"/>
      <c r="E403" s="11" t="s">
        <v>4</v>
      </c>
      <c r="F403" s="11">
        <v>3</v>
      </c>
      <c r="G403" s="11">
        <v>2</v>
      </c>
      <c r="H403" s="11">
        <v>1</v>
      </c>
      <c r="I403" s="11"/>
      <c r="J403" s="11"/>
      <c r="K403" s="11"/>
      <c r="L403" s="11"/>
      <c r="M403" s="11" t="s">
        <v>694</v>
      </c>
      <c r="N403" s="11" t="s">
        <v>720</v>
      </c>
      <c r="O403" s="11" t="s">
        <v>1112</v>
      </c>
      <c r="P403" s="11" t="s">
        <v>1070</v>
      </c>
      <c r="Q403" s="11" t="s">
        <v>868</v>
      </c>
      <c r="R403" s="11" t="str">
        <f t="shared" si="287"/>
        <v/>
      </c>
      <c r="S403" s="11" t="str">
        <f t="shared" si="288"/>
        <v/>
      </c>
      <c r="T403" s="11" t="str">
        <f t="shared" si="289"/>
        <v/>
      </c>
      <c r="U403" s="11" t="str">
        <f t="shared" si="290"/>
        <v/>
      </c>
      <c r="V403" s="11" t="str">
        <f t="shared" si="291"/>
        <v/>
      </c>
      <c r="W403" s="11" t="str">
        <f t="shared" ref="W403" si="306">IF($E403="Yes",MAX(R403:V403),"")</f>
        <v/>
      </c>
      <c r="X403" s="11" t="s">
        <v>911</v>
      </c>
      <c r="Y403" s="11" t="str">
        <f>HLOOKUP($X403,Tables_Cat!$B$6:$P$7,2,FALSE)</f>
        <v>Material</v>
      </c>
      <c r="Z403" s="24" t="s">
        <v>709</v>
      </c>
      <c r="AA403" s="11" t="s">
        <v>728</v>
      </c>
      <c r="AB403" s="13" t="str">
        <f t="shared" si="236"/>
        <v/>
      </c>
      <c r="AC403" s="11" t="s">
        <v>912</v>
      </c>
      <c r="AD403" s="11" t="str">
        <f t="shared" si="230"/>
        <v/>
      </c>
      <c r="AE403" s="11" t="s">
        <v>870</v>
      </c>
      <c r="AF403" s="11" t="str">
        <f t="shared" si="231"/>
        <v/>
      </c>
      <c r="AG403" s="11" t="str">
        <f t="shared" si="232"/>
        <v/>
      </c>
      <c r="AH403" s="11" t="str">
        <f t="shared" si="237"/>
        <v/>
      </c>
      <c r="AI403" s="11" t="str">
        <f t="shared" si="264"/>
        <v/>
      </c>
      <c r="AJ403" s="11" t="str">
        <f t="shared" si="233"/>
        <v/>
      </c>
      <c r="AK403" s="11" t="str">
        <f t="shared" si="234"/>
        <v/>
      </c>
      <c r="AN403" s="11" t="s">
        <v>722</v>
      </c>
      <c r="AO403" s="11" t="s">
        <v>982</v>
      </c>
    </row>
    <row r="404" spans="1:41" ht="63">
      <c r="A404" s="11">
        <v>398</v>
      </c>
      <c r="B404" s="11" t="s">
        <v>718</v>
      </c>
      <c r="C404" s="11" t="s">
        <v>1296</v>
      </c>
      <c r="D404" s="32"/>
      <c r="E404" s="11" t="s">
        <v>4</v>
      </c>
      <c r="F404" s="11">
        <v>3</v>
      </c>
      <c r="G404" s="11">
        <v>2</v>
      </c>
      <c r="H404" s="11">
        <v>1</v>
      </c>
      <c r="I404" s="11"/>
      <c r="J404" s="11"/>
      <c r="K404" s="11"/>
      <c r="L404" s="11"/>
      <c r="M404" s="11" t="s">
        <v>694</v>
      </c>
      <c r="N404" s="11" t="s">
        <v>720</v>
      </c>
      <c r="O404" s="11" t="s">
        <v>1112</v>
      </c>
      <c r="P404" s="11" t="s">
        <v>1070</v>
      </c>
      <c r="Q404" s="11" t="s">
        <v>1107</v>
      </c>
      <c r="R404" s="11" t="str">
        <f t="shared" si="287"/>
        <v/>
      </c>
      <c r="S404" s="11" t="str">
        <f t="shared" si="288"/>
        <v/>
      </c>
      <c r="T404" s="11" t="str">
        <f t="shared" si="289"/>
        <v/>
      </c>
      <c r="U404" s="11" t="str">
        <f t="shared" si="290"/>
        <v/>
      </c>
      <c r="V404" s="11" t="str">
        <f t="shared" si="291"/>
        <v/>
      </c>
      <c r="W404" s="11" t="str">
        <f t="shared" ref="W404" si="307">IF($E404="Yes",MAX(R404:V404),"")</f>
        <v/>
      </c>
      <c r="X404" s="11" t="s">
        <v>911</v>
      </c>
      <c r="Y404" s="11" t="str">
        <f>HLOOKUP($X404,Tables_Cat!$B$6:$P$7,2,FALSE)</f>
        <v>Material</v>
      </c>
      <c r="Z404" s="24" t="s">
        <v>793</v>
      </c>
      <c r="AA404" s="11" t="s">
        <v>728</v>
      </c>
      <c r="AB404" s="13" t="str">
        <f t="shared" si="236"/>
        <v/>
      </c>
      <c r="AC404" s="11" t="s">
        <v>912</v>
      </c>
      <c r="AD404" s="11" t="str">
        <f t="shared" si="230"/>
        <v/>
      </c>
      <c r="AE404" s="11" t="s">
        <v>839</v>
      </c>
      <c r="AF404" s="11" t="str">
        <f t="shared" si="231"/>
        <v/>
      </c>
      <c r="AG404" s="11" t="str">
        <f t="shared" si="232"/>
        <v/>
      </c>
      <c r="AH404" s="11" t="str">
        <f t="shared" si="237"/>
        <v/>
      </c>
      <c r="AI404" s="11" t="str">
        <f t="shared" si="264"/>
        <v/>
      </c>
      <c r="AJ404" s="11" t="str">
        <f t="shared" si="233"/>
        <v/>
      </c>
      <c r="AK404" s="11" t="str">
        <f t="shared" si="234"/>
        <v/>
      </c>
      <c r="AN404" s="11" t="s">
        <v>722</v>
      </c>
      <c r="AO404" s="11" t="s">
        <v>982</v>
      </c>
    </row>
    <row r="405" spans="1:41" ht="47.25">
      <c r="A405" s="11">
        <v>399</v>
      </c>
      <c r="B405" s="11" t="s">
        <v>876</v>
      </c>
      <c r="C405" s="11" t="s">
        <v>1297</v>
      </c>
      <c r="D405" s="32"/>
      <c r="E405" s="11" t="str">
        <f t="shared" ref="E405:E409" si="308">IF(D405="","Select ...")</f>
        <v>Select ...</v>
      </c>
      <c r="F405" s="11"/>
      <c r="G405" s="11"/>
      <c r="H405" s="11"/>
      <c r="I405" s="11"/>
      <c r="J405" s="11"/>
      <c r="K405" s="11"/>
      <c r="L405" s="11"/>
      <c r="M405" s="11" t="s">
        <v>750</v>
      </c>
      <c r="N405" s="11" t="s">
        <v>763</v>
      </c>
      <c r="O405" s="11" t="s">
        <v>464</v>
      </c>
      <c r="P405" s="11" t="s">
        <v>464</v>
      </c>
      <c r="Q405" s="11" t="s">
        <v>1107</v>
      </c>
      <c r="R405" s="11" t="str">
        <f t="shared" si="287"/>
        <v/>
      </c>
      <c r="S405" s="11" t="str">
        <f t="shared" si="288"/>
        <v/>
      </c>
      <c r="T405" s="11" t="str">
        <f t="shared" si="289"/>
        <v/>
      </c>
      <c r="U405" s="11" t="str">
        <f t="shared" si="290"/>
        <v/>
      </c>
      <c r="V405" s="11" t="str">
        <f t="shared" si="291"/>
        <v/>
      </c>
      <c r="W405" s="11" t="str">
        <f t="shared" ref="W405:W409" si="309">IF($E405="Yes",MAX(R405:V405),"")</f>
        <v/>
      </c>
      <c r="X405" s="11" t="s">
        <v>92</v>
      </c>
      <c r="Y405" s="11" t="str">
        <f>HLOOKUP($X405,Tables_Cat!$B$6:$P$7,2,FALSE)</f>
        <v>Material</v>
      </c>
      <c r="Z405" s="24" t="s">
        <v>793</v>
      </c>
      <c r="AA405" s="11" t="s">
        <v>765</v>
      </c>
      <c r="AB405" s="13" t="str">
        <f t="shared" si="236"/>
        <v/>
      </c>
      <c r="AC405" s="11" t="s">
        <v>1012</v>
      </c>
      <c r="AD405" s="11" t="str">
        <f t="shared" si="230"/>
        <v/>
      </c>
      <c r="AE405" s="11" t="s">
        <v>878</v>
      </c>
      <c r="AF405" s="11" t="str">
        <f t="shared" si="231"/>
        <v/>
      </c>
      <c r="AG405" s="11" t="str">
        <f t="shared" si="232"/>
        <v/>
      </c>
      <c r="AH405" s="11" t="str">
        <f t="shared" si="237"/>
        <v/>
      </c>
      <c r="AI405" s="11" t="str">
        <f t="shared" si="264"/>
        <v/>
      </c>
      <c r="AJ405" s="11" t="str">
        <f t="shared" si="233"/>
        <v/>
      </c>
      <c r="AK405" s="11" t="str">
        <f t="shared" si="234"/>
        <v/>
      </c>
      <c r="AN405" s="11" t="s">
        <v>879</v>
      </c>
      <c r="AO405" s="11" t="s">
        <v>1213</v>
      </c>
    </row>
    <row r="406" spans="1:41" ht="47.25">
      <c r="A406" s="11">
        <v>400</v>
      </c>
      <c r="B406" s="11" t="s">
        <v>876</v>
      </c>
      <c r="C406" s="11" t="s">
        <v>1298</v>
      </c>
      <c r="D406" s="32"/>
      <c r="E406" s="11" t="str">
        <f t="shared" ref="E406" si="310">IF(D406="","Select ...")</f>
        <v>Select ...</v>
      </c>
      <c r="F406" s="11"/>
      <c r="G406" s="11"/>
      <c r="H406" s="11"/>
      <c r="I406" s="11"/>
      <c r="J406" s="11"/>
      <c r="K406" s="11"/>
      <c r="L406" s="11"/>
      <c r="M406" s="11" t="s">
        <v>750</v>
      </c>
      <c r="N406" s="11" t="s">
        <v>763</v>
      </c>
      <c r="O406" s="11" t="s">
        <v>464</v>
      </c>
      <c r="P406" s="11" t="s">
        <v>464</v>
      </c>
      <c r="Q406" s="11" t="s">
        <v>1107</v>
      </c>
      <c r="R406" s="11" t="str">
        <f t="shared" si="287"/>
        <v/>
      </c>
      <c r="S406" s="11" t="str">
        <f t="shared" si="288"/>
        <v/>
      </c>
      <c r="T406" s="11" t="str">
        <f t="shared" si="289"/>
        <v/>
      </c>
      <c r="U406" s="11" t="str">
        <f t="shared" si="290"/>
        <v/>
      </c>
      <c r="V406" s="11" t="str">
        <f t="shared" si="291"/>
        <v/>
      </c>
      <c r="W406" s="11" t="str">
        <f t="shared" ref="W406" si="311">IF($E406="Yes",MAX(R406:V406),"")</f>
        <v/>
      </c>
      <c r="X406" s="11" t="s">
        <v>92</v>
      </c>
      <c r="Y406" s="11" t="str">
        <f>HLOOKUP($X406,Tables_Cat!$B$6:$P$7,2,FALSE)</f>
        <v>Material</v>
      </c>
      <c r="Z406" s="24" t="s">
        <v>793</v>
      </c>
      <c r="AA406" s="11" t="s">
        <v>765</v>
      </c>
      <c r="AB406" s="13" t="str">
        <f t="shared" si="236"/>
        <v/>
      </c>
      <c r="AC406" s="11" t="s">
        <v>922</v>
      </c>
      <c r="AD406" s="11" t="str">
        <f t="shared" si="230"/>
        <v/>
      </c>
      <c r="AE406" s="11" t="s">
        <v>878</v>
      </c>
      <c r="AF406" s="11" t="str">
        <f t="shared" si="231"/>
        <v/>
      </c>
      <c r="AG406" s="11" t="str">
        <f t="shared" si="232"/>
        <v/>
      </c>
      <c r="AH406" s="11" t="str">
        <f t="shared" si="237"/>
        <v/>
      </c>
      <c r="AI406" s="11" t="str">
        <f t="shared" si="264"/>
        <v/>
      </c>
      <c r="AJ406" s="11" t="str">
        <f t="shared" si="233"/>
        <v/>
      </c>
      <c r="AK406" s="11" t="str">
        <f t="shared" si="234"/>
        <v/>
      </c>
      <c r="AN406" s="11" t="s">
        <v>879</v>
      </c>
      <c r="AO406" s="11" t="s">
        <v>1213</v>
      </c>
    </row>
    <row r="407" spans="1:41" ht="31.5">
      <c r="A407" s="11">
        <v>401</v>
      </c>
      <c r="B407" s="11" t="s">
        <v>1277</v>
      </c>
      <c r="C407" s="11" t="s">
        <v>1299</v>
      </c>
      <c r="D407" s="32"/>
      <c r="E407" s="11" t="str">
        <f t="shared" si="308"/>
        <v>Select ...</v>
      </c>
      <c r="F407" s="11"/>
      <c r="G407" s="11"/>
      <c r="H407" s="11"/>
      <c r="I407" s="11"/>
      <c r="J407" s="11"/>
      <c r="K407" s="11"/>
      <c r="L407" s="11"/>
      <c r="M407" s="11" t="s">
        <v>750</v>
      </c>
      <c r="N407" s="11" t="s">
        <v>769</v>
      </c>
      <c r="O407" s="11" t="s">
        <v>464</v>
      </c>
      <c r="P407" s="11" t="s">
        <v>464</v>
      </c>
      <c r="Q407" s="11" t="s">
        <v>1280</v>
      </c>
      <c r="R407" s="11" t="str">
        <f t="shared" si="287"/>
        <v/>
      </c>
      <c r="S407" s="11" t="str">
        <f t="shared" si="288"/>
        <v/>
      </c>
      <c r="T407" s="11" t="str">
        <f t="shared" si="289"/>
        <v/>
      </c>
      <c r="U407" s="11" t="str">
        <f t="shared" si="290"/>
        <v/>
      </c>
      <c r="V407" s="11" t="str">
        <f t="shared" si="291"/>
        <v/>
      </c>
      <c r="W407" s="11" t="str">
        <f t="shared" si="309"/>
        <v/>
      </c>
      <c r="X407" s="11" t="s">
        <v>1007</v>
      </c>
      <c r="Y407" s="11" t="str">
        <f>HLOOKUP($X407,Tables_Cat!$B$6:$P$7,2,FALSE)</f>
        <v>Information</v>
      </c>
      <c r="Z407" s="24" t="s">
        <v>904</v>
      </c>
      <c r="AA407" s="11" t="s">
        <v>751</v>
      </c>
      <c r="AB407" s="13" t="str">
        <f t="shared" si="236"/>
        <v/>
      </c>
      <c r="AC407" s="11" t="s">
        <v>1012</v>
      </c>
      <c r="AD407" s="11" t="str">
        <f t="shared" si="230"/>
        <v/>
      </c>
      <c r="AE407" s="11" t="s">
        <v>1281</v>
      </c>
      <c r="AF407" s="11" t="str">
        <f t="shared" si="231"/>
        <v/>
      </c>
      <c r="AG407" s="11" t="str">
        <f t="shared" si="232"/>
        <v/>
      </c>
      <c r="AH407" s="11" t="str">
        <f t="shared" si="237"/>
        <v/>
      </c>
      <c r="AI407" s="11" t="str">
        <f t="shared" si="264"/>
        <v/>
      </c>
      <c r="AJ407" s="11" t="str">
        <f t="shared" si="233"/>
        <v/>
      </c>
      <c r="AK407" s="11" t="str">
        <f t="shared" si="234"/>
        <v/>
      </c>
      <c r="AN407" s="11" t="s">
        <v>871</v>
      </c>
      <c r="AO407" s="11" t="s">
        <v>924</v>
      </c>
    </row>
    <row r="408" spans="1:41" ht="31.5">
      <c r="A408" s="11">
        <v>402</v>
      </c>
      <c r="B408" s="11" t="s">
        <v>1277</v>
      </c>
      <c r="C408" s="11" t="s">
        <v>1300</v>
      </c>
      <c r="D408" s="32"/>
      <c r="E408" s="11" t="str">
        <f t="shared" ref="E408" si="312">IF(D408="","Select ...")</f>
        <v>Select ...</v>
      </c>
      <c r="F408" s="11"/>
      <c r="G408" s="11"/>
      <c r="H408" s="11"/>
      <c r="I408" s="11"/>
      <c r="J408" s="11"/>
      <c r="K408" s="11"/>
      <c r="L408" s="11"/>
      <c r="M408" s="11" t="s">
        <v>750</v>
      </c>
      <c r="N408" s="11" t="s">
        <v>769</v>
      </c>
      <c r="O408" s="11" t="s">
        <v>464</v>
      </c>
      <c r="P408" s="11" t="s">
        <v>464</v>
      </c>
      <c r="Q408" s="11" t="s">
        <v>1280</v>
      </c>
      <c r="R408" s="11" t="str">
        <f t="shared" si="287"/>
        <v/>
      </c>
      <c r="S408" s="11" t="str">
        <f t="shared" si="288"/>
        <v/>
      </c>
      <c r="T408" s="11" t="str">
        <f t="shared" si="289"/>
        <v/>
      </c>
      <c r="U408" s="11" t="str">
        <f t="shared" si="290"/>
        <v/>
      </c>
      <c r="V408" s="11" t="str">
        <f t="shared" si="291"/>
        <v/>
      </c>
      <c r="W408" s="11" t="str">
        <f t="shared" ref="W408" si="313">IF($E408="Yes",MAX(R408:V408),"")</f>
        <v/>
      </c>
      <c r="X408" s="11" t="s">
        <v>1007</v>
      </c>
      <c r="Y408" s="11" t="str">
        <f>HLOOKUP($X408,Tables_Cat!$B$6:$P$7,2,FALSE)</f>
        <v>Information</v>
      </c>
      <c r="Z408" s="24" t="s">
        <v>904</v>
      </c>
      <c r="AA408" s="11" t="s">
        <v>751</v>
      </c>
      <c r="AB408" s="13" t="str">
        <f t="shared" si="236"/>
        <v/>
      </c>
      <c r="AC408" s="11" t="s">
        <v>922</v>
      </c>
      <c r="AD408" s="11" t="str">
        <f t="shared" si="230"/>
        <v/>
      </c>
      <c r="AE408" s="11" t="s">
        <v>1281</v>
      </c>
      <c r="AF408" s="11" t="str">
        <f t="shared" si="231"/>
        <v/>
      </c>
      <c r="AG408" s="11" t="str">
        <f t="shared" si="232"/>
        <v/>
      </c>
      <c r="AH408" s="11" t="str">
        <f t="shared" si="237"/>
        <v/>
      </c>
      <c r="AI408" s="11" t="str">
        <f t="shared" si="264"/>
        <v/>
      </c>
      <c r="AJ408" s="11" t="str">
        <f t="shared" si="233"/>
        <v/>
      </c>
      <c r="AK408" s="11" t="str">
        <f t="shared" si="234"/>
        <v/>
      </c>
      <c r="AN408" s="11" t="s">
        <v>871</v>
      </c>
      <c r="AO408" s="11" t="s">
        <v>924</v>
      </c>
    </row>
    <row r="409" spans="1:41" ht="31.5">
      <c r="A409" s="11">
        <v>403</v>
      </c>
      <c r="B409" s="11" t="s">
        <v>1277</v>
      </c>
      <c r="C409" s="11" t="s">
        <v>1301</v>
      </c>
      <c r="D409" s="32"/>
      <c r="E409" s="11" t="str">
        <f t="shared" si="308"/>
        <v>Select ...</v>
      </c>
      <c r="F409" s="11"/>
      <c r="G409" s="11"/>
      <c r="H409" s="11"/>
      <c r="I409" s="11"/>
      <c r="J409" s="11"/>
      <c r="K409" s="11"/>
      <c r="L409" s="11"/>
      <c r="M409" s="11" t="s">
        <v>750</v>
      </c>
      <c r="N409" s="11" t="s">
        <v>769</v>
      </c>
      <c r="O409" s="11" t="s">
        <v>464</v>
      </c>
      <c r="P409" s="11" t="s">
        <v>464</v>
      </c>
      <c r="Q409" s="11" t="s">
        <v>1280</v>
      </c>
      <c r="R409" s="11" t="str">
        <f t="shared" si="287"/>
        <v/>
      </c>
      <c r="S409" s="11" t="str">
        <f t="shared" si="288"/>
        <v/>
      </c>
      <c r="T409" s="11" t="str">
        <f t="shared" si="289"/>
        <v/>
      </c>
      <c r="U409" s="11" t="str">
        <f t="shared" si="290"/>
        <v/>
      </c>
      <c r="V409" s="11" t="str">
        <f t="shared" si="291"/>
        <v/>
      </c>
      <c r="W409" s="11" t="str">
        <f t="shared" si="309"/>
        <v/>
      </c>
      <c r="X409" s="11" t="s">
        <v>1007</v>
      </c>
      <c r="Y409" s="11" t="str">
        <f>HLOOKUP($X409,Tables_Cat!$B$6:$P$7,2,FALSE)</f>
        <v>Information</v>
      </c>
      <c r="Z409" s="24" t="s">
        <v>904</v>
      </c>
      <c r="AA409" s="11" t="s">
        <v>751</v>
      </c>
      <c r="AB409" s="13" t="str">
        <f t="shared" ref="AB409:AB461" si="314">IF($E409="Yes",($F409-$G409)/$F409,"")</f>
        <v/>
      </c>
      <c r="AC409" s="11" t="s">
        <v>922</v>
      </c>
      <c r="AD409" s="11" t="str">
        <f t="shared" ref="AD409:AD461" si="315">IF($E409="Yes",$AB409+$AI409,"")</f>
        <v/>
      </c>
      <c r="AE409" s="11" t="s">
        <v>1281</v>
      </c>
      <c r="AF409" s="11" t="str">
        <f t="shared" ref="AF409:AF461" si="316">IF($E409="Yes",$F409*$W409,"")</f>
        <v/>
      </c>
      <c r="AG409" s="11" t="str">
        <f t="shared" ref="AG409:AG461" si="317">IF($E409="Yes",$F409*$W409^2,"")</f>
        <v/>
      </c>
      <c r="AH409" s="11" t="str">
        <f t="shared" ref="AH409:AH461" si="318">IF($E409="Yes",IF($AA409="Engineer",5,IF($AA409="Implement",4,IF($AA409="Manage",3,IF($AA409="Validate",2,1)))),"")</f>
        <v/>
      </c>
      <c r="AI409" s="11" t="str">
        <f t="shared" si="264"/>
        <v/>
      </c>
      <c r="AJ409" s="11" t="str">
        <f t="shared" ref="AJ409:AJ461" si="319">IF($E409="Yes",$G409*$W409,"")</f>
        <v/>
      </c>
      <c r="AK409" s="11" t="str">
        <f t="shared" ref="AK409:AK461" si="320">IF($E409="Yes",$G409*$W409^2,"")</f>
        <v/>
      </c>
      <c r="AN409" s="11" t="s">
        <v>871</v>
      </c>
      <c r="AO409" s="11" t="s">
        <v>924</v>
      </c>
    </row>
    <row r="410" spans="1:41" ht="31.5">
      <c r="A410" s="11">
        <v>404</v>
      </c>
      <c r="B410" s="11" t="s">
        <v>865</v>
      </c>
      <c r="C410" s="11" t="s">
        <v>1302</v>
      </c>
      <c r="D410" s="32"/>
      <c r="E410" s="11" t="str">
        <f t="shared" ref="E410" si="321">IF(D410="","Select ...")</f>
        <v>Select ...</v>
      </c>
      <c r="F410" s="11"/>
      <c r="G410" s="11"/>
      <c r="H410" s="11"/>
      <c r="I410" s="11"/>
      <c r="J410" s="11"/>
      <c r="K410" s="11"/>
      <c r="L410" s="11"/>
      <c r="M410" s="11" t="s">
        <v>750</v>
      </c>
      <c r="N410" s="11" t="s">
        <v>769</v>
      </c>
      <c r="O410" s="11" t="s">
        <v>1303</v>
      </c>
      <c r="P410" s="11" t="s">
        <v>92</v>
      </c>
      <c r="Q410" s="11" t="s">
        <v>770</v>
      </c>
      <c r="R410" s="11" t="str">
        <f t="shared" si="287"/>
        <v/>
      </c>
      <c r="S410" s="11" t="str">
        <f t="shared" si="288"/>
        <v/>
      </c>
      <c r="T410" s="11" t="str">
        <f t="shared" si="289"/>
        <v/>
      </c>
      <c r="U410" s="11" t="str">
        <f t="shared" si="290"/>
        <v/>
      </c>
      <c r="V410" s="11" t="str">
        <f t="shared" si="291"/>
        <v/>
      </c>
      <c r="W410" s="11" t="str">
        <f t="shared" ref="W410" si="322">IF($E410="Yes",MAX(R410:V410),"")</f>
        <v/>
      </c>
      <c r="X410" s="11" t="s">
        <v>92</v>
      </c>
      <c r="Y410" s="11" t="str">
        <f>HLOOKUP($X410,Tables_Cat!$B$6:$P$7,2,FALSE)</f>
        <v>Material</v>
      </c>
      <c r="Z410" s="24" t="s">
        <v>904</v>
      </c>
      <c r="AA410" s="11" t="s">
        <v>765</v>
      </c>
      <c r="AB410" s="13" t="str">
        <f t="shared" si="314"/>
        <v/>
      </c>
      <c r="AC410" s="11" t="s">
        <v>1012</v>
      </c>
      <c r="AD410" s="11" t="str">
        <f t="shared" si="315"/>
        <v/>
      </c>
      <c r="AE410" s="11" t="s">
        <v>772</v>
      </c>
      <c r="AF410" s="11" t="str">
        <f t="shared" si="316"/>
        <v/>
      </c>
      <c r="AG410" s="11" t="str">
        <f t="shared" si="317"/>
        <v/>
      </c>
      <c r="AH410" s="11" t="str">
        <f t="shared" si="318"/>
        <v/>
      </c>
      <c r="AI410" s="11" t="str">
        <f t="shared" si="264"/>
        <v/>
      </c>
      <c r="AJ410" s="11" t="str">
        <f t="shared" si="319"/>
        <v/>
      </c>
      <c r="AK410" s="11" t="str">
        <f t="shared" si="320"/>
        <v/>
      </c>
      <c r="AN410" s="11" t="s">
        <v>871</v>
      </c>
      <c r="AO410" s="11" t="s">
        <v>1213</v>
      </c>
    </row>
    <row r="411" spans="1:41" ht="31.5">
      <c r="A411" s="11">
        <v>405</v>
      </c>
      <c r="B411" s="11" t="s">
        <v>865</v>
      </c>
      <c r="C411" s="11" t="s">
        <v>1304</v>
      </c>
      <c r="D411" s="32"/>
      <c r="E411" s="11" t="str">
        <f t="shared" ref="E411:E460" si="323">IF(D411="","Select ...")</f>
        <v>Select ...</v>
      </c>
      <c r="F411" s="11"/>
      <c r="G411" s="11"/>
      <c r="H411" s="11"/>
      <c r="I411" s="11"/>
      <c r="J411" s="11"/>
      <c r="K411" s="11"/>
      <c r="L411" s="11"/>
      <c r="M411" s="11" t="s">
        <v>750</v>
      </c>
      <c r="N411" s="11" t="s">
        <v>769</v>
      </c>
      <c r="O411" s="11" t="s">
        <v>1303</v>
      </c>
      <c r="P411" s="11" t="s">
        <v>92</v>
      </c>
      <c r="Q411" s="11" t="s">
        <v>770</v>
      </c>
      <c r="R411" s="11" t="str">
        <f t="shared" si="287"/>
        <v/>
      </c>
      <c r="S411" s="11" t="str">
        <f t="shared" si="288"/>
        <v/>
      </c>
      <c r="T411" s="11" t="str">
        <f t="shared" si="289"/>
        <v/>
      </c>
      <c r="U411" s="11" t="str">
        <f t="shared" si="290"/>
        <v/>
      </c>
      <c r="V411" s="11" t="str">
        <f t="shared" si="291"/>
        <v/>
      </c>
      <c r="W411" s="11" t="str">
        <f t="shared" ref="W411:W460" si="324">IF($E411="Yes",MAX(R411:V411),"")</f>
        <v/>
      </c>
      <c r="X411" s="11" t="s">
        <v>92</v>
      </c>
      <c r="Y411" s="11" t="str">
        <f>HLOOKUP($X411,Tables_Cat!$B$6:$P$7,2,FALSE)</f>
        <v>Material</v>
      </c>
      <c r="Z411" s="24" t="s">
        <v>904</v>
      </c>
      <c r="AA411" s="11" t="s">
        <v>765</v>
      </c>
      <c r="AB411" s="13" t="str">
        <f t="shared" si="314"/>
        <v/>
      </c>
      <c r="AC411" s="11" t="s">
        <v>922</v>
      </c>
      <c r="AD411" s="11" t="str">
        <f t="shared" si="315"/>
        <v/>
      </c>
      <c r="AE411" s="11" t="s">
        <v>772</v>
      </c>
      <c r="AF411" s="11" t="str">
        <f t="shared" si="316"/>
        <v/>
      </c>
      <c r="AG411" s="11" t="str">
        <f t="shared" si="317"/>
        <v/>
      </c>
      <c r="AH411" s="11" t="str">
        <f t="shared" si="318"/>
        <v/>
      </c>
      <c r="AI411" s="11" t="str">
        <f t="shared" si="264"/>
        <v/>
      </c>
      <c r="AJ411" s="11" t="str">
        <f t="shared" si="319"/>
        <v/>
      </c>
      <c r="AK411" s="11" t="str">
        <f t="shared" si="320"/>
        <v/>
      </c>
      <c r="AN411" s="11" t="s">
        <v>871</v>
      </c>
      <c r="AO411" s="11" t="s">
        <v>1213</v>
      </c>
    </row>
    <row r="412" spans="1:41" ht="31.5">
      <c r="A412" s="11">
        <v>406</v>
      </c>
      <c r="B412" s="11" t="s">
        <v>1305</v>
      </c>
      <c r="C412" s="11" t="s">
        <v>1306</v>
      </c>
      <c r="D412" s="32"/>
      <c r="E412" s="11" t="str">
        <f t="shared" ref="E412" si="325">IF(D412="","Select ...")</f>
        <v>Select ...</v>
      </c>
      <c r="F412" s="11"/>
      <c r="G412" s="11"/>
      <c r="H412" s="11"/>
      <c r="I412" s="11"/>
      <c r="J412" s="11"/>
      <c r="K412" s="11"/>
      <c r="L412" s="11"/>
      <c r="M412" s="11" t="s">
        <v>694</v>
      </c>
      <c r="N412" s="11" t="s">
        <v>763</v>
      </c>
      <c r="O412" s="11" t="s">
        <v>464</v>
      </c>
      <c r="P412" s="11" t="s">
        <v>464</v>
      </c>
      <c r="Q412" s="11" t="s">
        <v>868</v>
      </c>
      <c r="R412" s="11" t="str">
        <f t="shared" si="287"/>
        <v/>
      </c>
      <c r="S412" s="11" t="str">
        <f t="shared" si="288"/>
        <v/>
      </c>
      <c r="T412" s="11" t="str">
        <f t="shared" si="289"/>
        <v/>
      </c>
      <c r="U412" s="11" t="str">
        <f t="shared" si="290"/>
        <v/>
      </c>
      <c r="V412" s="11" t="str">
        <f t="shared" si="291"/>
        <v/>
      </c>
      <c r="W412" s="11" t="str">
        <f t="shared" ref="W412:W413" si="326">IF($E412="Yes",MAX(R412:V412),"")</f>
        <v/>
      </c>
      <c r="X412" s="11" t="s">
        <v>759</v>
      </c>
      <c r="Y412" s="11" t="str">
        <f>HLOOKUP($X412,Tables_Cat!$B$6:$P$7,2,FALSE)</f>
        <v>Information</v>
      </c>
      <c r="Z412" s="24" t="s">
        <v>869</v>
      </c>
      <c r="AA412" s="11" t="s">
        <v>701</v>
      </c>
      <c r="AB412" s="13" t="str">
        <f t="shared" si="314"/>
        <v/>
      </c>
      <c r="AC412" s="11" t="s">
        <v>702</v>
      </c>
      <c r="AD412" s="11" t="str">
        <f t="shared" si="315"/>
        <v/>
      </c>
      <c r="AE412" s="11" t="s">
        <v>870</v>
      </c>
      <c r="AF412" s="11" t="str">
        <f t="shared" si="316"/>
        <v/>
      </c>
      <c r="AG412" s="11" t="str">
        <f t="shared" si="317"/>
        <v/>
      </c>
      <c r="AH412" s="11" t="str">
        <f t="shared" si="318"/>
        <v/>
      </c>
      <c r="AI412" s="11" t="str">
        <f t="shared" si="264"/>
        <v/>
      </c>
      <c r="AJ412" s="11" t="str">
        <f t="shared" si="319"/>
        <v/>
      </c>
      <c r="AK412" s="11" t="str">
        <f t="shared" si="320"/>
        <v/>
      </c>
      <c r="AN412" s="11" t="s">
        <v>1307</v>
      </c>
      <c r="AO412" s="11" t="s">
        <v>761</v>
      </c>
    </row>
    <row r="413" spans="1:41" ht="47.25">
      <c r="A413" s="11">
        <v>407</v>
      </c>
      <c r="B413" s="11" t="s">
        <v>767</v>
      </c>
      <c r="C413" s="11" t="s">
        <v>1308</v>
      </c>
      <c r="D413" s="32"/>
      <c r="E413" s="11" t="s">
        <v>4</v>
      </c>
      <c r="F413" s="11">
        <v>1.5</v>
      </c>
      <c r="G413" s="11">
        <v>1</v>
      </c>
      <c r="H413" s="11">
        <f>A412</f>
        <v>406</v>
      </c>
      <c r="I413" s="11"/>
      <c r="J413" s="11"/>
      <c r="K413" s="11"/>
      <c r="L413" s="11"/>
      <c r="M413" s="11" t="s">
        <v>694</v>
      </c>
      <c r="N413" s="11" t="s">
        <v>769</v>
      </c>
      <c r="O413" s="11" t="s">
        <v>464</v>
      </c>
      <c r="P413" s="11" t="s">
        <v>764</v>
      </c>
      <c r="Q413" s="11" t="s">
        <v>770</v>
      </c>
      <c r="R413" s="11" t="str">
        <f t="shared" si="287"/>
        <v/>
      </c>
      <c r="S413" s="11" t="str">
        <f t="shared" si="288"/>
        <v/>
      </c>
      <c r="T413" s="11" t="str">
        <f t="shared" si="289"/>
        <v/>
      </c>
      <c r="U413" s="11" t="str">
        <f t="shared" si="290"/>
        <v/>
      </c>
      <c r="V413" s="11" t="str">
        <f t="shared" si="291"/>
        <v/>
      </c>
      <c r="W413" s="11" t="str">
        <f t="shared" si="326"/>
        <v/>
      </c>
      <c r="X413" s="11" t="s">
        <v>771</v>
      </c>
      <c r="Y413" s="11" t="str">
        <f>HLOOKUP($X413,Tables_Cat!$B$6:$P$7,2,FALSE)</f>
        <v>Material</v>
      </c>
      <c r="Z413" s="24" t="s">
        <v>709</v>
      </c>
      <c r="AA413" s="11" t="s">
        <v>765</v>
      </c>
      <c r="AB413" s="13" t="str">
        <f t="shared" si="314"/>
        <v/>
      </c>
      <c r="AC413" s="11" t="s">
        <v>702</v>
      </c>
      <c r="AD413" s="11" t="str">
        <f t="shared" si="315"/>
        <v/>
      </c>
      <c r="AE413" s="11" t="s">
        <v>772</v>
      </c>
      <c r="AF413" s="11" t="str">
        <f t="shared" si="316"/>
        <v/>
      </c>
      <c r="AG413" s="11" t="str">
        <f t="shared" si="317"/>
        <v/>
      </c>
      <c r="AH413" s="11" t="str">
        <f t="shared" si="318"/>
        <v/>
      </c>
      <c r="AI413" s="11" t="str">
        <f t="shared" si="264"/>
        <v/>
      </c>
      <c r="AJ413" s="11" t="str">
        <f t="shared" si="319"/>
        <v/>
      </c>
      <c r="AK413" s="11" t="str">
        <f t="shared" si="320"/>
        <v/>
      </c>
      <c r="AN413" s="11" t="s">
        <v>1307</v>
      </c>
      <c r="AO413" s="11" t="s">
        <v>766</v>
      </c>
    </row>
    <row r="414" spans="1:41" ht="31.5">
      <c r="A414" s="11">
        <v>408</v>
      </c>
      <c r="B414" s="11" t="s">
        <v>1305</v>
      </c>
      <c r="C414" s="11" t="s">
        <v>1309</v>
      </c>
      <c r="D414" s="32"/>
      <c r="E414" s="11" t="str">
        <f t="shared" ref="E414" si="327">IF(D414="","Select ...")</f>
        <v>Select ...</v>
      </c>
      <c r="F414" s="11"/>
      <c r="G414" s="11"/>
      <c r="H414" s="11"/>
      <c r="I414" s="11"/>
      <c r="J414" s="11"/>
      <c r="K414" s="11"/>
      <c r="L414" s="11"/>
      <c r="M414" s="11" t="s">
        <v>694</v>
      </c>
      <c r="N414" s="11" t="s">
        <v>763</v>
      </c>
      <c r="O414" s="11" t="s">
        <v>464</v>
      </c>
      <c r="P414" s="11" t="s">
        <v>464</v>
      </c>
      <c r="Q414" s="11" t="s">
        <v>868</v>
      </c>
      <c r="R414" s="11" t="str">
        <f t="shared" si="287"/>
        <v/>
      </c>
      <c r="S414" s="11" t="str">
        <f t="shared" si="288"/>
        <v/>
      </c>
      <c r="T414" s="11" t="str">
        <f t="shared" si="289"/>
        <v/>
      </c>
      <c r="U414" s="11" t="str">
        <f t="shared" si="290"/>
        <v/>
      </c>
      <c r="V414" s="11" t="str">
        <f t="shared" si="291"/>
        <v/>
      </c>
      <c r="W414" s="11" t="str">
        <f t="shared" ref="W414:W415" si="328">IF($E414="Yes",MAX(R414:V414),"")</f>
        <v/>
      </c>
      <c r="X414" s="11" t="s">
        <v>759</v>
      </c>
      <c r="Y414" s="11" t="str">
        <f>HLOOKUP($X414,Tables_Cat!$B$6:$P$7,2,FALSE)</f>
        <v>Information</v>
      </c>
      <c r="Z414" s="24" t="s">
        <v>869</v>
      </c>
      <c r="AA414" s="11" t="s">
        <v>701</v>
      </c>
      <c r="AB414" s="13" t="str">
        <f t="shared" si="314"/>
        <v/>
      </c>
      <c r="AC414" s="11" t="s">
        <v>702</v>
      </c>
      <c r="AD414" s="11" t="str">
        <f t="shared" si="315"/>
        <v/>
      </c>
      <c r="AE414" s="11" t="s">
        <v>870</v>
      </c>
      <c r="AF414" s="11" t="str">
        <f t="shared" si="316"/>
        <v/>
      </c>
      <c r="AG414" s="11" t="str">
        <f t="shared" si="317"/>
        <v/>
      </c>
      <c r="AH414" s="11" t="str">
        <f t="shared" si="318"/>
        <v/>
      </c>
      <c r="AI414" s="11" t="str">
        <f t="shared" si="264"/>
        <v/>
      </c>
      <c r="AJ414" s="11" t="str">
        <f t="shared" si="319"/>
        <v/>
      </c>
      <c r="AK414" s="11" t="str">
        <f t="shared" si="320"/>
        <v/>
      </c>
      <c r="AN414" s="11" t="s">
        <v>704</v>
      </c>
      <c r="AO414" s="11" t="s">
        <v>761</v>
      </c>
    </row>
    <row r="415" spans="1:41" ht="47.25">
      <c r="A415" s="11">
        <v>409</v>
      </c>
      <c r="B415" s="11" t="s">
        <v>767</v>
      </c>
      <c r="C415" s="11" t="s">
        <v>1310</v>
      </c>
      <c r="D415" s="32"/>
      <c r="E415" s="11" t="s">
        <v>4</v>
      </c>
      <c r="F415" s="11">
        <v>1.5</v>
      </c>
      <c r="G415" s="11">
        <v>1</v>
      </c>
      <c r="H415" s="11">
        <f>A414</f>
        <v>408</v>
      </c>
      <c r="I415" s="11"/>
      <c r="J415" s="11"/>
      <c r="K415" s="11"/>
      <c r="L415" s="11"/>
      <c r="M415" s="11" t="s">
        <v>694</v>
      </c>
      <c r="N415" s="11" t="s">
        <v>769</v>
      </c>
      <c r="O415" s="11" t="s">
        <v>464</v>
      </c>
      <c r="P415" s="11" t="s">
        <v>764</v>
      </c>
      <c r="Q415" s="11" t="s">
        <v>770</v>
      </c>
      <c r="R415" s="11" t="str">
        <f t="shared" si="287"/>
        <v/>
      </c>
      <c r="S415" s="11" t="str">
        <f t="shared" si="288"/>
        <v/>
      </c>
      <c r="T415" s="11" t="str">
        <f t="shared" si="289"/>
        <v/>
      </c>
      <c r="U415" s="11" t="str">
        <f t="shared" si="290"/>
        <v/>
      </c>
      <c r="V415" s="11" t="str">
        <f t="shared" si="291"/>
        <v/>
      </c>
      <c r="W415" s="11" t="str">
        <f t="shared" si="328"/>
        <v/>
      </c>
      <c r="X415" s="11" t="s">
        <v>771</v>
      </c>
      <c r="Y415" s="11" t="str">
        <f>HLOOKUP($X415,Tables_Cat!$B$6:$P$7,2,FALSE)</f>
        <v>Material</v>
      </c>
      <c r="Z415" s="24" t="s">
        <v>709</v>
      </c>
      <c r="AA415" s="11" t="s">
        <v>765</v>
      </c>
      <c r="AB415" s="13" t="str">
        <f t="shared" si="314"/>
        <v/>
      </c>
      <c r="AC415" s="11" t="s">
        <v>702</v>
      </c>
      <c r="AD415" s="11" t="str">
        <f t="shared" si="315"/>
        <v/>
      </c>
      <c r="AE415" s="11" t="s">
        <v>772</v>
      </c>
      <c r="AF415" s="11" t="str">
        <f t="shared" si="316"/>
        <v/>
      </c>
      <c r="AG415" s="11" t="str">
        <f t="shared" si="317"/>
        <v/>
      </c>
      <c r="AH415" s="11" t="str">
        <f t="shared" si="318"/>
        <v/>
      </c>
      <c r="AI415" s="11" t="str">
        <f t="shared" si="264"/>
        <v/>
      </c>
      <c r="AJ415" s="11" t="str">
        <f t="shared" si="319"/>
        <v/>
      </c>
      <c r="AK415" s="11" t="str">
        <f t="shared" si="320"/>
        <v/>
      </c>
      <c r="AN415" s="11" t="s">
        <v>704</v>
      </c>
      <c r="AO415" s="11" t="s">
        <v>766</v>
      </c>
    </row>
    <row r="416" spans="1:41" ht="31.5">
      <c r="A416" s="11">
        <v>410</v>
      </c>
      <c r="B416" s="11" t="s">
        <v>1305</v>
      </c>
      <c r="C416" s="11" t="s">
        <v>1311</v>
      </c>
      <c r="D416" s="32"/>
      <c r="E416" s="11" t="str">
        <f t="shared" ref="E416:E419" si="329">IF(D416="","Select ...")</f>
        <v>Select ...</v>
      </c>
      <c r="F416" s="11"/>
      <c r="G416" s="11"/>
      <c r="H416" s="11"/>
      <c r="I416" s="11"/>
      <c r="J416" s="11"/>
      <c r="K416" s="11"/>
      <c r="L416" s="11"/>
      <c r="M416" s="11" t="s">
        <v>694</v>
      </c>
      <c r="N416" s="11" t="s">
        <v>763</v>
      </c>
      <c r="O416" s="11" t="s">
        <v>464</v>
      </c>
      <c r="P416" s="11" t="s">
        <v>464</v>
      </c>
      <c r="Q416" s="11" t="s">
        <v>1312</v>
      </c>
      <c r="R416" s="11" t="str">
        <f t="shared" si="287"/>
        <v/>
      </c>
      <c r="S416" s="11" t="str">
        <f t="shared" si="288"/>
        <v/>
      </c>
      <c r="T416" s="11" t="str">
        <f t="shared" si="289"/>
        <v/>
      </c>
      <c r="U416" s="11" t="str">
        <f t="shared" si="290"/>
        <v/>
      </c>
      <c r="V416" s="11" t="str">
        <f t="shared" si="291"/>
        <v/>
      </c>
      <c r="W416" s="11" t="str">
        <f t="shared" ref="W416:W419" si="330">IF($E416="Yes",MAX(R416:V416),"")</f>
        <v/>
      </c>
      <c r="X416" s="11" t="s">
        <v>759</v>
      </c>
      <c r="Y416" s="11" t="str">
        <f>HLOOKUP($X416,Tables_Cat!$B$6:$P$7,2,FALSE)</f>
        <v>Information</v>
      </c>
      <c r="Z416" s="24" t="s">
        <v>1313</v>
      </c>
      <c r="AA416" s="11" t="s">
        <v>701</v>
      </c>
      <c r="AB416" s="13" t="str">
        <f t="shared" si="314"/>
        <v/>
      </c>
      <c r="AC416" s="11" t="s">
        <v>702</v>
      </c>
      <c r="AD416" s="11" t="str">
        <f t="shared" si="315"/>
        <v/>
      </c>
      <c r="AE416" s="11" t="s">
        <v>1314</v>
      </c>
      <c r="AF416" s="11" t="str">
        <f t="shared" si="316"/>
        <v/>
      </c>
      <c r="AG416" s="11" t="str">
        <f t="shared" si="317"/>
        <v/>
      </c>
      <c r="AH416" s="11" t="str">
        <f t="shared" si="318"/>
        <v/>
      </c>
      <c r="AI416" s="11" t="str">
        <f t="shared" si="264"/>
        <v/>
      </c>
      <c r="AJ416" s="11" t="str">
        <f t="shared" si="319"/>
        <v/>
      </c>
      <c r="AK416" s="11" t="str">
        <f t="shared" si="320"/>
        <v/>
      </c>
      <c r="AN416" s="11" t="s">
        <v>1313</v>
      </c>
      <c r="AO416" s="11" t="s">
        <v>761</v>
      </c>
    </row>
    <row r="417" spans="1:41" ht="47.25">
      <c r="A417" s="11">
        <v>411</v>
      </c>
      <c r="B417" s="11" t="s">
        <v>767</v>
      </c>
      <c r="C417" s="11" t="s">
        <v>1315</v>
      </c>
      <c r="D417" s="32"/>
      <c r="E417" s="11" t="s">
        <v>4</v>
      </c>
      <c r="F417" s="11">
        <v>1.5</v>
      </c>
      <c r="G417" s="11">
        <v>1</v>
      </c>
      <c r="H417" s="11">
        <f>A416</f>
        <v>410</v>
      </c>
      <c r="I417" s="11"/>
      <c r="J417" s="11"/>
      <c r="K417" s="11"/>
      <c r="L417" s="11"/>
      <c r="M417" s="11" t="s">
        <v>694</v>
      </c>
      <c r="N417" s="11" t="s">
        <v>769</v>
      </c>
      <c r="O417" s="11" t="s">
        <v>464</v>
      </c>
      <c r="P417" s="11" t="s">
        <v>764</v>
      </c>
      <c r="Q417" s="11" t="s">
        <v>770</v>
      </c>
      <c r="R417" s="11" t="str">
        <f t="shared" si="287"/>
        <v/>
      </c>
      <c r="S417" s="11" t="str">
        <f t="shared" si="288"/>
        <v/>
      </c>
      <c r="T417" s="11" t="str">
        <f t="shared" si="289"/>
        <v/>
      </c>
      <c r="U417" s="11" t="str">
        <f t="shared" si="290"/>
        <v/>
      </c>
      <c r="V417" s="11" t="str">
        <f t="shared" si="291"/>
        <v/>
      </c>
      <c r="W417" s="11" t="str">
        <f t="shared" si="330"/>
        <v/>
      </c>
      <c r="X417" s="11" t="s">
        <v>771</v>
      </c>
      <c r="Y417" s="11" t="str">
        <f>HLOOKUP($X417,Tables_Cat!$B$6:$P$7,2,FALSE)</f>
        <v>Material</v>
      </c>
      <c r="Z417" s="24" t="s">
        <v>709</v>
      </c>
      <c r="AA417" s="11" t="s">
        <v>765</v>
      </c>
      <c r="AB417" s="13" t="str">
        <f t="shared" si="314"/>
        <v/>
      </c>
      <c r="AC417" s="11" t="s">
        <v>702</v>
      </c>
      <c r="AD417" s="11" t="str">
        <f t="shared" si="315"/>
        <v/>
      </c>
      <c r="AE417" s="11" t="s">
        <v>772</v>
      </c>
      <c r="AF417" s="11" t="str">
        <f t="shared" si="316"/>
        <v/>
      </c>
      <c r="AG417" s="11" t="str">
        <f t="shared" si="317"/>
        <v/>
      </c>
      <c r="AH417" s="11" t="str">
        <f t="shared" si="318"/>
        <v/>
      </c>
      <c r="AI417" s="11" t="str">
        <f t="shared" si="264"/>
        <v/>
      </c>
      <c r="AJ417" s="11" t="str">
        <f t="shared" si="319"/>
        <v/>
      </c>
      <c r="AK417" s="11" t="str">
        <f t="shared" si="320"/>
        <v/>
      </c>
      <c r="AN417" s="11" t="s">
        <v>1313</v>
      </c>
      <c r="AO417" s="11" t="s">
        <v>766</v>
      </c>
    </row>
    <row r="418" spans="1:41" ht="31.5">
      <c r="A418" s="11">
        <v>412</v>
      </c>
      <c r="B418" s="11" t="s">
        <v>1305</v>
      </c>
      <c r="C418" s="11" t="s">
        <v>1316</v>
      </c>
      <c r="D418" s="32"/>
      <c r="E418" s="11" t="str">
        <f t="shared" ref="E418" si="331">IF(D418="","Select ...")</f>
        <v>Select ...</v>
      </c>
      <c r="F418" s="11"/>
      <c r="G418" s="11"/>
      <c r="H418" s="11"/>
      <c r="I418" s="11"/>
      <c r="J418" s="11"/>
      <c r="K418" s="11"/>
      <c r="L418" s="11"/>
      <c r="M418" s="11" t="s">
        <v>694</v>
      </c>
      <c r="N418" s="11" t="s">
        <v>763</v>
      </c>
      <c r="O418" s="11" t="s">
        <v>464</v>
      </c>
      <c r="P418" s="11" t="s">
        <v>764</v>
      </c>
      <c r="Q418" s="11" t="s">
        <v>1312</v>
      </c>
      <c r="R418" s="11" t="str">
        <f t="shared" si="287"/>
        <v/>
      </c>
      <c r="S418" s="11" t="str">
        <f t="shared" si="288"/>
        <v/>
      </c>
      <c r="T418" s="11" t="str">
        <f t="shared" si="289"/>
        <v/>
      </c>
      <c r="U418" s="11" t="str">
        <f t="shared" si="290"/>
        <v/>
      </c>
      <c r="V418" s="11" t="str">
        <f t="shared" si="291"/>
        <v/>
      </c>
      <c r="W418" s="11" t="str">
        <f>IF($E418="Yes",MAX(R418:V418),"")</f>
        <v/>
      </c>
      <c r="X418" s="11" t="s">
        <v>741</v>
      </c>
      <c r="Y418" s="11" t="str">
        <f>HLOOKUP($X418,Tables_Cat!$B$6:$P$7,2,FALSE)</f>
        <v>Material</v>
      </c>
      <c r="Z418" s="24" t="s">
        <v>1313</v>
      </c>
      <c r="AA418" s="11" t="s">
        <v>765</v>
      </c>
      <c r="AB418" s="13" t="str">
        <f>IF($E418="Yes",($F418-$G418)/$F418,"")</f>
        <v/>
      </c>
      <c r="AC418" s="11" t="s">
        <v>702</v>
      </c>
      <c r="AD418" s="11" t="str">
        <f>IF($E418="Yes",$AB418+$AI418,"")</f>
        <v/>
      </c>
      <c r="AE418" s="11" t="s">
        <v>1314</v>
      </c>
      <c r="AF418" s="11" t="str">
        <f>IF($E418="Yes",$F418*$W418,"")</f>
        <v/>
      </c>
      <c r="AG418" s="11" t="str">
        <f>IF($E418="Yes",$F418*$W418^2,"")</f>
        <v/>
      </c>
      <c r="AH418" s="11" t="str">
        <f>IF($E418="Yes",IF($AA418="Engineer",5,IF($AA418="Implement",4,IF($AA418="Manage",3,IF($AA418="Validate",2,1)))),"")</f>
        <v/>
      </c>
      <c r="AI418" s="11" t="str">
        <f t="shared" si="264"/>
        <v/>
      </c>
      <c r="AJ418" s="11" t="str">
        <f>IF($E418="Yes",$G418*$W418,"")</f>
        <v/>
      </c>
      <c r="AK418" s="11" t="str">
        <f>IF($E418="Yes",$G418*$W418^2,"")</f>
        <v/>
      </c>
      <c r="AN418" s="11" t="s">
        <v>1313</v>
      </c>
      <c r="AO418" s="11" t="s">
        <v>766</v>
      </c>
    </row>
    <row r="419" spans="1:41" ht="47.25">
      <c r="A419" s="11">
        <v>413</v>
      </c>
      <c r="B419" s="11" t="s">
        <v>1305</v>
      </c>
      <c r="C419" s="11" t="s">
        <v>1317</v>
      </c>
      <c r="D419" s="32"/>
      <c r="E419" s="11" t="str">
        <f t="shared" si="329"/>
        <v>Select ...</v>
      </c>
      <c r="F419" s="11"/>
      <c r="G419" s="11"/>
      <c r="H419" s="11"/>
      <c r="I419" s="11"/>
      <c r="J419" s="11"/>
      <c r="K419" s="11"/>
      <c r="L419" s="11"/>
      <c r="M419" s="11" t="s">
        <v>750</v>
      </c>
      <c r="N419" s="11" t="s">
        <v>1318</v>
      </c>
      <c r="O419" s="11" t="s">
        <v>464</v>
      </c>
      <c r="P419" s="11" t="s">
        <v>1319</v>
      </c>
      <c r="Q419" s="11" t="s">
        <v>868</v>
      </c>
      <c r="R419" s="11" t="str">
        <f t="shared" si="287"/>
        <v/>
      </c>
      <c r="S419" s="11" t="str">
        <f t="shared" si="288"/>
        <v/>
      </c>
      <c r="T419" s="11" t="str">
        <f t="shared" si="289"/>
        <v/>
      </c>
      <c r="U419" s="11" t="str">
        <f t="shared" si="290"/>
        <v/>
      </c>
      <c r="V419" s="11" t="str">
        <f t="shared" si="291"/>
        <v/>
      </c>
      <c r="W419" s="11" t="str">
        <f t="shared" si="330"/>
        <v/>
      </c>
      <c r="X419" s="11" t="s">
        <v>914</v>
      </c>
      <c r="Y419" s="11" t="str">
        <f>HLOOKUP($X419,Tables_Cat!$B$6:$P$7,2,FALSE)</f>
        <v>Information</v>
      </c>
      <c r="Z419" s="24" t="s">
        <v>700</v>
      </c>
      <c r="AA419" s="11" t="s">
        <v>751</v>
      </c>
      <c r="AB419" s="13" t="str">
        <f t="shared" si="314"/>
        <v/>
      </c>
      <c r="AC419" s="11" t="s">
        <v>932</v>
      </c>
      <c r="AD419" s="11" t="str">
        <f t="shared" si="315"/>
        <v/>
      </c>
      <c r="AE419" s="11" t="s">
        <v>870</v>
      </c>
      <c r="AF419" s="11" t="str">
        <f t="shared" si="316"/>
        <v/>
      </c>
      <c r="AG419" s="11" t="str">
        <f t="shared" si="317"/>
        <v/>
      </c>
      <c r="AH419" s="11" t="str">
        <f t="shared" si="318"/>
        <v/>
      </c>
      <c r="AI419" s="11" t="str">
        <f t="shared" si="264"/>
        <v/>
      </c>
      <c r="AJ419" s="11" t="str">
        <f t="shared" si="319"/>
        <v/>
      </c>
      <c r="AK419" s="11" t="str">
        <f t="shared" si="320"/>
        <v/>
      </c>
      <c r="AN419" s="11" t="s">
        <v>1307</v>
      </c>
      <c r="AO419" s="11" t="s">
        <v>1320</v>
      </c>
    </row>
    <row r="420" spans="1:41" ht="47.25">
      <c r="A420" s="11">
        <v>414</v>
      </c>
      <c r="B420" s="11" t="s">
        <v>1305</v>
      </c>
      <c r="C420" s="11" t="s">
        <v>1321</v>
      </c>
      <c r="D420" s="32"/>
      <c r="E420" s="11" t="str">
        <f t="shared" ref="E420" si="332">IF(D420="","Select ...")</f>
        <v>Select ...</v>
      </c>
      <c r="F420" s="11"/>
      <c r="G420" s="11"/>
      <c r="H420" s="11"/>
      <c r="I420" s="11"/>
      <c r="J420" s="11"/>
      <c r="K420" s="11"/>
      <c r="L420" s="11"/>
      <c r="M420" s="11" t="s">
        <v>750</v>
      </c>
      <c r="N420" s="11" t="s">
        <v>1318</v>
      </c>
      <c r="O420" s="11" t="s">
        <v>464</v>
      </c>
      <c r="P420" s="11" t="s">
        <v>1319</v>
      </c>
      <c r="Q420" s="11" t="s">
        <v>868</v>
      </c>
      <c r="R420" s="11" t="str">
        <f t="shared" si="287"/>
        <v/>
      </c>
      <c r="S420" s="11" t="str">
        <f t="shared" si="288"/>
        <v/>
      </c>
      <c r="T420" s="11" t="str">
        <f t="shared" si="289"/>
        <v/>
      </c>
      <c r="U420" s="11" t="str">
        <f t="shared" si="290"/>
        <v/>
      </c>
      <c r="V420" s="11" t="str">
        <f t="shared" si="291"/>
        <v/>
      </c>
      <c r="W420" s="11" t="str">
        <f t="shared" ref="W420" si="333">IF($E420="Yes",MAX(R420:V420),"")</f>
        <v/>
      </c>
      <c r="X420" s="11" t="s">
        <v>914</v>
      </c>
      <c r="Y420" s="11" t="str">
        <f>HLOOKUP($X420,Tables_Cat!$B$6:$P$7,2,FALSE)</f>
        <v>Information</v>
      </c>
      <c r="Z420" s="24" t="s">
        <v>904</v>
      </c>
      <c r="AA420" s="11" t="s">
        <v>751</v>
      </c>
      <c r="AB420" s="13" t="str">
        <f t="shared" si="314"/>
        <v/>
      </c>
      <c r="AC420" s="11" t="s">
        <v>932</v>
      </c>
      <c r="AD420" s="11" t="str">
        <f t="shared" si="315"/>
        <v/>
      </c>
      <c r="AE420" s="11" t="s">
        <v>870</v>
      </c>
      <c r="AF420" s="11" t="str">
        <f t="shared" si="316"/>
        <v/>
      </c>
      <c r="AG420" s="11" t="str">
        <f t="shared" si="317"/>
        <v/>
      </c>
      <c r="AH420" s="11" t="str">
        <f t="shared" si="318"/>
        <v/>
      </c>
      <c r="AI420" s="11" t="str">
        <f t="shared" si="264"/>
        <v/>
      </c>
      <c r="AJ420" s="11" t="str">
        <f t="shared" si="319"/>
        <v/>
      </c>
      <c r="AK420" s="11" t="str">
        <f t="shared" si="320"/>
        <v/>
      </c>
      <c r="AN420" s="11" t="s">
        <v>1307</v>
      </c>
      <c r="AO420" s="11" t="s">
        <v>1320</v>
      </c>
    </row>
    <row r="421" spans="1:41" ht="47.25">
      <c r="A421" s="11">
        <v>415</v>
      </c>
      <c r="B421" s="11" t="s">
        <v>1305</v>
      </c>
      <c r="C421" s="11" t="s">
        <v>1322</v>
      </c>
      <c r="D421" s="32"/>
      <c r="E421" s="11" t="str">
        <f t="shared" ref="E421" si="334">IF(D421="","Select ...")</f>
        <v>Select ...</v>
      </c>
      <c r="F421" s="11"/>
      <c r="G421" s="11"/>
      <c r="H421" s="11"/>
      <c r="I421" s="11"/>
      <c r="J421" s="11"/>
      <c r="K421" s="11"/>
      <c r="L421" s="11"/>
      <c r="M421" s="11" t="s">
        <v>750</v>
      </c>
      <c r="N421" s="11" t="s">
        <v>1318</v>
      </c>
      <c r="O421" s="11" t="s">
        <v>464</v>
      </c>
      <c r="P421" s="11" t="s">
        <v>1319</v>
      </c>
      <c r="Q421" s="11" t="s">
        <v>868</v>
      </c>
      <c r="R421" s="11" t="str">
        <f t="shared" si="287"/>
        <v/>
      </c>
      <c r="S421" s="11" t="str">
        <f t="shared" si="288"/>
        <v/>
      </c>
      <c r="T421" s="11" t="str">
        <f t="shared" si="289"/>
        <v/>
      </c>
      <c r="U421" s="11" t="str">
        <f t="shared" si="290"/>
        <v/>
      </c>
      <c r="V421" s="11" t="str">
        <f t="shared" si="291"/>
        <v/>
      </c>
      <c r="W421" s="11" t="str">
        <f t="shared" ref="W421" si="335">IF($E421="Yes",MAX(R421:V421),"")</f>
        <v/>
      </c>
      <c r="X421" s="11" t="s">
        <v>914</v>
      </c>
      <c r="Y421" s="11" t="str">
        <f>HLOOKUP($X421,Tables_Cat!$B$6:$P$7,2,FALSE)</f>
        <v>Information</v>
      </c>
      <c r="Z421" s="24" t="s">
        <v>1313</v>
      </c>
      <c r="AA421" s="11" t="s">
        <v>751</v>
      </c>
      <c r="AB421" s="13" t="str">
        <f t="shared" si="314"/>
        <v/>
      </c>
      <c r="AC421" s="11" t="s">
        <v>932</v>
      </c>
      <c r="AD421" s="11" t="str">
        <f t="shared" si="315"/>
        <v/>
      </c>
      <c r="AE421" s="11" t="s">
        <v>870</v>
      </c>
      <c r="AF421" s="11" t="str">
        <f t="shared" si="316"/>
        <v/>
      </c>
      <c r="AG421" s="11" t="str">
        <f t="shared" si="317"/>
        <v/>
      </c>
      <c r="AH421" s="11" t="str">
        <f t="shared" si="318"/>
        <v/>
      </c>
      <c r="AI421" s="11" t="str">
        <f t="shared" si="264"/>
        <v/>
      </c>
      <c r="AJ421" s="11" t="str">
        <f t="shared" si="319"/>
        <v/>
      </c>
      <c r="AK421" s="11" t="str">
        <f t="shared" si="320"/>
        <v/>
      </c>
      <c r="AN421" s="11" t="s">
        <v>1307</v>
      </c>
      <c r="AO421" s="11" t="s">
        <v>1320</v>
      </c>
    </row>
    <row r="422" spans="1:41" ht="47.25">
      <c r="A422" s="11">
        <v>416</v>
      </c>
      <c r="B422" s="11" t="s">
        <v>1305</v>
      </c>
      <c r="C422" s="11" t="s">
        <v>1323</v>
      </c>
      <c r="D422" s="32"/>
      <c r="E422" s="11" t="str">
        <f t="shared" ref="E422" si="336">IF(D422="","Select ...")</f>
        <v>Select ...</v>
      </c>
      <c r="F422" s="11"/>
      <c r="G422" s="11"/>
      <c r="H422" s="11"/>
      <c r="I422" s="11"/>
      <c r="J422" s="11"/>
      <c r="K422" s="11"/>
      <c r="L422" s="11"/>
      <c r="M422" s="11" t="s">
        <v>750</v>
      </c>
      <c r="N422" s="11" t="s">
        <v>1318</v>
      </c>
      <c r="O422" s="11" t="s">
        <v>1307</v>
      </c>
      <c r="P422" s="11" t="s">
        <v>1307</v>
      </c>
      <c r="Q422" s="11" t="s">
        <v>868</v>
      </c>
      <c r="R422" s="11" t="str">
        <f t="shared" si="287"/>
        <v/>
      </c>
      <c r="S422" s="11" t="str">
        <f t="shared" si="288"/>
        <v/>
      </c>
      <c r="T422" s="11" t="str">
        <f t="shared" si="289"/>
        <v/>
      </c>
      <c r="U422" s="11" t="str">
        <f t="shared" si="290"/>
        <v/>
      </c>
      <c r="V422" s="11" t="str">
        <f t="shared" si="291"/>
        <v/>
      </c>
      <c r="W422" s="11" t="str">
        <f t="shared" ref="W422" si="337">IF($E422="Yes",MAX(R422:V422),"")</f>
        <v/>
      </c>
      <c r="X422" s="11" t="s">
        <v>914</v>
      </c>
      <c r="Y422" s="11" t="str">
        <f>HLOOKUP($X422,Tables_Cat!$B$6:$P$7,2,FALSE)</f>
        <v>Information</v>
      </c>
      <c r="Z422" s="24" t="s">
        <v>700</v>
      </c>
      <c r="AA422" s="11" t="s">
        <v>701</v>
      </c>
      <c r="AB422" s="13" t="str">
        <f t="shared" si="314"/>
        <v/>
      </c>
      <c r="AC422" s="11" t="s">
        <v>932</v>
      </c>
      <c r="AD422" s="11" t="str">
        <f t="shared" si="315"/>
        <v/>
      </c>
      <c r="AE422" s="11" t="s">
        <v>870</v>
      </c>
      <c r="AF422" s="11" t="str">
        <f t="shared" si="316"/>
        <v/>
      </c>
      <c r="AG422" s="11" t="str">
        <f t="shared" si="317"/>
        <v/>
      </c>
      <c r="AH422" s="11" t="str">
        <f t="shared" si="318"/>
        <v/>
      </c>
      <c r="AI422" s="11" t="str">
        <f t="shared" si="264"/>
        <v/>
      </c>
      <c r="AJ422" s="11" t="str">
        <f t="shared" si="319"/>
        <v/>
      </c>
      <c r="AK422" s="11" t="str">
        <f t="shared" si="320"/>
        <v/>
      </c>
      <c r="AN422" s="11" t="s">
        <v>1307</v>
      </c>
      <c r="AO422" s="11" t="s">
        <v>1324</v>
      </c>
    </row>
    <row r="423" spans="1:41" ht="47.25">
      <c r="A423" s="11">
        <v>417</v>
      </c>
      <c r="B423" s="11" t="s">
        <v>1305</v>
      </c>
      <c r="C423" s="11" t="s">
        <v>1325</v>
      </c>
      <c r="D423" s="32"/>
      <c r="E423" s="11" t="str">
        <f t="shared" ref="E423" si="338">IF(D423="","Select ...")</f>
        <v>Select ...</v>
      </c>
      <c r="F423" s="11"/>
      <c r="G423" s="11"/>
      <c r="H423" s="11"/>
      <c r="I423" s="11"/>
      <c r="J423" s="11"/>
      <c r="K423" s="11"/>
      <c r="L423" s="11"/>
      <c r="M423" s="11" t="s">
        <v>750</v>
      </c>
      <c r="N423" s="11" t="s">
        <v>1318</v>
      </c>
      <c r="O423" s="11" t="s">
        <v>1307</v>
      </c>
      <c r="P423" s="11" t="s">
        <v>1307</v>
      </c>
      <c r="Q423" s="11" t="s">
        <v>463</v>
      </c>
      <c r="R423" s="11" t="str">
        <f t="shared" si="287"/>
        <v/>
      </c>
      <c r="S423" s="11" t="str">
        <f t="shared" si="288"/>
        <v/>
      </c>
      <c r="T423" s="11" t="str">
        <f t="shared" si="289"/>
        <v/>
      </c>
      <c r="U423" s="11" t="str">
        <f t="shared" si="290"/>
        <v/>
      </c>
      <c r="V423" s="11" t="str">
        <f t="shared" si="291"/>
        <v/>
      </c>
      <c r="W423" s="11" t="str">
        <f t="shared" ref="W423" si="339">IF($E423="Yes",MAX(R423:V423),"")</f>
        <v/>
      </c>
      <c r="X423" s="11" t="s">
        <v>860</v>
      </c>
      <c r="Y423" s="11" t="str">
        <f>HLOOKUP($X423,Tables_Cat!$B$6:$P$7,2,FALSE)</f>
        <v>Information</v>
      </c>
      <c r="Z423" s="24" t="s">
        <v>700</v>
      </c>
      <c r="AA423" s="11" t="s">
        <v>701</v>
      </c>
      <c r="AB423" s="13" t="str">
        <f t="shared" si="314"/>
        <v/>
      </c>
      <c r="AC423" s="11" t="s">
        <v>932</v>
      </c>
      <c r="AD423" s="11" t="str">
        <f t="shared" si="315"/>
        <v/>
      </c>
      <c r="AE423" s="11" t="s">
        <v>1326</v>
      </c>
      <c r="AF423" s="11" t="str">
        <f t="shared" si="316"/>
        <v/>
      </c>
      <c r="AG423" s="11" t="str">
        <f t="shared" si="317"/>
        <v/>
      </c>
      <c r="AH423" s="11" t="str">
        <f t="shared" si="318"/>
        <v/>
      </c>
      <c r="AI423" s="11" t="str">
        <f t="shared" si="264"/>
        <v/>
      </c>
      <c r="AJ423" s="11" t="str">
        <f t="shared" si="319"/>
        <v/>
      </c>
      <c r="AK423" s="11" t="str">
        <f t="shared" si="320"/>
        <v/>
      </c>
      <c r="AN423" s="11" t="s">
        <v>1307</v>
      </c>
      <c r="AO423" s="11" t="s">
        <v>1324</v>
      </c>
    </row>
    <row r="424" spans="1:41" ht="47.25">
      <c r="A424" s="11">
        <v>418</v>
      </c>
      <c r="B424" s="11" t="s">
        <v>1305</v>
      </c>
      <c r="C424" s="11" t="s">
        <v>1327</v>
      </c>
      <c r="D424" s="32"/>
      <c r="E424" s="11" t="str">
        <f t="shared" ref="E424" si="340">IF(D424="","Select ...")</f>
        <v>Select ...</v>
      </c>
      <c r="F424" s="11"/>
      <c r="G424" s="11"/>
      <c r="H424" s="11"/>
      <c r="I424" s="11"/>
      <c r="J424" s="11"/>
      <c r="K424" s="11"/>
      <c r="L424" s="11"/>
      <c r="M424" s="11" t="s">
        <v>750</v>
      </c>
      <c r="N424" s="11" t="s">
        <v>1318</v>
      </c>
      <c r="O424" s="11" t="s">
        <v>1307</v>
      </c>
      <c r="P424" s="11" t="s">
        <v>1307</v>
      </c>
      <c r="Q424" s="11" t="s">
        <v>1312</v>
      </c>
      <c r="R424" s="11" t="str">
        <f t="shared" si="287"/>
        <v/>
      </c>
      <c r="S424" s="11" t="str">
        <f t="shared" si="288"/>
        <v/>
      </c>
      <c r="T424" s="11" t="str">
        <f t="shared" si="289"/>
        <v/>
      </c>
      <c r="U424" s="11" t="str">
        <f t="shared" si="290"/>
        <v/>
      </c>
      <c r="V424" s="11" t="str">
        <f t="shared" si="291"/>
        <v/>
      </c>
      <c r="W424" s="11" t="str">
        <f t="shared" ref="W424" si="341">IF($E424="Yes",MAX(R424:V424),"")</f>
        <v/>
      </c>
      <c r="X424" s="11" t="s">
        <v>881</v>
      </c>
      <c r="Y424" s="11" t="str">
        <f>HLOOKUP($X424,Tables_Cat!$B$6:$P$7,2,FALSE)</f>
        <v>Material</v>
      </c>
      <c r="Z424" s="24" t="s">
        <v>700</v>
      </c>
      <c r="AA424" s="11" t="s">
        <v>728</v>
      </c>
      <c r="AB424" s="13" t="str">
        <f t="shared" si="314"/>
        <v/>
      </c>
      <c r="AC424" s="11" t="s">
        <v>932</v>
      </c>
      <c r="AD424" s="11" t="str">
        <f t="shared" si="315"/>
        <v/>
      </c>
      <c r="AE424" s="11" t="s">
        <v>1314</v>
      </c>
      <c r="AF424" s="11" t="str">
        <f t="shared" si="316"/>
        <v/>
      </c>
      <c r="AG424" s="11" t="str">
        <f t="shared" si="317"/>
        <v/>
      </c>
      <c r="AH424" s="11" t="str">
        <f t="shared" si="318"/>
        <v/>
      </c>
      <c r="AI424" s="11" t="str">
        <f t="shared" si="264"/>
        <v/>
      </c>
      <c r="AJ424" s="11" t="str">
        <f t="shared" si="319"/>
        <v/>
      </c>
      <c r="AK424" s="11" t="str">
        <f t="shared" si="320"/>
        <v/>
      </c>
      <c r="AN424" s="11" t="s">
        <v>1307</v>
      </c>
      <c r="AO424" s="11" t="s">
        <v>1324</v>
      </c>
    </row>
    <row r="425" spans="1:41" ht="47.25">
      <c r="A425" s="11">
        <v>419</v>
      </c>
      <c r="B425" s="11" t="s">
        <v>1305</v>
      </c>
      <c r="C425" s="11" t="s">
        <v>1328</v>
      </c>
      <c r="D425" s="32"/>
      <c r="E425" s="11" t="str">
        <f t="shared" ref="E425:E426" si="342">IF(D425="","Select ...")</f>
        <v>Select ...</v>
      </c>
      <c r="F425" s="11"/>
      <c r="G425" s="11"/>
      <c r="H425" s="11"/>
      <c r="I425" s="11"/>
      <c r="J425" s="11"/>
      <c r="K425" s="11"/>
      <c r="L425" s="11"/>
      <c r="M425" s="11" t="s">
        <v>750</v>
      </c>
      <c r="N425" s="11" t="s">
        <v>1318</v>
      </c>
      <c r="O425" s="11" t="s">
        <v>1307</v>
      </c>
      <c r="P425" s="11" t="s">
        <v>1307</v>
      </c>
      <c r="Q425" s="11" t="s">
        <v>1312</v>
      </c>
      <c r="R425" s="11" t="str">
        <f t="shared" si="287"/>
        <v/>
      </c>
      <c r="S425" s="11" t="str">
        <f t="shared" si="288"/>
        <v/>
      </c>
      <c r="T425" s="11" t="str">
        <f t="shared" si="289"/>
        <v/>
      </c>
      <c r="U425" s="11" t="str">
        <f t="shared" si="290"/>
        <v/>
      </c>
      <c r="V425" s="11" t="str">
        <f t="shared" si="291"/>
        <v/>
      </c>
      <c r="W425" s="11" t="str">
        <f t="shared" ref="W425:W426" si="343">IF($E425="Yes",MAX(R425:V425),"")</f>
        <v/>
      </c>
      <c r="X425" s="11" t="s">
        <v>727</v>
      </c>
      <c r="Y425" s="11" t="str">
        <f>HLOOKUP($X425,Tables_Cat!$B$6:$P$7,2,FALSE)</f>
        <v>Material</v>
      </c>
      <c r="Z425" s="24" t="s">
        <v>700</v>
      </c>
      <c r="AA425" s="11" t="s">
        <v>728</v>
      </c>
      <c r="AB425" s="13" t="str">
        <f t="shared" si="314"/>
        <v/>
      </c>
      <c r="AC425" s="11" t="s">
        <v>932</v>
      </c>
      <c r="AD425" s="11" t="str">
        <f t="shared" si="315"/>
        <v/>
      </c>
      <c r="AE425" s="11" t="s">
        <v>1314</v>
      </c>
      <c r="AF425" s="11" t="str">
        <f t="shared" si="316"/>
        <v/>
      </c>
      <c r="AG425" s="11" t="str">
        <f t="shared" si="317"/>
        <v/>
      </c>
      <c r="AH425" s="11" t="str">
        <f t="shared" si="318"/>
        <v/>
      </c>
      <c r="AI425" s="11" t="str">
        <f t="shared" si="264"/>
        <v/>
      </c>
      <c r="AJ425" s="11" t="str">
        <f t="shared" si="319"/>
        <v/>
      </c>
      <c r="AK425" s="11" t="str">
        <f t="shared" si="320"/>
        <v/>
      </c>
      <c r="AN425" s="11" t="s">
        <v>1307</v>
      </c>
      <c r="AO425" s="11" t="s">
        <v>1324</v>
      </c>
    </row>
    <row r="426" spans="1:41" ht="47.25">
      <c r="A426" s="11">
        <v>420</v>
      </c>
      <c r="B426" s="11" t="s">
        <v>1305</v>
      </c>
      <c r="C426" s="11" t="s">
        <v>1329</v>
      </c>
      <c r="D426" s="32"/>
      <c r="E426" s="11" t="str">
        <f t="shared" si="342"/>
        <v>Select ...</v>
      </c>
      <c r="F426" s="11"/>
      <c r="G426" s="11"/>
      <c r="H426" s="11"/>
      <c r="I426" s="11"/>
      <c r="J426" s="11"/>
      <c r="K426" s="11"/>
      <c r="L426" s="11"/>
      <c r="M426" s="11" t="s">
        <v>750</v>
      </c>
      <c r="N426" s="11" t="s">
        <v>1318</v>
      </c>
      <c r="O426" s="11" t="s">
        <v>1307</v>
      </c>
      <c r="P426" s="11" t="s">
        <v>1307</v>
      </c>
      <c r="Q426" s="11" t="s">
        <v>1312</v>
      </c>
      <c r="R426" s="11" t="str">
        <f t="shared" si="287"/>
        <v/>
      </c>
      <c r="S426" s="11" t="str">
        <f t="shared" si="288"/>
        <v/>
      </c>
      <c r="T426" s="11" t="str">
        <f t="shared" si="289"/>
        <v/>
      </c>
      <c r="U426" s="11" t="str">
        <f t="shared" si="290"/>
        <v/>
      </c>
      <c r="V426" s="11" t="str">
        <f t="shared" si="291"/>
        <v/>
      </c>
      <c r="W426" s="11" t="str">
        <f t="shared" si="343"/>
        <v/>
      </c>
      <c r="X426" s="11" t="s">
        <v>92</v>
      </c>
      <c r="Y426" s="11" t="str">
        <f>HLOOKUP($X426,Tables_Cat!$B$6:$P$7,2,FALSE)</f>
        <v>Material</v>
      </c>
      <c r="Z426" s="24" t="s">
        <v>700</v>
      </c>
      <c r="AA426" s="11" t="s">
        <v>728</v>
      </c>
      <c r="AB426" s="13" t="str">
        <f t="shared" si="314"/>
        <v/>
      </c>
      <c r="AC426" s="11" t="s">
        <v>932</v>
      </c>
      <c r="AD426" s="11" t="str">
        <f t="shared" si="315"/>
        <v/>
      </c>
      <c r="AE426" s="11" t="s">
        <v>1314</v>
      </c>
      <c r="AF426" s="11" t="str">
        <f t="shared" si="316"/>
        <v/>
      </c>
      <c r="AG426" s="11" t="str">
        <f t="shared" si="317"/>
        <v/>
      </c>
      <c r="AH426" s="11" t="str">
        <f t="shared" si="318"/>
        <v/>
      </c>
      <c r="AI426" s="11" t="str">
        <f t="shared" si="264"/>
        <v/>
      </c>
      <c r="AJ426" s="11" t="str">
        <f t="shared" si="319"/>
        <v/>
      </c>
      <c r="AK426" s="11" t="str">
        <f t="shared" si="320"/>
        <v/>
      </c>
      <c r="AN426" s="11" t="s">
        <v>1307</v>
      </c>
      <c r="AO426" s="11" t="s">
        <v>1324</v>
      </c>
    </row>
    <row r="427" spans="1:41" ht="47.25">
      <c r="A427" s="11">
        <v>421</v>
      </c>
      <c r="B427" s="11" t="s">
        <v>1330</v>
      </c>
      <c r="C427" s="11" t="s">
        <v>1331</v>
      </c>
      <c r="D427" s="32"/>
      <c r="E427" s="11" t="s">
        <v>4</v>
      </c>
      <c r="F427" s="11">
        <v>0.01</v>
      </c>
      <c r="G427" s="11">
        <v>0.01</v>
      </c>
      <c r="H427" s="11">
        <f>A440</f>
        <v>434</v>
      </c>
      <c r="I427" s="11"/>
      <c r="J427" s="11"/>
      <c r="K427" s="11"/>
      <c r="L427" s="11"/>
      <c r="M427" s="11" t="s">
        <v>750</v>
      </c>
      <c r="N427" s="11" t="s">
        <v>735</v>
      </c>
      <c r="O427" s="11" t="s">
        <v>931</v>
      </c>
      <c r="P427" s="11" t="s">
        <v>1020</v>
      </c>
      <c r="Q427" s="11" t="s">
        <v>921</v>
      </c>
      <c r="R427" s="11" t="str">
        <f t="shared" si="287"/>
        <v/>
      </c>
      <c r="S427" s="11" t="str">
        <f t="shared" si="288"/>
        <v/>
      </c>
      <c r="T427" s="11" t="str">
        <f t="shared" si="289"/>
        <v/>
      </c>
      <c r="U427" s="11" t="str">
        <f t="shared" si="290"/>
        <v/>
      </c>
      <c r="V427" s="11" t="str">
        <f t="shared" si="291"/>
        <v/>
      </c>
      <c r="W427" s="11" t="str">
        <f>IF($E427="Yes",MAX(R427:V427),"")</f>
        <v/>
      </c>
      <c r="X427" s="11" t="s">
        <v>741</v>
      </c>
      <c r="Y427" s="11" t="str">
        <f>HLOOKUP($X427,Tables_Cat!$B$6:$P$7,2,FALSE)</f>
        <v>Material</v>
      </c>
      <c r="Z427" s="24" t="s">
        <v>904</v>
      </c>
      <c r="AA427" s="11" t="s">
        <v>728</v>
      </c>
      <c r="AB427" s="13" t="str">
        <f>IF($E427="Yes",($F427-$G427)/$F427,"")</f>
        <v/>
      </c>
      <c r="AC427" s="11" t="s">
        <v>922</v>
      </c>
      <c r="AD427" s="11" t="str">
        <f>IF($E427="Yes",$AB427+$AI427,"")</f>
        <v/>
      </c>
      <c r="AE427" s="11" t="s">
        <v>923</v>
      </c>
      <c r="AF427" s="11" t="str">
        <f>IF($E427="Yes",$F427*$W427,"")</f>
        <v/>
      </c>
      <c r="AG427" s="11" t="str">
        <f>IF($E427="Yes",$F427*$W427^2,"")</f>
        <v/>
      </c>
      <c r="AH427" s="11" t="str">
        <f>IF($E427="Yes",IF($AA427="Engineer",5,IF($AA427="Implement",4,IF($AA427="Manage",3,IF($AA427="Validate",2,1)))),"")</f>
        <v/>
      </c>
      <c r="AI427" s="11" t="str">
        <f>IF(AND($E427="Yes",$Z427&lt;&gt;"Not applicable"),IF($Z427="Manual/ None",0,IF($Z427="Other",2,4)),"")</f>
        <v/>
      </c>
      <c r="AJ427" s="11" t="str">
        <f>IF($E427="Yes",$G427*$W427,"")</f>
        <v/>
      </c>
      <c r="AK427" s="11" t="str">
        <f>IF($E427="Yes",$G427*$W427^2,"")</f>
        <v/>
      </c>
      <c r="AN427" s="11" t="s">
        <v>92</v>
      </c>
      <c r="AO427" s="11" t="s">
        <v>1332</v>
      </c>
    </row>
    <row r="428" spans="1:41" ht="47.25">
      <c r="A428" s="11">
        <v>422</v>
      </c>
      <c r="B428" s="11" t="s">
        <v>1330</v>
      </c>
      <c r="C428" s="11" t="s">
        <v>1333</v>
      </c>
      <c r="D428" s="32"/>
      <c r="E428" s="11" t="s">
        <v>4</v>
      </c>
      <c r="F428" s="11">
        <v>0.01</v>
      </c>
      <c r="G428" s="11">
        <v>0.01</v>
      </c>
      <c r="H428" s="11">
        <f>A441</f>
        <v>435</v>
      </c>
      <c r="I428" s="11"/>
      <c r="J428" s="11"/>
      <c r="K428" s="11"/>
      <c r="L428" s="11"/>
      <c r="M428" s="11" t="s">
        <v>750</v>
      </c>
      <c r="N428" s="11" t="s">
        <v>735</v>
      </c>
      <c r="O428" s="11" t="s">
        <v>931</v>
      </c>
      <c r="P428" s="11" t="s">
        <v>1020</v>
      </c>
      <c r="Q428" s="11" t="s">
        <v>921</v>
      </c>
      <c r="R428" s="11" t="str">
        <f t="shared" si="287"/>
        <v/>
      </c>
      <c r="S428" s="11" t="str">
        <f t="shared" si="288"/>
        <v/>
      </c>
      <c r="T428" s="11" t="str">
        <f t="shared" si="289"/>
        <v/>
      </c>
      <c r="U428" s="11" t="str">
        <f t="shared" si="290"/>
        <v/>
      </c>
      <c r="V428" s="11" t="str">
        <f t="shared" si="291"/>
        <v/>
      </c>
      <c r="W428" s="11" t="str">
        <f>IF($E428="Yes",MAX(R428:V428),"")</f>
        <v/>
      </c>
      <c r="X428" s="11" t="s">
        <v>741</v>
      </c>
      <c r="Y428" s="11" t="str">
        <f>HLOOKUP($X428,Tables_Cat!$B$6:$P$7,2,FALSE)</f>
        <v>Material</v>
      </c>
      <c r="Z428" s="24" t="s">
        <v>904</v>
      </c>
      <c r="AA428" s="11" t="s">
        <v>728</v>
      </c>
      <c r="AB428" s="13" t="str">
        <f>IF($E428="Yes",($F428-$G428)/$F428,"")</f>
        <v/>
      </c>
      <c r="AC428" s="11" t="s">
        <v>922</v>
      </c>
      <c r="AD428" s="11" t="str">
        <f>IF($E428="Yes",$AB428+$AI428,"")</f>
        <v/>
      </c>
      <c r="AE428" s="11" t="s">
        <v>923</v>
      </c>
      <c r="AF428" s="11" t="str">
        <f>IF($E428="Yes",$F428*$W428,"")</f>
        <v/>
      </c>
      <c r="AG428" s="11" t="str">
        <f>IF($E428="Yes",$F428*$W428^2,"")</f>
        <v/>
      </c>
      <c r="AH428" s="11" t="str">
        <f>IF($E428="Yes",IF($AA428="Engineer",5,IF($AA428="Implement",4,IF($AA428="Manage",3,IF($AA428="Validate",2,1)))),"")</f>
        <v/>
      </c>
      <c r="AI428" s="11" t="str">
        <f>IF(AND($E428="Yes",$Z428&lt;&gt;"Not applicable"),IF($Z428="Manual/ None",0,IF($Z428="Other",2,4)),"")</f>
        <v/>
      </c>
      <c r="AJ428" s="11" t="str">
        <f>IF($E428="Yes",$G428*$W428,"")</f>
        <v/>
      </c>
      <c r="AK428" s="11" t="str">
        <f>IF($E428="Yes",$G428*$W428^2,"")</f>
        <v/>
      </c>
      <c r="AN428" s="11" t="s">
        <v>92</v>
      </c>
      <c r="AO428" s="11" t="s">
        <v>1332</v>
      </c>
    </row>
    <row r="429" spans="1:41" ht="47.25">
      <c r="A429" s="11">
        <v>423</v>
      </c>
      <c r="B429" s="11" t="s">
        <v>1305</v>
      </c>
      <c r="C429" s="11" t="s">
        <v>1334</v>
      </c>
      <c r="D429" s="32"/>
      <c r="E429" s="11" t="str">
        <f t="shared" ref="E429:E432" si="344">IF(D429="","Select ...")</f>
        <v>Select ...</v>
      </c>
      <c r="F429" s="11"/>
      <c r="G429" s="11"/>
      <c r="H429" s="11"/>
      <c r="I429" s="11"/>
      <c r="J429" s="11"/>
      <c r="K429" s="11"/>
      <c r="L429" s="11"/>
      <c r="M429" s="11" t="s">
        <v>750</v>
      </c>
      <c r="N429" s="11" t="s">
        <v>1318</v>
      </c>
      <c r="O429" s="11" t="s">
        <v>1307</v>
      </c>
      <c r="P429" s="11" t="s">
        <v>1319</v>
      </c>
      <c r="Q429" s="11" t="s">
        <v>868</v>
      </c>
      <c r="R429" s="11" t="str">
        <f t="shared" si="287"/>
        <v/>
      </c>
      <c r="S429" s="11" t="str">
        <f t="shared" si="288"/>
        <v/>
      </c>
      <c r="T429" s="11" t="str">
        <f t="shared" si="289"/>
        <v/>
      </c>
      <c r="U429" s="11" t="str">
        <f t="shared" si="290"/>
        <v/>
      </c>
      <c r="V429" s="11" t="str">
        <f t="shared" si="291"/>
        <v/>
      </c>
      <c r="W429" s="11" t="str">
        <f t="shared" ref="W429:W432" si="345">IF($E429="Yes",MAX(R429:V429),"")</f>
        <v/>
      </c>
      <c r="X429" s="11" t="s">
        <v>914</v>
      </c>
      <c r="Y429" s="11" t="str">
        <f>HLOOKUP($X429,Tables_Cat!$B$6:$P$7,2,FALSE)</f>
        <v>Information</v>
      </c>
      <c r="Z429" s="24" t="s">
        <v>869</v>
      </c>
      <c r="AA429" s="11" t="s">
        <v>701</v>
      </c>
      <c r="AB429" s="13" t="str">
        <f t="shared" si="314"/>
        <v/>
      </c>
      <c r="AC429" s="11" t="s">
        <v>932</v>
      </c>
      <c r="AD429" s="11" t="str">
        <f t="shared" si="315"/>
        <v/>
      </c>
      <c r="AE429" s="11" t="s">
        <v>870</v>
      </c>
      <c r="AF429" s="11" t="str">
        <f t="shared" si="316"/>
        <v/>
      </c>
      <c r="AG429" s="11" t="str">
        <f t="shared" si="317"/>
        <v/>
      </c>
      <c r="AH429" s="11" t="str">
        <f t="shared" si="318"/>
        <v/>
      </c>
      <c r="AI429" s="11" t="str">
        <f t="shared" si="264"/>
        <v/>
      </c>
      <c r="AJ429" s="11" t="str">
        <f t="shared" si="319"/>
        <v/>
      </c>
      <c r="AK429" s="11" t="str">
        <f t="shared" si="320"/>
        <v/>
      </c>
      <c r="AN429" s="11" t="s">
        <v>1307</v>
      </c>
      <c r="AO429" s="11" t="s">
        <v>1324</v>
      </c>
    </row>
    <row r="430" spans="1:41" ht="47.25">
      <c r="A430" s="11">
        <v>424</v>
      </c>
      <c r="B430" s="11" t="s">
        <v>1335</v>
      </c>
      <c r="C430" s="11" t="s">
        <v>1336</v>
      </c>
      <c r="D430" s="32"/>
      <c r="E430" s="11" t="str">
        <f t="shared" si="344"/>
        <v>Select ...</v>
      </c>
      <c r="F430" s="11"/>
      <c r="G430" s="11"/>
      <c r="H430" s="11"/>
      <c r="I430" s="11"/>
      <c r="J430" s="11"/>
      <c r="K430" s="11"/>
      <c r="L430" s="11"/>
      <c r="M430" s="11" t="s">
        <v>750</v>
      </c>
      <c r="N430" s="11" t="s">
        <v>1318</v>
      </c>
      <c r="O430" s="11" t="s">
        <v>1307</v>
      </c>
      <c r="P430" s="11" t="s">
        <v>1337</v>
      </c>
      <c r="Q430" s="11" t="s">
        <v>1312</v>
      </c>
      <c r="R430" s="11" t="str">
        <f t="shared" si="287"/>
        <v/>
      </c>
      <c r="S430" s="11" t="str">
        <f t="shared" si="288"/>
        <v/>
      </c>
      <c r="T430" s="11" t="str">
        <f t="shared" si="289"/>
        <v/>
      </c>
      <c r="U430" s="11" t="str">
        <f t="shared" si="290"/>
        <v/>
      </c>
      <c r="V430" s="11" t="str">
        <f t="shared" si="291"/>
        <v/>
      </c>
      <c r="W430" s="11" t="str">
        <f t="shared" si="345"/>
        <v/>
      </c>
      <c r="X430" s="11" t="s">
        <v>881</v>
      </c>
      <c r="Y430" s="11" t="str">
        <f>HLOOKUP($X430,Tables_Cat!$B$6:$P$7,2,FALSE)</f>
        <v>Material</v>
      </c>
      <c r="Z430" s="24" t="s">
        <v>700</v>
      </c>
      <c r="AA430" s="11" t="s">
        <v>728</v>
      </c>
      <c r="AB430" s="13" t="str">
        <f t="shared" si="314"/>
        <v/>
      </c>
      <c r="AC430" s="11" t="s">
        <v>1338</v>
      </c>
      <c r="AD430" s="11" t="str">
        <f t="shared" si="315"/>
        <v/>
      </c>
      <c r="AE430" s="11" t="s">
        <v>1314</v>
      </c>
      <c r="AF430" s="11" t="str">
        <f t="shared" si="316"/>
        <v/>
      </c>
      <c r="AG430" s="11" t="str">
        <f t="shared" si="317"/>
        <v/>
      </c>
      <c r="AH430" s="11" t="str">
        <f t="shared" si="318"/>
        <v/>
      </c>
      <c r="AI430" s="11" t="str">
        <f t="shared" si="264"/>
        <v/>
      </c>
      <c r="AJ430" s="11" t="str">
        <f t="shared" si="319"/>
        <v/>
      </c>
      <c r="AK430" s="11" t="str">
        <f t="shared" si="320"/>
        <v/>
      </c>
      <c r="AN430" s="11" t="s">
        <v>1337</v>
      </c>
      <c r="AO430" s="11" t="s">
        <v>1339</v>
      </c>
    </row>
    <row r="431" spans="1:41" ht="47.25">
      <c r="A431" s="11">
        <v>425</v>
      </c>
      <c r="B431" s="11" t="s">
        <v>1335</v>
      </c>
      <c r="C431" s="11" t="s">
        <v>1340</v>
      </c>
      <c r="D431" s="32"/>
      <c r="E431" s="11" t="str">
        <f t="shared" si="344"/>
        <v>Select ...</v>
      </c>
      <c r="F431" s="11"/>
      <c r="G431" s="11"/>
      <c r="H431" s="11"/>
      <c r="I431" s="11"/>
      <c r="J431" s="11"/>
      <c r="K431" s="11"/>
      <c r="L431" s="11"/>
      <c r="M431" s="11" t="s">
        <v>750</v>
      </c>
      <c r="N431" s="11" t="s">
        <v>1318</v>
      </c>
      <c r="O431" s="11" t="s">
        <v>1307</v>
      </c>
      <c r="P431" s="11" t="s">
        <v>1337</v>
      </c>
      <c r="Q431" s="11" t="s">
        <v>1312</v>
      </c>
      <c r="R431" s="11" t="str">
        <f t="shared" si="287"/>
        <v/>
      </c>
      <c r="S431" s="11" t="str">
        <f t="shared" si="288"/>
        <v/>
      </c>
      <c r="T431" s="11" t="str">
        <f t="shared" si="289"/>
        <v/>
      </c>
      <c r="U431" s="11" t="str">
        <f t="shared" si="290"/>
        <v/>
      </c>
      <c r="V431" s="11" t="str">
        <f t="shared" si="291"/>
        <v/>
      </c>
      <c r="W431" s="11" t="str">
        <f t="shared" si="345"/>
        <v/>
      </c>
      <c r="X431" s="11" t="s">
        <v>727</v>
      </c>
      <c r="Y431" s="11" t="str">
        <f>HLOOKUP($X431,Tables_Cat!$B$6:$P$7,2,FALSE)</f>
        <v>Material</v>
      </c>
      <c r="Z431" s="24" t="s">
        <v>700</v>
      </c>
      <c r="AA431" s="11" t="s">
        <v>728</v>
      </c>
      <c r="AB431" s="13" t="str">
        <f t="shared" si="314"/>
        <v/>
      </c>
      <c r="AC431" s="11" t="s">
        <v>1338</v>
      </c>
      <c r="AD431" s="11" t="str">
        <f t="shared" si="315"/>
        <v/>
      </c>
      <c r="AE431" s="11" t="s">
        <v>1314</v>
      </c>
      <c r="AF431" s="11" t="str">
        <f t="shared" si="316"/>
        <v/>
      </c>
      <c r="AG431" s="11" t="str">
        <f t="shared" si="317"/>
        <v/>
      </c>
      <c r="AH431" s="11" t="str">
        <f t="shared" si="318"/>
        <v/>
      </c>
      <c r="AI431" s="11" t="str">
        <f t="shared" si="264"/>
        <v/>
      </c>
      <c r="AJ431" s="11" t="str">
        <f t="shared" si="319"/>
        <v/>
      </c>
      <c r="AK431" s="11" t="str">
        <f t="shared" si="320"/>
        <v/>
      </c>
      <c r="AN431" s="11" t="s">
        <v>1337</v>
      </c>
      <c r="AO431" s="11" t="s">
        <v>1339</v>
      </c>
    </row>
    <row r="432" spans="1:41" ht="47.25">
      <c r="A432" s="11">
        <v>426</v>
      </c>
      <c r="B432" s="11" t="s">
        <v>1335</v>
      </c>
      <c r="C432" s="11" t="s">
        <v>1341</v>
      </c>
      <c r="D432" s="32"/>
      <c r="E432" s="11" t="str">
        <f t="shared" si="344"/>
        <v>Select ...</v>
      </c>
      <c r="F432" s="11"/>
      <c r="G432" s="11"/>
      <c r="H432" s="11"/>
      <c r="I432" s="11"/>
      <c r="J432" s="11"/>
      <c r="K432" s="11"/>
      <c r="L432" s="11"/>
      <c r="M432" s="11" t="s">
        <v>750</v>
      </c>
      <c r="N432" s="11" t="s">
        <v>1318</v>
      </c>
      <c r="O432" s="11" t="s">
        <v>1307</v>
      </c>
      <c r="P432" s="11" t="s">
        <v>1337</v>
      </c>
      <c r="Q432" s="11" t="s">
        <v>1312</v>
      </c>
      <c r="R432" s="11" t="str">
        <f t="shared" si="287"/>
        <v/>
      </c>
      <c r="S432" s="11" t="str">
        <f t="shared" si="288"/>
        <v/>
      </c>
      <c r="T432" s="11" t="str">
        <f t="shared" si="289"/>
        <v/>
      </c>
      <c r="U432" s="11" t="str">
        <f t="shared" si="290"/>
        <v/>
      </c>
      <c r="V432" s="11" t="str">
        <f t="shared" si="291"/>
        <v/>
      </c>
      <c r="W432" s="11" t="str">
        <f t="shared" si="345"/>
        <v/>
      </c>
      <c r="X432" s="11" t="s">
        <v>92</v>
      </c>
      <c r="Y432" s="11" t="str">
        <f>HLOOKUP($X432,Tables_Cat!$B$6:$P$7,2,FALSE)</f>
        <v>Material</v>
      </c>
      <c r="Z432" s="24" t="s">
        <v>700</v>
      </c>
      <c r="AA432" s="11" t="s">
        <v>728</v>
      </c>
      <c r="AB432" s="13" t="str">
        <f t="shared" si="314"/>
        <v/>
      </c>
      <c r="AC432" s="11" t="s">
        <v>1338</v>
      </c>
      <c r="AD432" s="11" t="str">
        <f t="shared" si="315"/>
        <v/>
      </c>
      <c r="AE432" s="11" t="s">
        <v>1314</v>
      </c>
      <c r="AF432" s="11" t="str">
        <f t="shared" si="316"/>
        <v/>
      </c>
      <c r="AG432" s="11" t="str">
        <f t="shared" si="317"/>
        <v/>
      </c>
      <c r="AH432" s="11" t="str">
        <f t="shared" si="318"/>
        <v/>
      </c>
      <c r="AI432" s="11" t="str">
        <f t="shared" si="264"/>
        <v/>
      </c>
      <c r="AJ432" s="11" t="str">
        <f t="shared" si="319"/>
        <v/>
      </c>
      <c r="AK432" s="11" t="str">
        <f t="shared" si="320"/>
        <v/>
      </c>
      <c r="AN432" s="11" t="s">
        <v>1337</v>
      </c>
      <c r="AO432" s="11" t="s">
        <v>1339</v>
      </c>
    </row>
    <row r="433" spans="1:41" ht="47.25">
      <c r="A433" s="11">
        <v>427</v>
      </c>
      <c r="B433" s="11" t="s">
        <v>1335</v>
      </c>
      <c r="C433" s="11" t="s">
        <v>1342</v>
      </c>
      <c r="D433" s="32"/>
      <c r="E433" s="11" t="str">
        <f t="shared" ref="E433" si="346">IF(D433="","Select ...")</f>
        <v>Select ...</v>
      </c>
      <c r="F433" s="11"/>
      <c r="G433" s="11"/>
      <c r="H433" s="11"/>
      <c r="I433" s="11"/>
      <c r="J433" s="11"/>
      <c r="K433" s="11"/>
      <c r="L433" s="11"/>
      <c r="M433" s="11" t="s">
        <v>750</v>
      </c>
      <c r="N433" s="11" t="s">
        <v>1318</v>
      </c>
      <c r="O433" s="11" t="s">
        <v>1337</v>
      </c>
      <c r="P433" s="11" t="s">
        <v>1343</v>
      </c>
      <c r="Q433" s="11" t="s">
        <v>868</v>
      </c>
      <c r="R433" s="11" t="str">
        <f t="shared" si="287"/>
        <v/>
      </c>
      <c r="S433" s="11" t="str">
        <f t="shared" si="288"/>
        <v/>
      </c>
      <c r="T433" s="11" t="str">
        <f t="shared" si="289"/>
        <v/>
      </c>
      <c r="U433" s="11" t="str">
        <f t="shared" si="290"/>
        <v/>
      </c>
      <c r="V433" s="11" t="str">
        <f t="shared" si="291"/>
        <v/>
      </c>
      <c r="W433" s="11" t="str">
        <f t="shared" ref="W433" si="347">IF($E433="Yes",MAX(R433:V433),"")</f>
        <v/>
      </c>
      <c r="X433" s="11" t="s">
        <v>914</v>
      </c>
      <c r="Y433" s="11" t="str">
        <f>HLOOKUP($X433,Tables_Cat!$B$6:$P$7,2,FALSE)</f>
        <v>Information</v>
      </c>
      <c r="Z433" s="24" t="s">
        <v>869</v>
      </c>
      <c r="AA433" s="11" t="s">
        <v>701</v>
      </c>
      <c r="AB433" s="13" t="str">
        <f t="shared" si="314"/>
        <v/>
      </c>
      <c r="AC433" s="11" t="s">
        <v>702</v>
      </c>
      <c r="AD433" s="11" t="str">
        <f t="shared" si="315"/>
        <v/>
      </c>
      <c r="AE433" s="11" t="s">
        <v>870</v>
      </c>
      <c r="AF433" s="11" t="str">
        <f t="shared" si="316"/>
        <v/>
      </c>
      <c r="AG433" s="11" t="str">
        <f t="shared" si="317"/>
        <v/>
      </c>
      <c r="AH433" s="11" t="str">
        <f t="shared" si="318"/>
        <v/>
      </c>
      <c r="AI433" s="11" t="str">
        <f t="shared" si="264"/>
        <v/>
      </c>
      <c r="AJ433" s="11" t="str">
        <f t="shared" si="319"/>
        <v/>
      </c>
      <c r="AK433" s="11" t="str">
        <f t="shared" si="320"/>
        <v/>
      </c>
      <c r="AN433" s="11" t="s">
        <v>1337</v>
      </c>
      <c r="AO433" s="11" t="s">
        <v>1339</v>
      </c>
    </row>
    <row r="434" spans="1:41" ht="47.25">
      <c r="A434" s="11">
        <v>428</v>
      </c>
      <c r="B434" s="11" t="s">
        <v>1335</v>
      </c>
      <c r="C434" s="11" t="s">
        <v>1344</v>
      </c>
      <c r="D434" s="32"/>
      <c r="E434" s="11" t="str">
        <f t="shared" ref="E434" si="348">IF(D434="","Select ...")</f>
        <v>Select ...</v>
      </c>
      <c r="F434" s="11"/>
      <c r="G434" s="11"/>
      <c r="H434" s="11"/>
      <c r="I434" s="11"/>
      <c r="J434" s="11"/>
      <c r="K434" s="11"/>
      <c r="L434" s="11"/>
      <c r="M434" s="11" t="s">
        <v>750</v>
      </c>
      <c r="N434" s="11" t="s">
        <v>1318</v>
      </c>
      <c r="O434" s="11" t="s">
        <v>1337</v>
      </c>
      <c r="P434" s="11" t="s">
        <v>1343</v>
      </c>
      <c r="Q434" s="11" t="s">
        <v>868</v>
      </c>
      <c r="R434" s="11" t="str">
        <f t="shared" si="287"/>
        <v/>
      </c>
      <c r="S434" s="11" t="str">
        <f t="shared" si="288"/>
        <v/>
      </c>
      <c r="T434" s="11" t="str">
        <f t="shared" si="289"/>
        <v/>
      </c>
      <c r="U434" s="11" t="str">
        <f t="shared" si="290"/>
        <v/>
      </c>
      <c r="V434" s="11" t="str">
        <f t="shared" si="291"/>
        <v/>
      </c>
      <c r="W434" s="11" t="str">
        <f t="shared" ref="W434" si="349">IF($E434="Yes",MAX(R434:V434),"")</f>
        <v/>
      </c>
      <c r="X434" s="11" t="s">
        <v>914</v>
      </c>
      <c r="Y434" s="11" t="str">
        <f>HLOOKUP($X434,Tables_Cat!$B$6:$P$7,2,FALSE)</f>
        <v>Information</v>
      </c>
      <c r="Z434" s="24" t="s">
        <v>869</v>
      </c>
      <c r="AA434" s="11" t="s">
        <v>701</v>
      </c>
      <c r="AB434" s="13" t="str">
        <f t="shared" si="314"/>
        <v/>
      </c>
      <c r="AC434" s="11" t="s">
        <v>702</v>
      </c>
      <c r="AD434" s="11" t="str">
        <f t="shared" si="315"/>
        <v/>
      </c>
      <c r="AE434" s="11" t="s">
        <v>870</v>
      </c>
      <c r="AF434" s="11" t="str">
        <f t="shared" si="316"/>
        <v/>
      </c>
      <c r="AG434" s="11" t="str">
        <f t="shared" si="317"/>
        <v/>
      </c>
      <c r="AH434" s="11" t="str">
        <f t="shared" si="318"/>
        <v/>
      </c>
      <c r="AI434" s="11" t="str">
        <f t="shared" si="264"/>
        <v/>
      </c>
      <c r="AJ434" s="11" t="str">
        <f t="shared" si="319"/>
        <v/>
      </c>
      <c r="AK434" s="11" t="str">
        <f t="shared" si="320"/>
        <v/>
      </c>
      <c r="AN434" s="11" t="s">
        <v>1337</v>
      </c>
      <c r="AO434" s="11" t="s">
        <v>1339</v>
      </c>
    </row>
    <row r="435" spans="1:41" ht="31.5">
      <c r="A435" s="11">
        <v>429</v>
      </c>
      <c r="B435" s="11" t="s">
        <v>1335</v>
      </c>
      <c r="C435" s="11" t="s">
        <v>1345</v>
      </c>
      <c r="D435" s="32"/>
      <c r="E435" s="11" t="str">
        <f t="shared" ref="E435" si="350">IF(D435="","Select ...")</f>
        <v>Select ...</v>
      </c>
      <c r="F435" s="11"/>
      <c r="G435" s="11"/>
      <c r="H435" s="11"/>
      <c r="I435" s="11"/>
      <c r="J435" s="11"/>
      <c r="K435" s="11"/>
      <c r="L435" s="11"/>
      <c r="M435" s="11" t="s">
        <v>750</v>
      </c>
      <c r="N435" s="11" t="s">
        <v>1318</v>
      </c>
      <c r="O435" s="11" t="s">
        <v>1337</v>
      </c>
      <c r="P435" s="11" t="s">
        <v>1343</v>
      </c>
      <c r="Q435" s="11" t="s">
        <v>868</v>
      </c>
      <c r="R435" s="11" t="str">
        <f t="shared" si="287"/>
        <v/>
      </c>
      <c r="S435" s="11" t="str">
        <f t="shared" si="288"/>
        <v/>
      </c>
      <c r="T435" s="11" t="str">
        <f t="shared" si="289"/>
        <v/>
      </c>
      <c r="U435" s="11" t="str">
        <f t="shared" si="290"/>
        <v/>
      </c>
      <c r="V435" s="11" t="str">
        <f t="shared" si="291"/>
        <v/>
      </c>
      <c r="W435" s="11" t="str">
        <f t="shared" ref="W435" si="351">IF($E435="Yes",MAX(R435:V435),"")</f>
        <v/>
      </c>
      <c r="X435" s="11" t="s">
        <v>914</v>
      </c>
      <c r="Y435" s="11" t="str">
        <f>HLOOKUP($X435,Tables_Cat!$B$6:$P$7,2,FALSE)</f>
        <v>Information</v>
      </c>
      <c r="Z435" s="24" t="s">
        <v>700</v>
      </c>
      <c r="AA435" s="11" t="s">
        <v>701</v>
      </c>
      <c r="AB435" s="13" t="str">
        <f t="shared" si="314"/>
        <v/>
      </c>
      <c r="AC435" s="11" t="s">
        <v>702</v>
      </c>
      <c r="AD435" s="11" t="str">
        <f t="shared" si="315"/>
        <v/>
      </c>
      <c r="AE435" s="11" t="s">
        <v>870</v>
      </c>
      <c r="AF435" s="11" t="str">
        <f t="shared" si="316"/>
        <v/>
      </c>
      <c r="AG435" s="11" t="str">
        <f t="shared" si="317"/>
        <v/>
      </c>
      <c r="AH435" s="11" t="str">
        <f t="shared" si="318"/>
        <v/>
      </c>
      <c r="AI435" s="11" t="str">
        <f t="shared" si="264"/>
        <v/>
      </c>
      <c r="AJ435" s="11" t="str">
        <f t="shared" si="319"/>
        <v/>
      </c>
      <c r="AK435" s="11" t="str">
        <f t="shared" si="320"/>
        <v/>
      </c>
      <c r="AN435" s="11" t="s">
        <v>1337</v>
      </c>
      <c r="AO435" s="11" t="s">
        <v>1339</v>
      </c>
    </row>
    <row r="436" spans="1:41" ht="31.5">
      <c r="A436" s="11">
        <v>430</v>
      </c>
      <c r="B436" s="11" t="s">
        <v>1346</v>
      </c>
      <c r="C436" s="11" t="s">
        <v>1347</v>
      </c>
      <c r="D436" s="32"/>
      <c r="E436" s="11" t="str">
        <f t="shared" ref="E436:E437" si="352">IF(D436="","Select ...")</f>
        <v>Select ...</v>
      </c>
      <c r="F436" s="11"/>
      <c r="G436" s="11"/>
      <c r="H436" s="11"/>
      <c r="I436" s="11"/>
      <c r="J436" s="11"/>
      <c r="K436" s="11"/>
      <c r="L436" s="11"/>
      <c r="M436" s="11" t="s">
        <v>750</v>
      </c>
      <c r="N436" s="11" t="s">
        <v>1318</v>
      </c>
      <c r="O436" s="11" t="s">
        <v>464</v>
      </c>
      <c r="P436" s="11" t="s">
        <v>1348</v>
      </c>
      <c r="Q436" s="11" t="s">
        <v>868</v>
      </c>
      <c r="R436" s="11" t="str">
        <f t="shared" si="287"/>
        <v/>
      </c>
      <c r="S436" s="11" t="str">
        <f t="shared" si="288"/>
        <v/>
      </c>
      <c r="T436" s="11" t="str">
        <f t="shared" si="289"/>
        <v/>
      </c>
      <c r="U436" s="11" t="str">
        <f t="shared" si="290"/>
        <v/>
      </c>
      <c r="V436" s="11" t="str">
        <f t="shared" si="291"/>
        <v/>
      </c>
      <c r="W436" s="11" t="str">
        <f t="shared" ref="W436:W437" si="353">IF($E436="Yes",MAX(R436:V436),"")</f>
        <v/>
      </c>
      <c r="X436" s="11" t="s">
        <v>914</v>
      </c>
      <c r="Y436" s="11" t="str">
        <f>HLOOKUP($X436,Tables_Cat!$B$6:$P$7,2,FALSE)</f>
        <v>Information</v>
      </c>
      <c r="Z436" s="24" t="s">
        <v>700</v>
      </c>
      <c r="AA436" s="11" t="s">
        <v>701</v>
      </c>
      <c r="AB436" s="13" t="str">
        <f t="shared" si="314"/>
        <v/>
      </c>
      <c r="AC436" s="11" t="s">
        <v>702</v>
      </c>
      <c r="AD436" s="11" t="str">
        <f t="shared" si="315"/>
        <v/>
      </c>
      <c r="AE436" s="11" t="s">
        <v>870</v>
      </c>
      <c r="AF436" s="11" t="str">
        <f t="shared" si="316"/>
        <v/>
      </c>
      <c r="AG436" s="11" t="str">
        <f t="shared" si="317"/>
        <v/>
      </c>
      <c r="AH436" s="11" t="str">
        <f t="shared" si="318"/>
        <v/>
      </c>
      <c r="AI436" s="11" t="str">
        <f t="shared" si="264"/>
        <v/>
      </c>
      <c r="AJ436" s="11" t="str">
        <f t="shared" si="319"/>
        <v/>
      </c>
      <c r="AK436" s="11" t="str">
        <f t="shared" si="320"/>
        <v/>
      </c>
      <c r="AN436" s="11" t="s">
        <v>704</v>
      </c>
      <c r="AO436" s="11" t="s">
        <v>1349</v>
      </c>
    </row>
    <row r="437" spans="1:41" ht="31.5">
      <c r="A437" s="11">
        <v>431</v>
      </c>
      <c r="B437" s="11" t="s">
        <v>1346</v>
      </c>
      <c r="C437" s="11" t="s">
        <v>1350</v>
      </c>
      <c r="D437" s="32"/>
      <c r="E437" s="11" t="str">
        <f t="shared" si="352"/>
        <v>Select ...</v>
      </c>
      <c r="F437" s="11"/>
      <c r="G437" s="11"/>
      <c r="H437" s="11"/>
      <c r="I437" s="11"/>
      <c r="J437" s="11"/>
      <c r="K437" s="11"/>
      <c r="L437" s="11"/>
      <c r="M437" s="11" t="s">
        <v>750</v>
      </c>
      <c r="N437" s="11" t="s">
        <v>1318</v>
      </c>
      <c r="O437" s="11" t="s">
        <v>464</v>
      </c>
      <c r="P437" s="11" t="s">
        <v>1348</v>
      </c>
      <c r="Q437" s="11" t="s">
        <v>1312</v>
      </c>
      <c r="R437" s="11" t="str">
        <f t="shared" si="287"/>
        <v/>
      </c>
      <c r="S437" s="11" t="str">
        <f t="shared" si="288"/>
        <v/>
      </c>
      <c r="T437" s="11" t="str">
        <f t="shared" si="289"/>
        <v/>
      </c>
      <c r="U437" s="11" t="str">
        <f t="shared" si="290"/>
        <v/>
      </c>
      <c r="V437" s="11" t="str">
        <f t="shared" si="291"/>
        <v/>
      </c>
      <c r="W437" s="11" t="str">
        <f t="shared" si="353"/>
        <v/>
      </c>
      <c r="X437" s="11" t="s">
        <v>914</v>
      </c>
      <c r="Y437" s="11" t="str">
        <f>HLOOKUP($X437,Tables_Cat!$B$6:$P$7,2,FALSE)</f>
        <v>Information</v>
      </c>
      <c r="Z437" s="24" t="s">
        <v>869</v>
      </c>
      <c r="AA437" s="11" t="s">
        <v>701</v>
      </c>
      <c r="AB437" s="13" t="str">
        <f t="shared" si="314"/>
        <v/>
      </c>
      <c r="AC437" s="11" t="s">
        <v>702</v>
      </c>
      <c r="AD437" s="11" t="str">
        <f t="shared" si="315"/>
        <v/>
      </c>
      <c r="AE437" s="11" t="s">
        <v>1314</v>
      </c>
      <c r="AF437" s="11" t="str">
        <f t="shared" si="316"/>
        <v/>
      </c>
      <c r="AG437" s="11" t="str">
        <f t="shared" si="317"/>
        <v/>
      </c>
      <c r="AH437" s="11" t="str">
        <f t="shared" si="318"/>
        <v/>
      </c>
      <c r="AI437" s="11" t="str">
        <f t="shared" si="264"/>
        <v/>
      </c>
      <c r="AJ437" s="11" t="str">
        <f t="shared" si="319"/>
        <v/>
      </c>
      <c r="AK437" s="11" t="str">
        <f t="shared" si="320"/>
        <v/>
      </c>
      <c r="AN437" s="11" t="s">
        <v>704</v>
      </c>
      <c r="AO437" s="11" t="s">
        <v>1349</v>
      </c>
    </row>
    <row r="438" spans="1:41" ht="47.25">
      <c r="A438" s="11">
        <v>432</v>
      </c>
      <c r="B438" s="11" t="s">
        <v>1346</v>
      </c>
      <c r="C438" s="11" t="s">
        <v>1351</v>
      </c>
      <c r="D438" s="32"/>
      <c r="E438" s="11" t="str">
        <f t="shared" ref="E438" si="354">IF(D438="","Select ...")</f>
        <v>Select ...</v>
      </c>
      <c r="F438" s="11"/>
      <c r="G438" s="11"/>
      <c r="H438" s="11"/>
      <c r="I438" s="11"/>
      <c r="J438" s="11"/>
      <c r="K438" s="11"/>
      <c r="L438" s="11"/>
      <c r="M438" s="11" t="s">
        <v>750</v>
      </c>
      <c r="N438" s="11" t="s">
        <v>1318</v>
      </c>
      <c r="O438" s="11" t="s">
        <v>464</v>
      </c>
      <c r="P438" s="11" t="s">
        <v>464</v>
      </c>
      <c r="Q438" s="11" t="s">
        <v>1312</v>
      </c>
      <c r="R438" s="11" t="str">
        <f t="shared" si="287"/>
        <v/>
      </c>
      <c r="S438" s="11" t="str">
        <f t="shared" si="288"/>
        <v/>
      </c>
      <c r="T438" s="11" t="str">
        <f t="shared" si="289"/>
        <v/>
      </c>
      <c r="U438" s="11" t="str">
        <f t="shared" si="290"/>
        <v/>
      </c>
      <c r="V438" s="11" t="str">
        <f t="shared" si="291"/>
        <v/>
      </c>
      <c r="W438" s="11" t="str">
        <f t="shared" ref="W438" si="355">IF($E438="Yes",MAX(R438:V438),"")</f>
        <v/>
      </c>
      <c r="X438" s="11" t="s">
        <v>820</v>
      </c>
      <c r="Y438" s="11" t="str">
        <f>HLOOKUP($X438,Tables_Cat!$B$6:$P$7,2,FALSE)</f>
        <v>Information</v>
      </c>
      <c r="Z438" s="24" t="s">
        <v>869</v>
      </c>
      <c r="AA438" s="11" t="s">
        <v>701</v>
      </c>
      <c r="AB438" s="13" t="str">
        <f t="shared" si="314"/>
        <v/>
      </c>
      <c r="AC438" s="11" t="s">
        <v>702</v>
      </c>
      <c r="AD438" s="11" t="str">
        <f t="shared" si="315"/>
        <v/>
      </c>
      <c r="AE438" s="11" t="s">
        <v>1314</v>
      </c>
      <c r="AF438" s="11" t="str">
        <f t="shared" si="316"/>
        <v/>
      </c>
      <c r="AG438" s="11" t="str">
        <f t="shared" si="317"/>
        <v/>
      </c>
      <c r="AH438" s="11" t="str">
        <f t="shared" si="318"/>
        <v/>
      </c>
      <c r="AI438" s="11" t="str">
        <f t="shared" si="264"/>
        <v/>
      </c>
      <c r="AJ438" s="11" t="str">
        <f t="shared" si="319"/>
        <v/>
      </c>
      <c r="AK438" s="11" t="str">
        <f t="shared" si="320"/>
        <v/>
      </c>
      <c r="AN438" s="11" t="s">
        <v>871</v>
      </c>
      <c r="AO438" s="11" t="s">
        <v>1349</v>
      </c>
    </row>
    <row r="439" spans="1:41" ht="47.25">
      <c r="A439" s="11">
        <v>433</v>
      </c>
      <c r="B439" s="11" t="s">
        <v>1346</v>
      </c>
      <c r="C439" s="11" t="s">
        <v>1352</v>
      </c>
      <c r="D439" s="32"/>
      <c r="E439" s="11" t="str">
        <f t="shared" ref="E439" si="356">IF(D439="","Select ...")</f>
        <v>Select ...</v>
      </c>
      <c r="F439" s="11"/>
      <c r="G439" s="11"/>
      <c r="H439" s="11"/>
      <c r="I439" s="11"/>
      <c r="J439" s="11"/>
      <c r="K439" s="11"/>
      <c r="L439" s="11"/>
      <c r="M439" s="11" t="s">
        <v>750</v>
      </c>
      <c r="N439" s="11" t="s">
        <v>1318</v>
      </c>
      <c r="O439" s="11" t="s">
        <v>464</v>
      </c>
      <c r="P439" s="11" t="s">
        <v>1348</v>
      </c>
      <c r="Q439" s="11" t="s">
        <v>1312</v>
      </c>
      <c r="R439" s="11" t="str">
        <f t="shared" si="287"/>
        <v/>
      </c>
      <c r="S439" s="11" t="str">
        <f t="shared" si="288"/>
        <v/>
      </c>
      <c r="T439" s="11" t="str">
        <f t="shared" si="289"/>
        <v/>
      </c>
      <c r="U439" s="11" t="str">
        <f t="shared" si="290"/>
        <v/>
      </c>
      <c r="V439" s="11" t="str">
        <f t="shared" si="291"/>
        <v/>
      </c>
      <c r="W439" s="11" t="str">
        <f t="shared" ref="W439" si="357">IF($E439="Yes",MAX(R439:V439),"")</f>
        <v/>
      </c>
      <c r="X439" s="11" t="s">
        <v>914</v>
      </c>
      <c r="Y439" s="11" t="str">
        <f>HLOOKUP($X439,Tables_Cat!$B$6:$P$7,2,FALSE)</f>
        <v>Information</v>
      </c>
      <c r="Z439" s="24" t="s">
        <v>869</v>
      </c>
      <c r="AA439" s="11" t="s">
        <v>701</v>
      </c>
      <c r="AB439" s="13" t="str">
        <f t="shared" si="314"/>
        <v/>
      </c>
      <c r="AC439" s="11" t="s">
        <v>702</v>
      </c>
      <c r="AD439" s="11" t="str">
        <f t="shared" si="315"/>
        <v/>
      </c>
      <c r="AE439" s="11" t="s">
        <v>1314</v>
      </c>
      <c r="AF439" s="11" t="str">
        <f t="shared" si="316"/>
        <v/>
      </c>
      <c r="AG439" s="11" t="str">
        <f t="shared" si="317"/>
        <v/>
      </c>
      <c r="AH439" s="11" t="str">
        <f t="shared" si="318"/>
        <v/>
      </c>
      <c r="AI439" s="11" t="str">
        <f t="shared" si="264"/>
        <v/>
      </c>
      <c r="AJ439" s="11" t="str">
        <f t="shared" si="319"/>
        <v/>
      </c>
      <c r="AK439" s="11" t="str">
        <f t="shared" si="320"/>
        <v/>
      </c>
      <c r="AN439" s="11" t="s">
        <v>871</v>
      </c>
      <c r="AO439" s="11" t="s">
        <v>1349</v>
      </c>
    </row>
    <row r="440" spans="1:41" ht="31.5">
      <c r="A440" s="11">
        <v>434</v>
      </c>
      <c r="B440" s="11" t="s">
        <v>1346</v>
      </c>
      <c r="C440" s="11" t="s">
        <v>1353</v>
      </c>
      <c r="D440" s="32"/>
      <c r="E440" s="11" t="str">
        <f t="shared" ref="E440" si="358">IF(D440="","Select ...")</f>
        <v>Select ...</v>
      </c>
      <c r="F440" s="11"/>
      <c r="G440" s="11"/>
      <c r="H440" s="11"/>
      <c r="I440" s="11"/>
      <c r="J440" s="11"/>
      <c r="K440" s="11"/>
      <c r="L440" s="11"/>
      <c r="M440" s="11" t="s">
        <v>750</v>
      </c>
      <c r="N440" s="11" t="s">
        <v>1318</v>
      </c>
      <c r="O440" s="11" t="s">
        <v>1348</v>
      </c>
      <c r="P440" s="11" t="s">
        <v>1348</v>
      </c>
      <c r="Q440" s="11" t="s">
        <v>868</v>
      </c>
      <c r="R440" s="11" t="str">
        <f t="shared" si="287"/>
        <v/>
      </c>
      <c r="S440" s="11" t="str">
        <f t="shared" si="288"/>
        <v/>
      </c>
      <c r="T440" s="11" t="str">
        <f t="shared" si="289"/>
        <v/>
      </c>
      <c r="U440" s="11" t="str">
        <f t="shared" si="290"/>
        <v/>
      </c>
      <c r="V440" s="11" t="str">
        <f t="shared" si="291"/>
        <v/>
      </c>
      <c r="W440" s="11" t="str">
        <f t="shared" ref="W440" si="359">IF($E440="Yes",MAX(R440:V440),"")</f>
        <v/>
      </c>
      <c r="X440" s="11" t="s">
        <v>914</v>
      </c>
      <c r="Y440" s="11" t="str">
        <f>HLOOKUP($X440,Tables_Cat!$B$6:$P$7,2,FALSE)</f>
        <v>Information</v>
      </c>
      <c r="Z440" s="24" t="s">
        <v>869</v>
      </c>
      <c r="AA440" s="11" t="s">
        <v>701</v>
      </c>
      <c r="AB440" s="13" t="str">
        <f t="shared" si="314"/>
        <v/>
      </c>
      <c r="AC440" s="11" t="s">
        <v>702</v>
      </c>
      <c r="AD440" s="11" t="str">
        <f t="shared" si="315"/>
        <v/>
      </c>
      <c r="AE440" s="11" t="s">
        <v>870</v>
      </c>
      <c r="AF440" s="11" t="str">
        <f t="shared" si="316"/>
        <v/>
      </c>
      <c r="AG440" s="11" t="str">
        <f t="shared" si="317"/>
        <v/>
      </c>
      <c r="AH440" s="11" t="str">
        <f t="shared" si="318"/>
        <v/>
      </c>
      <c r="AI440" s="11" t="str">
        <f t="shared" si="264"/>
        <v/>
      </c>
      <c r="AJ440" s="11" t="str">
        <f t="shared" si="319"/>
        <v/>
      </c>
      <c r="AK440" s="11" t="str">
        <f t="shared" si="320"/>
        <v/>
      </c>
      <c r="AN440" s="11" t="s">
        <v>704</v>
      </c>
      <c r="AO440" s="11" t="s">
        <v>1349</v>
      </c>
    </row>
    <row r="441" spans="1:41" ht="31.5">
      <c r="A441" s="11">
        <v>435</v>
      </c>
      <c r="B441" s="11" t="s">
        <v>1354</v>
      </c>
      <c r="C441" s="11" t="s">
        <v>1355</v>
      </c>
      <c r="D441" s="32"/>
      <c r="E441" s="11" t="str">
        <f t="shared" si="323"/>
        <v>Select ...</v>
      </c>
      <c r="F441" s="11"/>
      <c r="G441" s="11"/>
      <c r="H441" s="11"/>
      <c r="I441" s="11"/>
      <c r="J441" s="11"/>
      <c r="K441" s="11"/>
      <c r="L441" s="11"/>
      <c r="M441" s="11" t="s">
        <v>694</v>
      </c>
      <c r="N441" s="11" t="s">
        <v>748</v>
      </c>
      <c r="O441" s="11" t="s">
        <v>464</v>
      </c>
      <c r="P441" s="11" t="s">
        <v>464</v>
      </c>
      <c r="Q441" s="11" t="s">
        <v>947</v>
      </c>
      <c r="R441" s="11" t="str">
        <f t="shared" si="287"/>
        <v/>
      </c>
      <c r="S441" s="11" t="str">
        <f t="shared" si="288"/>
        <v/>
      </c>
      <c r="T441" s="11" t="str">
        <f t="shared" si="289"/>
        <v/>
      </c>
      <c r="U441" s="11" t="str">
        <f t="shared" si="290"/>
        <v/>
      </c>
      <c r="V441" s="11" t="str">
        <f t="shared" si="291"/>
        <v/>
      </c>
      <c r="W441" s="11" t="str">
        <f t="shared" si="324"/>
        <v/>
      </c>
      <c r="X441" s="11" t="s">
        <v>759</v>
      </c>
      <c r="Y441" s="11" t="str">
        <f>HLOOKUP($X441,Tables_Cat!$B$6:$P$7,2,FALSE)</f>
        <v>Information</v>
      </c>
      <c r="Z441" s="24" t="s">
        <v>904</v>
      </c>
      <c r="AA441" s="11" t="s">
        <v>701</v>
      </c>
      <c r="AB441" s="13" t="str">
        <f t="shared" si="314"/>
        <v/>
      </c>
      <c r="AC441" s="11" t="s">
        <v>702</v>
      </c>
      <c r="AD441" s="11" t="str">
        <f t="shared" si="315"/>
        <v/>
      </c>
      <c r="AE441" s="11" t="s">
        <v>1022</v>
      </c>
      <c r="AF441" s="11" t="str">
        <f t="shared" si="316"/>
        <v/>
      </c>
      <c r="AG441" s="11" t="str">
        <f t="shared" si="317"/>
        <v/>
      </c>
      <c r="AH441" s="11" t="str">
        <f t="shared" si="318"/>
        <v/>
      </c>
      <c r="AI441" s="11" t="str">
        <f t="shared" si="264"/>
        <v/>
      </c>
      <c r="AJ441" s="11" t="str">
        <f t="shared" si="319"/>
        <v/>
      </c>
      <c r="AK441" s="11" t="str">
        <f t="shared" si="320"/>
        <v/>
      </c>
      <c r="AN441" s="11" t="s">
        <v>904</v>
      </c>
      <c r="AO441" s="11" t="s">
        <v>761</v>
      </c>
    </row>
    <row r="442" spans="1:41" ht="31.5">
      <c r="A442" s="11">
        <v>436</v>
      </c>
      <c r="B442" s="11" t="s">
        <v>1354</v>
      </c>
      <c r="C442" s="11" t="s">
        <v>1356</v>
      </c>
      <c r="D442" s="32"/>
      <c r="E442" s="11" t="str">
        <f t="shared" si="323"/>
        <v>Select ...</v>
      </c>
      <c r="F442" s="11"/>
      <c r="G442" s="11"/>
      <c r="H442" s="11"/>
      <c r="I442" s="11"/>
      <c r="J442" s="11"/>
      <c r="K442" s="11"/>
      <c r="L442" s="11"/>
      <c r="M442" s="11" t="s">
        <v>694</v>
      </c>
      <c r="N442" s="11" t="s">
        <v>748</v>
      </c>
      <c r="O442" s="11" t="s">
        <v>464</v>
      </c>
      <c r="P442" s="11" t="s">
        <v>464</v>
      </c>
      <c r="Q442" s="11" t="s">
        <v>1280</v>
      </c>
      <c r="R442" s="11" t="str">
        <f t="shared" si="287"/>
        <v/>
      </c>
      <c r="S442" s="11" t="str">
        <f t="shared" si="288"/>
        <v/>
      </c>
      <c r="T442" s="11" t="str">
        <f t="shared" si="289"/>
        <v/>
      </c>
      <c r="U442" s="11" t="str">
        <f t="shared" si="290"/>
        <v/>
      </c>
      <c r="V442" s="11" t="str">
        <f t="shared" si="291"/>
        <v/>
      </c>
      <c r="W442" s="11" t="str">
        <f t="shared" si="324"/>
        <v/>
      </c>
      <c r="X442" s="11" t="s">
        <v>759</v>
      </c>
      <c r="Y442" s="11" t="str">
        <f>HLOOKUP($X442,Tables_Cat!$B$6:$P$7,2,FALSE)</f>
        <v>Information</v>
      </c>
      <c r="Z442" s="24" t="s">
        <v>904</v>
      </c>
      <c r="AA442" s="11" t="s">
        <v>701</v>
      </c>
      <c r="AB442" s="13" t="str">
        <f t="shared" si="314"/>
        <v/>
      </c>
      <c r="AC442" s="11" t="s">
        <v>702</v>
      </c>
      <c r="AD442" s="11" t="str">
        <f t="shared" si="315"/>
        <v/>
      </c>
      <c r="AE442" s="11" t="s">
        <v>1281</v>
      </c>
      <c r="AF442" s="11" t="str">
        <f t="shared" si="316"/>
        <v/>
      </c>
      <c r="AG442" s="11" t="str">
        <f t="shared" si="317"/>
        <v/>
      </c>
      <c r="AH442" s="11" t="str">
        <f t="shared" si="318"/>
        <v/>
      </c>
      <c r="AI442" s="11" t="str">
        <f t="shared" si="264"/>
        <v/>
      </c>
      <c r="AJ442" s="11" t="str">
        <f t="shared" si="319"/>
        <v/>
      </c>
      <c r="AK442" s="11" t="str">
        <f t="shared" si="320"/>
        <v/>
      </c>
      <c r="AN442" s="11" t="s">
        <v>904</v>
      </c>
      <c r="AO442" s="11" t="s">
        <v>761</v>
      </c>
    </row>
    <row r="443" spans="1:41" ht="31.5">
      <c r="A443" s="11">
        <v>437</v>
      </c>
      <c r="B443" s="11" t="s">
        <v>1354</v>
      </c>
      <c r="C443" s="11" t="s">
        <v>1357</v>
      </c>
      <c r="D443" s="32"/>
      <c r="E443" s="11" t="str">
        <f t="shared" ref="E443" si="360">IF(D443="","Select ...")</f>
        <v>Select ...</v>
      </c>
      <c r="F443" s="11"/>
      <c r="G443" s="11"/>
      <c r="H443" s="11"/>
      <c r="I443" s="11"/>
      <c r="J443" s="11"/>
      <c r="K443" s="11"/>
      <c r="L443" s="11"/>
      <c r="M443" s="11" t="s">
        <v>694</v>
      </c>
      <c r="N443" s="11" t="s">
        <v>748</v>
      </c>
      <c r="O443" s="11" t="s">
        <v>464</v>
      </c>
      <c r="P443" s="11" t="s">
        <v>464</v>
      </c>
      <c r="Q443" s="11" t="s">
        <v>1280</v>
      </c>
      <c r="R443" s="11" t="str">
        <f t="shared" si="287"/>
        <v/>
      </c>
      <c r="S443" s="11" t="str">
        <f t="shared" si="288"/>
        <v/>
      </c>
      <c r="T443" s="11" t="str">
        <f t="shared" si="289"/>
        <v/>
      </c>
      <c r="U443" s="11" t="str">
        <f t="shared" si="290"/>
        <v/>
      </c>
      <c r="V443" s="11" t="str">
        <f t="shared" si="291"/>
        <v/>
      </c>
      <c r="W443" s="11" t="str">
        <f t="shared" ref="W443" si="361">IF($E443="Yes",MAX(R443:V443),"")</f>
        <v/>
      </c>
      <c r="X443" s="11" t="s">
        <v>759</v>
      </c>
      <c r="Y443" s="11" t="str">
        <f>HLOOKUP($X443,Tables_Cat!$B$6:$P$7,2,FALSE)</f>
        <v>Information</v>
      </c>
      <c r="Z443" s="24" t="s">
        <v>904</v>
      </c>
      <c r="AA443" s="11" t="s">
        <v>701</v>
      </c>
      <c r="AB443" s="13" t="str">
        <f t="shared" si="314"/>
        <v/>
      </c>
      <c r="AC443" s="11" t="s">
        <v>702</v>
      </c>
      <c r="AD443" s="11" t="str">
        <f t="shared" si="315"/>
        <v/>
      </c>
      <c r="AE443" s="11" t="s">
        <v>1281</v>
      </c>
      <c r="AF443" s="11" t="str">
        <f t="shared" si="316"/>
        <v/>
      </c>
      <c r="AG443" s="11" t="str">
        <f t="shared" si="317"/>
        <v/>
      </c>
      <c r="AH443" s="11" t="str">
        <f t="shared" si="318"/>
        <v/>
      </c>
      <c r="AI443" s="11" t="str">
        <f t="shared" si="264"/>
        <v/>
      </c>
      <c r="AJ443" s="11" t="str">
        <f t="shared" si="319"/>
        <v/>
      </c>
      <c r="AK443" s="11" t="str">
        <f t="shared" si="320"/>
        <v/>
      </c>
      <c r="AN443" s="11" t="s">
        <v>904</v>
      </c>
      <c r="AO443" s="11" t="s">
        <v>761</v>
      </c>
    </row>
    <row r="444" spans="1:41" ht="31.5">
      <c r="A444" s="11">
        <v>438</v>
      </c>
      <c r="B444" s="11" t="s">
        <v>1354</v>
      </c>
      <c r="C444" s="11" t="s">
        <v>1358</v>
      </c>
      <c r="D444" s="32"/>
      <c r="E444" s="11" t="str">
        <f t="shared" si="323"/>
        <v>Select ...</v>
      </c>
      <c r="F444" s="11"/>
      <c r="G444" s="11"/>
      <c r="H444" s="11"/>
      <c r="I444" s="11"/>
      <c r="J444" s="11"/>
      <c r="K444" s="11"/>
      <c r="L444" s="11"/>
      <c r="M444" s="11" t="s">
        <v>694</v>
      </c>
      <c r="N444" s="11" t="s">
        <v>763</v>
      </c>
      <c r="O444" s="11" t="s">
        <v>464</v>
      </c>
      <c r="P444" s="11" t="s">
        <v>764</v>
      </c>
      <c r="Q444" s="11" t="s">
        <v>1280</v>
      </c>
      <c r="R444" s="11" t="str">
        <f t="shared" si="287"/>
        <v/>
      </c>
      <c r="S444" s="11" t="str">
        <f t="shared" si="288"/>
        <v/>
      </c>
      <c r="T444" s="11" t="str">
        <f t="shared" si="289"/>
        <v/>
      </c>
      <c r="U444" s="11" t="str">
        <f t="shared" si="290"/>
        <v/>
      </c>
      <c r="V444" s="11" t="str">
        <f t="shared" si="291"/>
        <v/>
      </c>
      <c r="W444" s="11" t="str">
        <f t="shared" si="324"/>
        <v/>
      </c>
      <c r="X444" s="11" t="s">
        <v>741</v>
      </c>
      <c r="Y444" s="11" t="str">
        <f>HLOOKUP($X444,Tables_Cat!$B$6:$P$7,2,FALSE)</f>
        <v>Material</v>
      </c>
      <c r="Z444" s="24" t="s">
        <v>904</v>
      </c>
      <c r="AA444" s="11" t="s">
        <v>765</v>
      </c>
      <c r="AB444" s="13" t="str">
        <f t="shared" si="314"/>
        <v/>
      </c>
      <c r="AC444" s="11" t="s">
        <v>702</v>
      </c>
      <c r="AD444" s="11" t="str">
        <f t="shared" si="315"/>
        <v/>
      </c>
      <c r="AE444" s="11" t="s">
        <v>1281</v>
      </c>
      <c r="AF444" s="11" t="str">
        <f t="shared" si="316"/>
        <v/>
      </c>
      <c r="AG444" s="11" t="str">
        <f t="shared" si="317"/>
        <v/>
      </c>
      <c r="AH444" s="11" t="str">
        <f t="shared" si="318"/>
        <v/>
      </c>
      <c r="AI444" s="11" t="str">
        <f t="shared" si="264"/>
        <v/>
      </c>
      <c r="AJ444" s="11" t="str">
        <f t="shared" si="319"/>
        <v/>
      </c>
      <c r="AK444" s="11" t="str">
        <f t="shared" si="320"/>
        <v/>
      </c>
      <c r="AN444" s="11" t="s">
        <v>904</v>
      </c>
      <c r="AO444" s="11" t="s">
        <v>766</v>
      </c>
    </row>
    <row r="445" spans="1:41" ht="31.5">
      <c r="A445" s="11">
        <v>439</v>
      </c>
      <c r="B445" s="11" t="s">
        <v>1354</v>
      </c>
      <c r="C445" s="11" t="s">
        <v>1359</v>
      </c>
      <c r="D445" s="32"/>
      <c r="E445" s="11" t="str">
        <f t="shared" si="323"/>
        <v>Select ...</v>
      </c>
      <c r="F445" s="11"/>
      <c r="G445" s="11"/>
      <c r="H445" s="11"/>
      <c r="I445" s="11"/>
      <c r="J445" s="11"/>
      <c r="K445" s="11"/>
      <c r="L445" s="11"/>
      <c r="M445" s="11" t="s">
        <v>750</v>
      </c>
      <c r="N445" s="11" t="s">
        <v>1318</v>
      </c>
      <c r="O445" s="11" t="s">
        <v>464</v>
      </c>
      <c r="P445" s="11" t="s">
        <v>464</v>
      </c>
      <c r="Q445" s="11" t="s">
        <v>1280</v>
      </c>
      <c r="R445" s="11" t="str">
        <f t="shared" si="287"/>
        <v/>
      </c>
      <c r="S445" s="11" t="str">
        <f t="shared" si="288"/>
        <v/>
      </c>
      <c r="T445" s="11" t="str">
        <f t="shared" si="289"/>
        <v/>
      </c>
      <c r="U445" s="11" t="str">
        <f t="shared" si="290"/>
        <v/>
      </c>
      <c r="V445" s="11" t="str">
        <f t="shared" si="291"/>
        <v/>
      </c>
      <c r="W445" s="11" t="str">
        <f t="shared" si="324"/>
        <v/>
      </c>
      <c r="X445" s="11" t="s">
        <v>1007</v>
      </c>
      <c r="Y445" s="11" t="str">
        <f>HLOOKUP($X445,Tables_Cat!$B$6:$P$7,2,FALSE)</f>
        <v>Information</v>
      </c>
      <c r="Z445" s="24" t="s">
        <v>904</v>
      </c>
      <c r="AA445" s="11" t="s">
        <v>751</v>
      </c>
      <c r="AB445" s="13" t="str">
        <f t="shared" si="314"/>
        <v/>
      </c>
      <c r="AC445" s="11" t="s">
        <v>1008</v>
      </c>
      <c r="AD445" s="11" t="str">
        <f t="shared" si="315"/>
        <v/>
      </c>
      <c r="AE445" s="11" t="s">
        <v>1281</v>
      </c>
      <c r="AF445" s="11" t="str">
        <f t="shared" si="316"/>
        <v/>
      </c>
      <c r="AG445" s="11" t="str">
        <f t="shared" si="317"/>
        <v/>
      </c>
      <c r="AH445" s="11" t="str">
        <f t="shared" si="318"/>
        <v/>
      </c>
      <c r="AI445" s="11" t="str">
        <f t="shared" si="264"/>
        <v/>
      </c>
      <c r="AJ445" s="11" t="str">
        <f t="shared" si="319"/>
        <v/>
      </c>
      <c r="AK445" s="11" t="str">
        <f t="shared" si="320"/>
        <v/>
      </c>
      <c r="AN445" s="11" t="s">
        <v>904</v>
      </c>
      <c r="AO445" s="11" t="s">
        <v>924</v>
      </c>
    </row>
    <row r="446" spans="1:41" ht="47.25">
      <c r="A446" s="11">
        <v>440</v>
      </c>
      <c r="B446" s="11" t="s">
        <v>1354</v>
      </c>
      <c r="C446" s="11" t="s">
        <v>1360</v>
      </c>
      <c r="D446" s="32"/>
      <c r="E446" s="11" t="str">
        <f t="shared" si="323"/>
        <v>Select ...</v>
      </c>
      <c r="F446" s="11"/>
      <c r="G446" s="11"/>
      <c r="H446" s="11"/>
      <c r="I446" s="11"/>
      <c r="J446" s="11"/>
      <c r="K446" s="11"/>
      <c r="L446" s="11"/>
      <c r="M446" s="11" t="s">
        <v>750</v>
      </c>
      <c r="N446" s="11" t="s">
        <v>1318</v>
      </c>
      <c r="O446" s="11" t="s">
        <v>464</v>
      </c>
      <c r="P446" s="11" t="s">
        <v>464</v>
      </c>
      <c r="Q446" s="11" t="s">
        <v>1280</v>
      </c>
      <c r="R446" s="11" t="str">
        <f t="shared" si="287"/>
        <v/>
      </c>
      <c r="S446" s="11" t="str">
        <f t="shared" si="288"/>
        <v/>
      </c>
      <c r="T446" s="11" t="str">
        <f t="shared" si="289"/>
        <v/>
      </c>
      <c r="U446" s="11" t="str">
        <f t="shared" si="290"/>
        <v/>
      </c>
      <c r="V446" s="11" t="str">
        <f t="shared" si="291"/>
        <v/>
      </c>
      <c r="W446" s="11" t="str">
        <f t="shared" si="324"/>
        <v/>
      </c>
      <c r="X446" s="11" t="s">
        <v>1007</v>
      </c>
      <c r="Y446" s="11" t="str">
        <f>HLOOKUP($X446,Tables_Cat!$B$6:$P$7,2,FALSE)</f>
        <v>Information</v>
      </c>
      <c r="Z446" s="24" t="s">
        <v>904</v>
      </c>
      <c r="AA446" s="11" t="s">
        <v>751</v>
      </c>
      <c r="AB446" s="13" t="str">
        <f t="shared" si="314"/>
        <v/>
      </c>
      <c r="AC446" s="11" t="s">
        <v>971</v>
      </c>
      <c r="AD446" s="11" t="str">
        <f t="shared" si="315"/>
        <v/>
      </c>
      <c r="AE446" s="11" t="s">
        <v>1281</v>
      </c>
      <c r="AF446" s="11" t="str">
        <f t="shared" si="316"/>
        <v/>
      </c>
      <c r="AG446" s="11" t="str">
        <f t="shared" si="317"/>
        <v/>
      </c>
      <c r="AH446" s="11" t="str">
        <f t="shared" si="318"/>
        <v/>
      </c>
      <c r="AI446" s="11" t="str">
        <f t="shared" si="264"/>
        <v/>
      </c>
      <c r="AJ446" s="11" t="str">
        <f t="shared" si="319"/>
        <v/>
      </c>
      <c r="AK446" s="11" t="str">
        <f t="shared" si="320"/>
        <v/>
      </c>
      <c r="AN446" s="11" t="s">
        <v>904</v>
      </c>
      <c r="AO446" s="11" t="s">
        <v>924</v>
      </c>
    </row>
    <row r="447" spans="1:41" ht="31.5">
      <c r="A447" s="11">
        <v>441</v>
      </c>
      <c r="B447" s="11" t="s">
        <v>1354</v>
      </c>
      <c r="C447" s="11" t="s">
        <v>1361</v>
      </c>
      <c r="D447" s="32"/>
      <c r="E447" s="11" t="str">
        <f t="shared" si="323"/>
        <v>Select ...</v>
      </c>
      <c r="F447" s="11"/>
      <c r="G447" s="11"/>
      <c r="H447" s="11"/>
      <c r="I447" s="11"/>
      <c r="J447" s="11"/>
      <c r="K447" s="11"/>
      <c r="L447" s="11"/>
      <c r="M447" s="11" t="s">
        <v>750</v>
      </c>
      <c r="N447" s="11" t="s">
        <v>1318</v>
      </c>
      <c r="O447" s="11" t="s">
        <v>464</v>
      </c>
      <c r="P447" s="11" t="s">
        <v>464</v>
      </c>
      <c r="Q447" s="11" t="s">
        <v>1280</v>
      </c>
      <c r="R447" s="11" t="str">
        <f t="shared" si="287"/>
        <v/>
      </c>
      <c r="S447" s="11" t="str">
        <f t="shared" si="288"/>
        <v/>
      </c>
      <c r="T447" s="11" t="str">
        <f t="shared" si="289"/>
        <v/>
      </c>
      <c r="U447" s="11" t="str">
        <f t="shared" si="290"/>
        <v/>
      </c>
      <c r="V447" s="11" t="str">
        <f t="shared" si="291"/>
        <v/>
      </c>
      <c r="W447" s="11" t="str">
        <f t="shared" si="324"/>
        <v/>
      </c>
      <c r="X447" s="11" t="s">
        <v>1007</v>
      </c>
      <c r="Y447" s="11" t="str">
        <f>HLOOKUP($X447,Tables_Cat!$B$6:$P$7,2,FALSE)</f>
        <v>Information</v>
      </c>
      <c r="Z447" s="24" t="s">
        <v>904</v>
      </c>
      <c r="AA447" s="11" t="s">
        <v>751</v>
      </c>
      <c r="AB447" s="13" t="str">
        <f t="shared" si="314"/>
        <v/>
      </c>
      <c r="AC447" s="11" t="s">
        <v>922</v>
      </c>
      <c r="AD447" s="11" t="str">
        <f t="shared" si="315"/>
        <v/>
      </c>
      <c r="AE447" s="11" t="s">
        <v>1281</v>
      </c>
      <c r="AF447" s="11" t="str">
        <f t="shared" si="316"/>
        <v/>
      </c>
      <c r="AG447" s="11" t="str">
        <f t="shared" si="317"/>
        <v/>
      </c>
      <c r="AH447" s="11" t="str">
        <f t="shared" si="318"/>
        <v/>
      </c>
      <c r="AI447" s="11" t="str">
        <f t="shared" si="264"/>
        <v/>
      </c>
      <c r="AJ447" s="11" t="str">
        <f t="shared" si="319"/>
        <v/>
      </c>
      <c r="AK447" s="11" t="str">
        <f t="shared" si="320"/>
        <v/>
      </c>
      <c r="AN447" s="11" t="s">
        <v>904</v>
      </c>
      <c r="AO447" s="11" t="s">
        <v>924</v>
      </c>
    </row>
    <row r="448" spans="1:41" ht="47.25">
      <c r="A448" s="11">
        <v>442</v>
      </c>
      <c r="B448" s="11" t="s">
        <v>1354</v>
      </c>
      <c r="C448" s="11" t="s">
        <v>1362</v>
      </c>
      <c r="D448" s="32"/>
      <c r="E448" s="11" t="str">
        <f t="shared" si="323"/>
        <v>Select ...</v>
      </c>
      <c r="F448" s="11"/>
      <c r="G448" s="11"/>
      <c r="H448" s="11"/>
      <c r="I448" s="11"/>
      <c r="J448" s="11"/>
      <c r="K448" s="11"/>
      <c r="L448" s="11"/>
      <c r="M448" s="11" t="s">
        <v>750</v>
      </c>
      <c r="N448" s="11" t="s">
        <v>1318</v>
      </c>
      <c r="O448" s="11" t="s">
        <v>464</v>
      </c>
      <c r="P448" s="11" t="s">
        <v>464</v>
      </c>
      <c r="Q448" s="11" t="s">
        <v>868</v>
      </c>
      <c r="R448" s="11" t="str">
        <f t="shared" si="287"/>
        <v/>
      </c>
      <c r="S448" s="11" t="str">
        <f t="shared" si="288"/>
        <v/>
      </c>
      <c r="T448" s="11" t="str">
        <f t="shared" si="289"/>
        <v/>
      </c>
      <c r="U448" s="11" t="str">
        <f t="shared" si="290"/>
        <v/>
      </c>
      <c r="V448" s="11" t="str">
        <f t="shared" si="291"/>
        <v/>
      </c>
      <c r="W448" s="11" t="str">
        <f t="shared" si="324"/>
        <v/>
      </c>
      <c r="X448" s="11" t="s">
        <v>1007</v>
      </c>
      <c r="Y448" s="11" t="str">
        <f>HLOOKUP($X448,Tables_Cat!$B$6:$P$7,2,FALSE)</f>
        <v>Information</v>
      </c>
      <c r="Z448" s="24" t="s">
        <v>904</v>
      </c>
      <c r="AA448" s="11" t="s">
        <v>950</v>
      </c>
      <c r="AB448" s="13" t="str">
        <f t="shared" si="314"/>
        <v/>
      </c>
      <c r="AC448" s="11" t="s">
        <v>1338</v>
      </c>
      <c r="AD448" s="11" t="str">
        <f t="shared" si="315"/>
        <v/>
      </c>
      <c r="AE448" s="11" t="s">
        <v>870</v>
      </c>
      <c r="AF448" s="11" t="str">
        <f t="shared" si="316"/>
        <v/>
      </c>
      <c r="AG448" s="11" t="str">
        <f t="shared" si="317"/>
        <v/>
      </c>
      <c r="AH448" s="11" t="str">
        <f t="shared" si="318"/>
        <v/>
      </c>
      <c r="AI448" s="11" t="str">
        <f t="shared" si="264"/>
        <v/>
      </c>
      <c r="AJ448" s="11" t="str">
        <f t="shared" si="319"/>
        <v/>
      </c>
      <c r="AK448" s="11" t="str">
        <f t="shared" si="320"/>
        <v/>
      </c>
      <c r="AN448" s="11" t="s">
        <v>904</v>
      </c>
      <c r="AO448" s="11" t="s">
        <v>924</v>
      </c>
    </row>
    <row r="449" spans="1:41" ht="31.5">
      <c r="A449" s="11">
        <v>443</v>
      </c>
      <c r="B449" s="11" t="s">
        <v>1354</v>
      </c>
      <c r="C449" s="11" t="s">
        <v>1363</v>
      </c>
      <c r="D449" s="32"/>
      <c r="E449" s="11" t="str">
        <f t="shared" si="323"/>
        <v>Select ...</v>
      </c>
      <c r="F449" s="11"/>
      <c r="G449" s="11"/>
      <c r="H449" s="11"/>
      <c r="I449" s="11"/>
      <c r="J449" s="11"/>
      <c r="K449" s="11"/>
      <c r="L449" s="11"/>
      <c r="M449" s="11" t="s">
        <v>750</v>
      </c>
      <c r="N449" s="11" t="s">
        <v>1318</v>
      </c>
      <c r="O449" s="11" t="s">
        <v>464</v>
      </c>
      <c r="P449" s="11" t="s">
        <v>464</v>
      </c>
      <c r="Q449" s="11" t="s">
        <v>1280</v>
      </c>
      <c r="R449" s="11" t="str">
        <f t="shared" si="287"/>
        <v/>
      </c>
      <c r="S449" s="11" t="str">
        <f t="shared" si="288"/>
        <v/>
      </c>
      <c r="T449" s="11" t="str">
        <f t="shared" si="289"/>
        <v/>
      </c>
      <c r="U449" s="11" t="str">
        <f t="shared" si="290"/>
        <v/>
      </c>
      <c r="V449" s="11" t="str">
        <f t="shared" si="291"/>
        <v/>
      </c>
      <c r="W449" s="11" t="str">
        <f t="shared" si="324"/>
        <v/>
      </c>
      <c r="X449" s="11" t="s">
        <v>1007</v>
      </c>
      <c r="Y449" s="11" t="str">
        <f>HLOOKUP($X449,Tables_Cat!$B$6:$P$7,2,FALSE)</f>
        <v>Information</v>
      </c>
      <c r="Z449" s="24" t="s">
        <v>904</v>
      </c>
      <c r="AA449" s="11" t="s">
        <v>751</v>
      </c>
      <c r="AB449" s="13" t="str">
        <f t="shared" si="314"/>
        <v/>
      </c>
      <c r="AC449" s="11" t="s">
        <v>1012</v>
      </c>
      <c r="AD449" s="11" t="str">
        <f t="shared" si="315"/>
        <v/>
      </c>
      <c r="AE449" s="11" t="s">
        <v>1281</v>
      </c>
      <c r="AF449" s="11" t="str">
        <f t="shared" si="316"/>
        <v/>
      </c>
      <c r="AG449" s="11" t="str">
        <f t="shared" si="317"/>
        <v/>
      </c>
      <c r="AH449" s="11" t="str">
        <f t="shared" si="318"/>
        <v/>
      </c>
      <c r="AI449" s="11" t="str">
        <f t="shared" si="264"/>
        <v/>
      </c>
      <c r="AJ449" s="11" t="str">
        <f t="shared" si="319"/>
        <v/>
      </c>
      <c r="AK449" s="11" t="str">
        <f t="shared" si="320"/>
        <v/>
      </c>
      <c r="AN449" s="11" t="s">
        <v>904</v>
      </c>
      <c r="AO449" s="11" t="s">
        <v>924</v>
      </c>
    </row>
    <row r="450" spans="1:41" ht="31.5">
      <c r="A450" s="11">
        <v>444</v>
      </c>
      <c r="B450" s="11" t="s">
        <v>1354</v>
      </c>
      <c r="C450" s="11" t="s">
        <v>1364</v>
      </c>
      <c r="D450" s="32"/>
      <c r="E450" s="11" t="str">
        <f t="shared" si="323"/>
        <v>Select ...</v>
      </c>
      <c r="F450" s="11"/>
      <c r="G450" s="11"/>
      <c r="H450" s="11"/>
      <c r="I450" s="11"/>
      <c r="J450" s="11"/>
      <c r="K450" s="11"/>
      <c r="L450" s="11"/>
      <c r="M450" s="11" t="s">
        <v>750</v>
      </c>
      <c r="N450" s="11" t="s">
        <v>1318</v>
      </c>
      <c r="O450" s="11" t="s">
        <v>464</v>
      </c>
      <c r="P450" s="11" t="s">
        <v>464</v>
      </c>
      <c r="Q450" s="11" t="s">
        <v>1280</v>
      </c>
      <c r="R450" s="11" t="str">
        <f t="shared" si="287"/>
        <v/>
      </c>
      <c r="S450" s="11" t="str">
        <f t="shared" si="288"/>
        <v/>
      </c>
      <c r="T450" s="11" t="str">
        <f t="shared" si="289"/>
        <v/>
      </c>
      <c r="U450" s="11" t="str">
        <f t="shared" si="290"/>
        <v/>
      </c>
      <c r="V450" s="11" t="str">
        <f t="shared" si="291"/>
        <v/>
      </c>
      <c r="W450" s="11" t="str">
        <f t="shared" si="324"/>
        <v/>
      </c>
      <c r="X450" s="11" t="s">
        <v>1007</v>
      </c>
      <c r="Y450" s="11" t="str">
        <f>HLOOKUP($X450,Tables_Cat!$B$6:$P$7,2,FALSE)</f>
        <v>Information</v>
      </c>
      <c r="Z450" s="24" t="s">
        <v>904</v>
      </c>
      <c r="AA450" s="11" t="s">
        <v>751</v>
      </c>
      <c r="AB450" s="13" t="str">
        <f t="shared" si="314"/>
        <v/>
      </c>
      <c r="AC450" s="11" t="s">
        <v>922</v>
      </c>
      <c r="AD450" s="11" t="str">
        <f t="shared" si="315"/>
        <v/>
      </c>
      <c r="AE450" s="11" t="s">
        <v>1281</v>
      </c>
      <c r="AF450" s="11" t="str">
        <f t="shared" si="316"/>
        <v/>
      </c>
      <c r="AG450" s="11" t="str">
        <f t="shared" si="317"/>
        <v/>
      </c>
      <c r="AH450" s="11" t="str">
        <f t="shared" si="318"/>
        <v/>
      </c>
      <c r="AI450" s="11" t="str">
        <f t="shared" ref="AI450:AI461" si="362">IF(AND($E450="Yes",$Z450&lt;&gt;"Not applicable"),IF($Z450="Manual/ None",0,IF($Z450="Other",2,4)),"")</f>
        <v/>
      </c>
      <c r="AJ450" s="11" t="str">
        <f t="shared" si="319"/>
        <v/>
      </c>
      <c r="AK450" s="11" t="str">
        <f t="shared" si="320"/>
        <v/>
      </c>
      <c r="AN450" s="11" t="s">
        <v>904</v>
      </c>
      <c r="AO450" s="11" t="s">
        <v>924</v>
      </c>
    </row>
    <row r="451" spans="1:41" ht="31.5">
      <c r="A451" s="11">
        <v>445</v>
      </c>
      <c r="B451" s="11" t="s">
        <v>1354</v>
      </c>
      <c r="C451" s="11" t="s">
        <v>1365</v>
      </c>
      <c r="D451" s="32"/>
      <c r="E451" s="11" t="str">
        <f t="shared" si="323"/>
        <v>Select ...</v>
      </c>
      <c r="F451" s="11"/>
      <c r="G451" s="11"/>
      <c r="H451" s="11"/>
      <c r="I451" s="11"/>
      <c r="J451" s="11"/>
      <c r="K451" s="11"/>
      <c r="L451" s="11"/>
      <c r="M451" s="11" t="s">
        <v>750</v>
      </c>
      <c r="N451" s="11" t="s">
        <v>1318</v>
      </c>
      <c r="O451" s="11" t="s">
        <v>464</v>
      </c>
      <c r="P451" s="11" t="s">
        <v>464</v>
      </c>
      <c r="Q451" s="11" t="s">
        <v>1280</v>
      </c>
      <c r="R451" s="11" t="str">
        <f t="shared" si="287"/>
        <v/>
      </c>
      <c r="S451" s="11" t="str">
        <f t="shared" si="288"/>
        <v/>
      </c>
      <c r="T451" s="11" t="str">
        <f t="shared" si="289"/>
        <v/>
      </c>
      <c r="U451" s="11" t="str">
        <f t="shared" si="290"/>
        <v/>
      </c>
      <c r="V451" s="11" t="str">
        <f t="shared" si="291"/>
        <v/>
      </c>
      <c r="W451" s="11" t="str">
        <f t="shared" si="324"/>
        <v/>
      </c>
      <c r="X451" s="11" t="s">
        <v>1007</v>
      </c>
      <c r="Y451" s="11" t="str">
        <f>HLOOKUP($X451,Tables_Cat!$B$6:$P$7,2,FALSE)</f>
        <v>Information</v>
      </c>
      <c r="Z451" s="24" t="s">
        <v>904</v>
      </c>
      <c r="AA451" s="11" t="s">
        <v>751</v>
      </c>
      <c r="AB451" s="13" t="str">
        <f t="shared" si="314"/>
        <v/>
      </c>
      <c r="AC451" s="11" t="s">
        <v>922</v>
      </c>
      <c r="AD451" s="11" t="str">
        <f t="shared" si="315"/>
        <v/>
      </c>
      <c r="AE451" s="11" t="s">
        <v>1281</v>
      </c>
      <c r="AF451" s="11" t="str">
        <f t="shared" si="316"/>
        <v/>
      </c>
      <c r="AG451" s="11" t="str">
        <f t="shared" si="317"/>
        <v/>
      </c>
      <c r="AH451" s="11" t="str">
        <f t="shared" si="318"/>
        <v/>
      </c>
      <c r="AI451" s="11" t="str">
        <f t="shared" si="362"/>
        <v/>
      </c>
      <c r="AJ451" s="11" t="str">
        <f t="shared" si="319"/>
        <v/>
      </c>
      <c r="AK451" s="11" t="str">
        <f t="shared" si="320"/>
        <v/>
      </c>
      <c r="AN451" s="11" t="s">
        <v>904</v>
      </c>
      <c r="AO451" s="11" t="s">
        <v>924</v>
      </c>
    </row>
    <row r="452" spans="1:41" ht="47.25">
      <c r="A452" s="11">
        <v>446</v>
      </c>
      <c r="B452" s="11" t="s">
        <v>1354</v>
      </c>
      <c r="C452" s="11" t="s">
        <v>1366</v>
      </c>
      <c r="D452" s="32"/>
      <c r="E452" s="11" t="str">
        <f t="shared" ref="E452" si="363">IF(D452="","Select ...")</f>
        <v>Select ...</v>
      </c>
      <c r="F452" s="11"/>
      <c r="G452" s="11"/>
      <c r="H452" s="11"/>
      <c r="I452" s="11"/>
      <c r="J452" s="11"/>
      <c r="K452" s="11"/>
      <c r="L452" s="11"/>
      <c r="M452" s="11" t="s">
        <v>750</v>
      </c>
      <c r="N452" s="11" t="s">
        <v>1318</v>
      </c>
      <c r="O452" s="11" t="s">
        <v>464</v>
      </c>
      <c r="P452" s="11" t="s">
        <v>464</v>
      </c>
      <c r="Q452" s="11" t="s">
        <v>868</v>
      </c>
      <c r="R452" s="11" t="str">
        <f t="shared" si="287"/>
        <v/>
      </c>
      <c r="S452" s="11" t="str">
        <f t="shared" si="288"/>
        <v/>
      </c>
      <c r="T452" s="11" t="str">
        <f t="shared" si="289"/>
        <v/>
      </c>
      <c r="U452" s="11" t="str">
        <f t="shared" si="290"/>
        <v/>
      </c>
      <c r="V452" s="11" t="str">
        <f t="shared" si="291"/>
        <v/>
      </c>
      <c r="W452" s="11" t="str">
        <f t="shared" ref="W452:W456" si="364">IF($E452="Yes",MAX(R452:V452),"")</f>
        <v/>
      </c>
      <c r="X452" s="11" t="s">
        <v>1007</v>
      </c>
      <c r="Y452" s="11" t="str">
        <f>HLOOKUP($X452,Tables_Cat!$B$6:$P$7,2,FALSE)</f>
        <v>Information</v>
      </c>
      <c r="Z452" s="24" t="s">
        <v>869</v>
      </c>
      <c r="AA452" s="11" t="s">
        <v>950</v>
      </c>
      <c r="AB452" s="13" t="str">
        <f t="shared" si="314"/>
        <v/>
      </c>
      <c r="AC452" s="11" t="s">
        <v>1338</v>
      </c>
      <c r="AD452" s="11" t="str">
        <f t="shared" si="315"/>
        <v/>
      </c>
      <c r="AE452" s="11" t="s">
        <v>870</v>
      </c>
      <c r="AF452" s="11" t="str">
        <f t="shared" si="316"/>
        <v/>
      </c>
      <c r="AG452" s="11" t="str">
        <f t="shared" si="317"/>
        <v/>
      </c>
      <c r="AH452" s="11" t="str">
        <f t="shared" si="318"/>
        <v/>
      </c>
      <c r="AI452" s="11" t="str">
        <f t="shared" si="362"/>
        <v/>
      </c>
      <c r="AJ452" s="11" t="str">
        <f t="shared" si="319"/>
        <v/>
      </c>
      <c r="AK452" s="11" t="str">
        <f t="shared" si="320"/>
        <v/>
      </c>
      <c r="AN452" s="11" t="s">
        <v>904</v>
      </c>
      <c r="AO452" s="11" t="s">
        <v>924</v>
      </c>
    </row>
    <row r="453" spans="1:41" ht="78.75">
      <c r="A453" s="11">
        <v>447</v>
      </c>
      <c r="B453" s="11" t="s">
        <v>1367</v>
      </c>
      <c r="C453" s="11" t="s">
        <v>1368</v>
      </c>
      <c r="D453" s="32"/>
      <c r="E453" s="11" t="s">
        <v>4</v>
      </c>
      <c r="F453" s="11">
        <v>1</v>
      </c>
      <c r="G453" s="11">
        <v>0.5</v>
      </c>
      <c r="H453" s="11">
        <f>A425</f>
        <v>419</v>
      </c>
      <c r="I453" s="11">
        <f>A433</f>
        <v>427</v>
      </c>
      <c r="J453" s="11"/>
      <c r="K453" s="11"/>
      <c r="L453" s="11"/>
      <c r="M453" s="11" t="s">
        <v>694</v>
      </c>
      <c r="N453" s="11" t="s">
        <v>763</v>
      </c>
      <c r="O453" s="11" t="s">
        <v>859</v>
      </c>
      <c r="P453" s="11" t="s">
        <v>1020</v>
      </c>
      <c r="Q453" s="11" t="s">
        <v>1021</v>
      </c>
      <c r="R453" s="11" t="str">
        <f t="shared" si="287"/>
        <v/>
      </c>
      <c r="S453" s="11" t="str">
        <f t="shared" si="288"/>
        <v/>
      </c>
      <c r="T453" s="11" t="str">
        <f t="shared" si="289"/>
        <v/>
      </c>
      <c r="U453" s="11" t="str">
        <f t="shared" si="290"/>
        <v/>
      </c>
      <c r="V453" s="11" t="str">
        <f t="shared" si="291"/>
        <v/>
      </c>
      <c r="W453" s="11" t="str">
        <f t="shared" si="364"/>
        <v/>
      </c>
      <c r="X453" s="11" t="s">
        <v>1007</v>
      </c>
      <c r="Y453" s="11" t="str">
        <f>HLOOKUP($X453,Tables_Cat!$B$6:$P$7,2,FALSE)</f>
        <v>Information</v>
      </c>
      <c r="Z453" s="24" t="s">
        <v>904</v>
      </c>
      <c r="AA453" s="11" t="s">
        <v>728</v>
      </c>
      <c r="AB453" s="13" t="str">
        <f t="shared" si="314"/>
        <v/>
      </c>
      <c r="AC453" s="11" t="s">
        <v>1012</v>
      </c>
      <c r="AD453" s="11" t="str">
        <f t="shared" si="315"/>
        <v/>
      </c>
      <c r="AE453" s="11" t="s">
        <v>1022</v>
      </c>
      <c r="AF453" s="11" t="str">
        <f t="shared" si="316"/>
        <v/>
      </c>
      <c r="AG453" s="11" t="str">
        <f t="shared" si="317"/>
        <v/>
      </c>
      <c r="AH453" s="11" t="str">
        <f t="shared" si="318"/>
        <v/>
      </c>
      <c r="AI453" s="11" t="str">
        <f t="shared" si="362"/>
        <v/>
      </c>
      <c r="AJ453" s="11" t="str">
        <f t="shared" si="319"/>
        <v/>
      </c>
      <c r="AK453" s="11" t="str">
        <f t="shared" si="320"/>
        <v/>
      </c>
      <c r="AN453" s="11" t="s">
        <v>811</v>
      </c>
      <c r="AO453" s="11" t="s">
        <v>1023</v>
      </c>
    </row>
    <row r="454" spans="1:41" ht="63">
      <c r="A454" s="11">
        <v>448</v>
      </c>
      <c r="B454" s="11" t="s">
        <v>1367</v>
      </c>
      <c r="C454" s="11" t="s">
        <v>1369</v>
      </c>
      <c r="D454" s="32"/>
      <c r="E454" s="11" t="s">
        <v>4</v>
      </c>
      <c r="F454" s="11">
        <v>1</v>
      </c>
      <c r="G454" s="11">
        <v>0.5</v>
      </c>
      <c r="H454" s="11">
        <f>A425</f>
        <v>419</v>
      </c>
      <c r="I454" s="11">
        <f>A433</f>
        <v>427</v>
      </c>
      <c r="J454" s="11"/>
      <c r="K454" s="11"/>
      <c r="L454" s="11"/>
      <c r="M454" s="11" t="s">
        <v>694</v>
      </c>
      <c r="N454" s="11" t="s">
        <v>763</v>
      </c>
      <c r="O454" s="11" t="s">
        <v>859</v>
      </c>
      <c r="P454" s="11" t="s">
        <v>1020</v>
      </c>
      <c r="Q454" s="11" t="s">
        <v>1021</v>
      </c>
      <c r="R454" s="11" t="str">
        <f t="shared" si="287"/>
        <v/>
      </c>
      <c r="S454" s="11" t="str">
        <f t="shared" si="288"/>
        <v/>
      </c>
      <c r="T454" s="11" t="str">
        <f t="shared" si="289"/>
        <v/>
      </c>
      <c r="U454" s="11" t="str">
        <f t="shared" si="290"/>
        <v/>
      </c>
      <c r="V454" s="11" t="str">
        <f t="shared" si="291"/>
        <v/>
      </c>
      <c r="W454" s="11" t="str">
        <f t="shared" si="364"/>
        <v/>
      </c>
      <c r="X454" s="11" t="s">
        <v>1007</v>
      </c>
      <c r="Y454" s="11" t="str">
        <f>HLOOKUP($X454,Tables_Cat!$B$6:$P$7,2,FALSE)</f>
        <v>Information</v>
      </c>
      <c r="Z454" s="24" t="s">
        <v>904</v>
      </c>
      <c r="AA454" s="11" t="s">
        <v>728</v>
      </c>
      <c r="AB454" s="13" t="str">
        <f t="shared" si="314"/>
        <v/>
      </c>
      <c r="AC454" s="11" t="s">
        <v>1012</v>
      </c>
      <c r="AD454" s="11" t="str">
        <f t="shared" si="315"/>
        <v/>
      </c>
      <c r="AE454" s="11" t="s">
        <v>1022</v>
      </c>
      <c r="AF454" s="11" t="str">
        <f t="shared" si="316"/>
        <v/>
      </c>
      <c r="AG454" s="11" t="str">
        <f t="shared" si="317"/>
        <v/>
      </c>
      <c r="AH454" s="11" t="str">
        <f t="shared" si="318"/>
        <v/>
      </c>
      <c r="AI454" s="11" t="str">
        <f t="shared" si="362"/>
        <v/>
      </c>
      <c r="AJ454" s="11" t="str">
        <f t="shared" si="319"/>
        <v/>
      </c>
      <c r="AK454" s="11" t="str">
        <f t="shared" si="320"/>
        <v/>
      </c>
      <c r="AN454" s="11" t="s">
        <v>811</v>
      </c>
      <c r="AO454" s="11" t="s">
        <v>1023</v>
      </c>
    </row>
    <row r="455" spans="1:41" ht="47.25">
      <c r="A455" s="11">
        <v>449</v>
      </c>
      <c r="B455" s="11" t="s">
        <v>1367</v>
      </c>
      <c r="C455" s="11" t="s">
        <v>1370</v>
      </c>
      <c r="D455" s="32"/>
      <c r="E455" s="11" t="s">
        <v>4</v>
      </c>
      <c r="F455" s="11">
        <v>1</v>
      </c>
      <c r="G455" s="11">
        <v>0.5</v>
      </c>
      <c r="H455" s="11">
        <f>A426</f>
        <v>420</v>
      </c>
      <c r="I455" s="11">
        <f>A434</f>
        <v>428</v>
      </c>
      <c r="J455" s="11"/>
      <c r="K455" s="11"/>
      <c r="L455" s="11"/>
      <c r="M455" s="11" t="s">
        <v>694</v>
      </c>
      <c r="N455" s="11" t="s">
        <v>763</v>
      </c>
      <c r="O455" s="11" t="s">
        <v>859</v>
      </c>
      <c r="P455" s="11" t="s">
        <v>1020</v>
      </c>
      <c r="Q455" s="11" t="s">
        <v>1021</v>
      </c>
      <c r="R455" s="11" t="str">
        <f t="shared" ref="R455:R461" si="365">IF(OR(H455="INIT",H455&gt;0),IF(AND($E455="Yes",VLOOKUP(H455,$A$6:$E$461,5,FALSE)="Yes"),VLOOKUP(H455,$A$6:$W$461,23,FALSE)+VLOOKUP(H455,$A$6:$F$461,6,FALSE),""),"")</f>
        <v/>
      </c>
      <c r="S455" s="11" t="str">
        <f t="shared" ref="S455:S461" si="366">IF(OR(I455="INIT",I455&gt;0),IF(AND($E455="Yes",VLOOKUP(I455,$A$6:$E$461,5,FALSE)="Yes"),VLOOKUP(I455,$A$6:$W$461,23,FALSE)+VLOOKUP(I455,$A$6:$F$461,6,FALSE),""),"")</f>
        <v/>
      </c>
      <c r="T455" s="11" t="str">
        <f t="shared" ref="T455:T461" si="367">IF(OR(J455="INIT",J455&gt;0),IF(AND($E455="Yes",VLOOKUP(J455,$A$6:$E$461,5,FALSE)="Yes"),VLOOKUP(J455,$A$6:$W$461,23,FALSE)+VLOOKUP(J455,$A$6:$F$461,6,FALSE),""),"")</f>
        <v/>
      </c>
      <c r="U455" s="11" t="str">
        <f t="shared" ref="U455:U461" si="368">IF(OR(K455="INIT",K455&gt;0),IF(AND($E455="Yes",VLOOKUP(K455,$A$6:$E$461,5,FALSE)="Yes"),VLOOKUP(K455,$A$6:$W$461,23,FALSE)+VLOOKUP(K455,$A$6:$F$461,6,FALSE),""),"")</f>
        <v/>
      </c>
      <c r="V455" s="11" t="str">
        <f t="shared" ref="V455:V461" si="369">IF(OR(L455="INIT",L455&gt;0),IF(AND($E455="Yes",VLOOKUP(L455,$A$6:$E$461,5,FALSE)="Yes"),VLOOKUP(L455,$A$6:$W$461,23,FALSE)+VLOOKUP(L455,$A$6:$F$461,6,FALSE),""),"")</f>
        <v/>
      </c>
      <c r="W455" s="11" t="str">
        <f t="shared" si="364"/>
        <v/>
      </c>
      <c r="X455" s="11" t="s">
        <v>1007</v>
      </c>
      <c r="Y455" s="11" t="str">
        <f>HLOOKUP($X455,Tables_Cat!$B$6:$P$7,2,FALSE)</f>
        <v>Information</v>
      </c>
      <c r="Z455" s="24" t="s">
        <v>904</v>
      </c>
      <c r="AA455" s="11" t="s">
        <v>728</v>
      </c>
      <c r="AB455" s="13" t="str">
        <f t="shared" si="314"/>
        <v/>
      </c>
      <c r="AC455" s="11" t="s">
        <v>922</v>
      </c>
      <c r="AD455" s="11" t="str">
        <f t="shared" si="315"/>
        <v/>
      </c>
      <c r="AE455" s="11" t="s">
        <v>1022</v>
      </c>
      <c r="AF455" s="11" t="str">
        <f t="shared" si="316"/>
        <v/>
      </c>
      <c r="AG455" s="11" t="str">
        <f t="shared" si="317"/>
        <v/>
      </c>
      <c r="AH455" s="11" t="str">
        <f t="shared" si="318"/>
        <v/>
      </c>
      <c r="AI455" s="11" t="str">
        <f t="shared" si="362"/>
        <v/>
      </c>
      <c r="AJ455" s="11" t="str">
        <f t="shared" si="319"/>
        <v/>
      </c>
      <c r="AK455" s="11" t="str">
        <f t="shared" si="320"/>
        <v/>
      </c>
      <c r="AN455" s="11" t="s">
        <v>811</v>
      </c>
      <c r="AO455" s="11" t="s">
        <v>1023</v>
      </c>
    </row>
    <row r="456" spans="1:41" ht="47.25">
      <c r="A456" s="11">
        <v>450</v>
      </c>
      <c r="B456" s="11" t="s">
        <v>1367</v>
      </c>
      <c r="C456" s="11" t="s">
        <v>1371</v>
      </c>
      <c r="D456" s="32"/>
      <c r="E456" s="11" t="s">
        <v>4</v>
      </c>
      <c r="F456" s="11">
        <v>1</v>
      </c>
      <c r="G456" s="11">
        <v>0.5</v>
      </c>
      <c r="H456" s="11">
        <f>A429</f>
        <v>423</v>
      </c>
      <c r="I456" s="11">
        <f>A435</f>
        <v>429</v>
      </c>
      <c r="J456" s="11"/>
      <c r="K456" s="11"/>
      <c r="L456" s="11"/>
      <c r="M456" s="11" t="s">
        <v>694</v>
      </c>
      <c r="N456" s="11" t="s">
        <v>763</v>
      </c>
      <c r="O456" s="11" t="s">
        <v>1020</v>
      </c>
      <c r="P456" s="11" t="s">
        <v>931</v>
      </c>
      <c r="Q456" s="11" t="s">
        <v>758</v>
      </c>
      <c r="R456" s="11" t="str">
        <f t="shared" si="365"/>
        <v/>
      </c>
      <c r="S456" s="11" t="str">
        <f t="shared" si="366"/>
        <v/>
      </c>
      <c r="T456" s="11" t="str">
        <f t="shared" si="367"/>
        <v/>
      </c>
      <c r="U456" s="11" t="str">
        <f t="shared" si="368"/>
        <v/>
      </c>
      <c r="V456" s="11" t="str">
        <f t="shared" si="369"/>
        <v/>
      </c>
      <c r="W456" s="11" t="str">
        <f t="shared" si="364"/>
        <v/>
      </c>
      <c r="X456" s="11" t="s">
        <v>914</v>
      </c>
      <c r="Y456" s="11" t="str">
        <f>HLOOKUP($X456,Tables_Cat!$B$6:$P$7,2,FALSE)</f>
        <v>Information</v>
      </c>
      <c r="Z456" s="24" t="s">
        <v>709</v>
      </c>
      <c r="AA456" s="11" t="s">
        <v>701</v>
      </c>
      <c r="AB456" s="13" t="str">
        <f t="shared" si="314"/>
        <v/>
      </c>
      <c r="AC456" s="11" t="s">
        <v>922</v>
      </c>
      <c r="AD456" s="11" t="str">
        <f t="shared" si="315"/>
        <v/>
      </c>
      <c r="AE456" s="11" t="s">
        <v>760</v>
      </c>
      <c r="AF456" s="11" t="str">
        <f t="shared" si="316"/>
        <v/>
      </c>
      <c r="AG456" s="11" t="str">
        <f t="shared" si="317"/>
        <v/>
      </c>
      <c r="AH456" s="11" t="str">
        <f t="shared" si="318"/>
        <v/>
      </c>
      <c r="AI456" s="11" t="str">
        <f t="shared" si="362"/>
        <v/>
      </c>
      <c r="AJ456" s="11" t="str">
        <f t="shared" si="319"/>
        <v/>
      </c>
      <c r="AK456" s="11" t="str">
        <f t="shared" si="320"/>
        <v/>
      </c>
      <c r="AN456" s="11" t="s">
        <v>811</v>
      </c>
      <c r="AO456" s="11" t="s">
        <v>1023</v>
      </c>
    </row>
    <row r="457" spans="1:41" ht="31.5">
      <c r="A457" s="11">
        <v>451</v>
      </c>
      <c r="B457" s="11" t="s">
        <v>718</v>
      </c>
      <c r="C457" s="11" t="s">
        <v>1372</v>
      </c>
      <c r="D457" s="32"/>
      <c r="E457" s="11" t="s">
        <v>4</v>
      </c>
      <c r="F457" s="11">
        <v>3</v>
      </c>
      <c r="G457" s="11">
        <v>2</v>
      </c>
      <c r="H457" s="11">
        <v>1</v>
      </c>
      <c r="I457" s="11"/>
      <c r="J457" s="11"/>
      <c r="K457" s="11"/>
      <c r="L457" s="11"/>
      <c r="M457" s="11" t="s">
        <v>694</v>
      </c>
      <c r="N457" s="11" t="s">
        <v>720</v>
      </c>
      <c r="O457" s="11" t="s">
        <v>1112</v>
      </c>
      <c r="P457" s="11" t="s">
        <v>464</v>
      </c>
      <c r="Q457" s="11" t="s">
        <v>1280</v>
      </c>
      <c r="R457" s="11" t="str">
        <f t="shared" si="365"/>
        <v/>
      </c>
      <c r="S457" s="11" t="str">
        <f t="shared" si="366"/>
        <v/>
      </c>
      <c r="T457" s="11" t="str">
        <f t="shared" si="367"/>
        <v/>
      </c>
      <c r="U457" s="11" t="str">
        <f t="shared" si="368"/>
        <v/>
      </c>
      <c r="V457" s="11" t="str">
        <f t="shared" si="369"/>
        <v/>
      </c>
      <c r="W457" s="11" t="str">
        <f>IF($E457="Yes",MAX(R457:V457),"")</f>
        <v/>
      </c>
      <c r="X457" s="11" t="s">
        <v>1007</v>
      </c>
      <c r="Y457" s="11" t="str">
        <f>HLOOKUP($X457,Tables_Cat!$B$6:$P$7,2,FALSE)</f>
        <v>Information</v>
      </c>
      <c r="Z457" s="24" t="s">
        <v>904</v>
      </c>
      <c r="AA457" s="11" t="s">
        <v>728</v>
      </c>
      <c r="AB457" s="13" t="str">
        <f>IF($E457="Yes",($F457-$G457)/$F457,"")</f>
        <v/>
      </c>
      <c r="AC457" s="11" t="s">
        <v>1008</v>
      </c>
      <c r="AD457" s="11" t="str">
        <f>IF($E457="Yes",$AB457+$AI457,"")</f>
        <v/>
      </c>
      <c r="AE457" s="11" t="s">
        <v>1281</v>
      </c>
      <c r="AF457" s="11" t="str">
        <f>IF($E457="Yes",$F457*$W457,"")</f>
        <v/>
      </c>
      <c r="AG457" s="11" t="str">
        <f>IF($E457="Yes",$F457*$W457^2,"")</f>
        <v/>
      </c>
      <c r="AH457" s="11" t="str">
        <f>IF($E457="Yes",IF($AA457="Engineer",5,IF($AA457="Implement",4,IF($AA457="Manage",3,IF($AA457="Validate",2,1)))),"")</f>
        <v/>
      </c>
      <c r="AI457" s="11" t="str">
        <f>IF(AND($E457="Yes",$Z457&lt;&gt;"Not applicable"),IF($Z457="Manual/ None",0,IF($Z457="Other",2,4)),"")</f>
        <v/>
      </c>
      <c r="AJ457" s="11" t="str">
        <f>IF($E457="Yes",$G457*$W457,"")</f>
        <v/>
      </c>
      <c r="AK457" s="11" t="str">
        <f>IF($E457="Yes",$G457*$W457^2,"")</f>
        <v/>
      </c>
      <c r="AN457" s="11" t="s">
        <v>722</v>
      </c>
      <c r="AO457" s="11" t="s">
        <v>982</v>
      </c>
    </row>
    <row r="458" spans="1:41" ht="63">
      <c r="A458" s="11">
        <v>452</v>
      </c>
      <c r="B458" s="11" t="s">
        <v>718</v>
      </c>
      <c r="C458" s="11" t="s">
        <v>1373</v>
      </c>
      <c r="D458" s="32"/>
      <c r="E458" s="11" t="s">
        <v>4</v>
      </c>
      <c r="F458" s="11">
        <v>3</v>
      </c>
      <c r="G458" s="11">
        <v>2</v>
      </c>
      <c r="H458" s="11">
        <v>1</v>
      </c>
      <c r="I458" s="11"/>
      <c r="J458" s="11"/>
      <c r="K458" s="11"/>
      <c r="L458" s="11"/>
      <c r="M458" s="11" t="s">
        <v>694</v>
      </c>
      <c r="N458" s="11" t="s">
        <v>720</v>
      </c>
      <c r="O458" s="11" t="s">
        <v>1112</v>
      </c>
      <c r="P458" s="11" t="s">
        <v>1070</v>
      </c>
      <c r="Q458" s="11" t="s">
        <v>868</v>
      </c>
      <c r="R458" s="11" t="str">
        <f t="shared" si="365"/>
        <v/>
      </c>
      <c r="S458" s="11" t="str">
        <f t="shared" si="366"/>
        <v/>
      </c>
      <c r="T458" s="11" t="str">
        <f t="shared" si="367"/>
        <v/>
      </c>
      <c r="U458" s="11" t="str">
        <f t="shared" si="368"/>
        <v/>
      </c>
      <c r="V458" s="11" t="str">
        <f t="shared" si="369"/>
        <v/>
      </c>
      <c r="W458" s="11" t="str">
        <f>IF($E458="Yes",MAX(R458:V458),"")</f>
        <v/>
      </c>
      <c r="X458" s="11" t="s">
        <v>911</v>
      </c>
      <c r="Y458" s="11" t="str">
        <f>HLOOKUP($X458,Tables_Cat!$B$6:$P$7,2,FALSE)</f>
        <v>Material</v>
      </c>
      <c r="Z458" s="24" t="s">
        <v>709</v>
      </c>
      <c r="AA458" s="11" t="s">
        <v>728</v>
      </c>
      <c r="AB458" s="13" t="str">
        <f>IF($E458="Yes",($F458-$G458)/$F458,"")</f>
        <v/>
      </c>
      <c r="AC458" s="11" t="s">
        <v>912</v>
      </c>
      <c r="AD458" s="11" t="str">
        <f>IF($E458="Yes",$AB458+$AI458,"")</f>
        <v/>
      </c>
      <c r="AE458" s="11" t="s">
        <v>870</v>
      </c>
      <c r="AF458" s="11" t="str">
        <f>IF($E458="Yes",$F458*$W458,"")</f>
        <v/>
      </c>
      <c r="AG458" s="11" t="str">
        <f>IF($E458="Yes",$F458*$W458^2,"")</f>
        <v/>
      </c>
      <c r="AH458" s="11" t="str">
        <f>IF($E458="Yes",IF($AA458="Engineer",5,IF($AA458="Implement",4,IF($AA458="Manage",3,IF($AA458="Validate",2,1)))),"")</f>
        <v/>
      </c>
      <c r="AI458" s="11" t="str">
        <f>IF(AND($E458="Yes",$Z458&lt;&gt;"Not applicable"),IF($Z458="Manual/ None",0,IF($Z458="Other",2,4)),"")</f>
        <v/>
      </c>
      <c r="AJ458" s="11" t="str">
        <f>IF($E458="Yes",$G458*$W458,"")</f>
        <v/>
      </c>
      <c r="AK458" s="11" t="str">
        <f>IF($E458="Yes",$G458*$W458^2,"")</f>
        <v/>
      </c>
      <c r="AN458" s="11" t="s">
        <v>722</v>
      </c>
      <c r="AO458" s="11" t="s">
        <v>982</v>
      </c>
    </row>
    <row r="459" spans="1:41" ht="63">
      <c r="A459" s="11">
        <v>453</v>
      </c>
      <c r="B459" s="11" t="s">
        <v>718</v>
      </c>
      <c r="C459" s="11" t="s">
        <v>1374</v>
      </c>
      <c r="D459" s="32"/>
      <c r="E459" s="11" t="s">
        <v>4</v>
      </c>
      <c r="F459" s="11">
        <v>3</v>
      </c>
      <c r="G459" s="11">
        <v>2</v>
      </c>
      <c r="H459" s="11">
        <v>1</v>
      </c>
      <c r="I459" s="11"/>
      <c r="J459" s="11"/>
      <c r="K459" s="11"/>
      <c r="L459" s="11"/>
      <c r="M459" s="11" t="s">
        <v>694</v>
      </c>
      <c r="N459" s="11" t="s">
        <v>720</v>
      </c>
      <c r="O459" s="11" t="s">
        <v>1112</v>
      </c>
      <c r="P459" s="11" t="s">
        <v>1070</v>
      </c>
      <c r="Q459" s="11" t="s">
        <v>1107</v>
      </c>
      <c r="R459" s="11" t="str">
        <f t="shared" si="365"/>
        <v/>
      </c>
      <c r="S459" s="11" t="str">
        <f t="shared" si="366"/>
        <v/>
      </c>
      <c r="T459" s="11" t="str">
        <f t="shared" si="367"/>
        <v/>
      </c>
      <c r="U459" s="11" t="str">
        <f t="shared" si="368"/>
        <v/>
      </c>
      <c r="V459" s="11" t="str">
        <f t="shared" si="369"/>
        <v/>
      </c>
      <c r="W459" s="11" t="str">
        <f>IF($E459="Yes",MAX(R459:V459),"")</f>
        <v/>
      </c>
      <c r="X459" s="11" t="s">
        <v>911</v>
      </c>
      <c r="Y459" s="11" t="str">
        <f>HLOOKUP($X459,Tables_Cat!$B$6:$P$7,2,FALSE)</f>
        <v>Material</v>
      </c>
      <c r="Z459" s="24" t="s">
        <v>793</v>
      </c>
      <c r="AA459" s="11" t="s">
        <v>728</v>
      </c>
      <c r="AB459" s="13" t="str">
        <f>IF($E459="Yes",($F459-$G459)/$F459,"")</f>
        <v/>
      </c>
      <c r="AC459" s="11" t="s">
        <v>912</v>
      </c>
      <c r="AD459" s="11" t="str">
        <f>IF($E459="Yes",$AB459+$AI459,"")</f>
        <v/>
      </c>
      <c r="AE459" s="11" t="s">
        <v>839</v>
      </c>
      <c r="AF459" s="11" t="str">
        <f>IF($E459="Yes",$F459*$W459,"")</f>
        <v/>
      </c>
      <c r="AG459" s="11" t="str">
        <f>IF($E459="Yes",$F459*$W459^2,"")</f>
        <v/>
      </c>
      <c r="AH459" s="11" t="str">
        <f>IF($E459="Yes",IF($AA459="Engineer",5,IF($AA459="Implement",4,IF($AA459="Manage",3,IF($AA459="Validate",2,1)))),"")</f>
        <v/>
      </c>
      <c r="AI459" s="11" t="str">
        <f>IF(AND($E459="Yes",$Z459&lt;&gt;"Not applicable"),IF($Z459="Manual/ None",0,IF($Z459="Other",2,4)),"")</f>
        <v/>
      </c>
      <c r="AJ459" s="11" t="str">
        <f>IF($E459="Yes",$G459*$W459,"")</f>
        <v/>
      </c>
      <c r="AK459" s="11" t="str">
        <f>IF($E459="Yes",$G459*$W459^2,"")</f>
        <v/>
      </c>
      <c r="AN459" s="11" t="s">
        <v>722</v>
      </c>
      <c r="AO459" s="11" t="s">
        <v>982</v>
      </c>
    </row>
    <row r="460" spans="1:41" ht="31.5">
      <c r="A460" s="11">
        <v>454</v>
      </c>
      <c r="B460" s="11" t="s">
        <v>1375</v>
      </c>
      <c r="C460" s="11" t="s">
        <v>1376</v>
      </c>
      <c r="D460" s="32"/>
      <c r="E460" s="11" t="str">
        <f t="shared" si="323"/>
        <v>Select ...</v>
      </c>
      <c r="F460" s="11"/>
      <c r="G460" s="11"/>
      <c r="H460" s="11"/>
      <c r="I460" s="11"/>
      <c r="J460" s="11"/>
      <c r="K460" s="11"/>
      <c r="L460" s="11"/>
      <c r="M460" s="11" t="s">
        <v>750</v>
      </c>
      <c r="N460" s="11" t="s">
        <v>769</v>
      </c>
      <c r="O460" s="11" t="s">
        <v>1303</v>
      </c>
      <c r="P460" s="11" t="s">
        <v>92</v>
      </c>
      <c r="Q460" s="11" t="s">
        <v>770</v>
      </c>
      <c r="R460" s="11" t="str">
        <f t="shared" si="365"/>
        <v/>
      </c>
      <c r="S460" s="11" t="str">
        <f t="shared" si="366"/>
        <v/>
      </c>
      <c r="T460" s="11" t="str">
        <f t="shared" si="367"/>
        <v/>
      </c>
      <c r="U460" s="11" t="str">
        <f t="shared" si="368"/>
        <v/>
      </c>
      <c r="V460" s="11" t="str">
        <f t="shared" si="369"/>
        <v/>
      </c>
      <c r="W460" s="11" t="str">
        <f t="shared" si="324"/>
        <v/>
      </c>
      <c r="X460" s="11" t="s">
        <v>92</v>
      </c>
      <c r="Y460" s="11" t="str">
        <f>HLOOKUP($X460,Tables_Cat!$B$6:$P$7,2,FALSE)</f>
        <v>Material</v>
      </c>
      <c r="Z460" s="24" t="s">
        <v>869</v>
      </c>
      <c r="AA460" s="11" t="s">
        <v>765</v>
      </c>
      <c r="AB460" s="13" t="str">
        <f t="shared" si="314"/>
        <v/>
      </c>
      <c r="AC460" s="11" t="s">
        <v>1012</v>
      </c>
      <c r="AD460" s="11" t="str">
        <f t="shared" si="315"/>
        <v/>
      </c>
      <c r="AE460" s="11" t="s">
        <v>772</v>
      </c>
      <c r="AF460" s="11" t="str">
        <f t="shared" si="316"/>
        <v/>
      </c>
      <c r="AG460" s="11" t="str">
        <f t="shared" si="317"/>
        <v/>
      </c>
      <c r="AH460" s="11" t="str">
        <f t="shared" si="318"/>
        <v/>
      </c>
      <c r="AI460" s="11" t="str">
        <f t="shared" si="362"/>
        <v/>
      </c>
      <c r="AJ460" s="11" t="str">
        <f t="shared" si="319"/>
        <v/>
      </c>
      <c r="AK460" s="11" t="str">
        <f t="shared" si="320"/>
        <v/>
      </c>
      <c r="AN460" s="11" t="s">
        <v>871</v>
      </c>
      <c r="AO460" s="11" t="s">
        <v>1213</v>
      </c>
    </row>
    <row r="461" spans="1:41" ht="31.5">
      <c r="A461" s="11">
        <v>455</v>
      </c>
      <c r="B461" s="11" t="s">
        <v>1375</v>
      </c>
      <c r="C461" s="11" t="s">
        <v>1377</v>
      </c>
      <c r="D461" s="32"/>
      <c r="E461" s="11" t="str">
        <f t="shared" ref="E461" si="370">IF(D461="","Select ...")</f>
        <v>Select ...</v>
      </c>
      <c r="F461" s="11"/>
      <c r="G461" s="11"/>
      <c r="H461" s="11"/>
      <c r="I461" s="11"/>
      <c r="J461" s="11"/>
      <c r="K461" s="11"/>
      <c r="L461" s="11"/>
      <c r="M461" s="11" t="s">
        <v>750</v>
      </c>
      <c r="N461" s="11" t="s">
        <v>769</v>
      </c>
      <c r="O461" s="11" t="s">
        <v>1303</v>
      </c>
      <c r="P461" s="11" t="s">
        <v>92</v>
      </c>
      <c r="Q461" s="11" t="s">
        <v>770</v>
      </c>
      <c r="R461" s="11" t="str">
        <f t="shared" si="365"/>
        <v/>
      </c>
      <c r="S461" s="11" t="str">
        <f t="shared" si="366"/>
        <v/>
      </c>
      <c r="T461" s="11" t="str">
        <f t="shared" si="367"/>
        <v/>
      </c>
      <c r="U461" s="11" t="str">
        <f t="shared" si="368"/>
        <v/>
      </c>
      <c r="V461" s="11" t="str">
        <f t="shared" si="369"/>
        <v/>
      </c>
      <c r="W461" s="11" t="str">
        <f t="shared" ref="W461" si="371">IF($E461="Yes",MAX(R461:V461),"")</f>
        <v/>
      </c>
      <c r="X461" s="11" t="s">
        <v>92</v>
      </c>
      <c r="Y461" s="11" t="str">
        <f>HLOOKUP($X461,Tables_Cat!$B$6:$P$7,2,FALSE)</f>
        <v>Material</v>
      </c>
      <c r="Z461" s="24" t="s">
        <v>869</v>
      </c>
      <c r="AA461" s="11" t="s">
        <v>765</v>
      </c>
      <c r="AB461" s="13" t="str">
        <f t="shared" si="314"/>
        <v/>
      </c>
      <c r="AC461" s="11" t="s">
        <v>922</v>
      </c>
      <c r="AD461" s="11" t="str">
        <f t="shared" si="315"/>
        <v/>
      </c>
      <c r="AE461" s="11" t="s">
        <v>772</v>
      </c>
      <c r="AF461" s="11" t="str">
        <f t="shared" si="316"/>
        <v/>
      </c>
      <c r="AG461" s="11" t="str">
        <f t="shared" si="317"/>
        <v/>
      </c>
      <c r="AH461" s="11" t="str">
        <f t="shared" si="318"/>
        <v/>
      </c>
      <c r="AI461" s="11" t="str">
        <f t="shared" si="362"/>
        <v/>
      </c>
      <c r="AJ461" s="11" t="str">
        <f t="shared" si="319"/>
        <v/>
      </c>
      <c r="AK461" s="11" t="str">
        <f t="shared" si="320"/>
        <v/>
      </c>
      <c r="AN461" s="11" t="s">
        <v>871</v>
      </c>
      <c r="AO461" s="11" t="s">
        <v>1213</v>
      </c>
    </row>
    <row r="462" spans="1:41" s="14" customFormat="1" ht="31.5">
      <c r="A462" s="15">
        <v>0</v>
      </c>
      <c r="B462" s="15" t="s">
        <v>1378</v>
      </c>
      <c r="C462" s="15"/>
      <c r="D462" s="33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>
        <f>MAX($W6:$W385)</f>
        <v>34.75</v>
      </c>
      <c r="X462" s="15"/>
      <c r="Y462" s="15"/>
      <c r="Z462" s="25"/>
      <c r="AA462" s="15"/>
      <c r="AB462" s="16">
        <f>AVERAGE($AB7:$AB385)</f>
        <v>0.28777777777777774</v>
      </c>
      <c r="AC462" s="15"/>
      <c r="AD462" s="15"/>
      <c r="AE462" s="15"/>
      <c r="AF462" s="15"/>
      <c r="AG462" s="15"/>
      <c r="AH462" s="15"/>
      <c r="AI462" s="15"/>
      <c r="AJ462" s="15"/>
      <c r="AK462" s="15"/>
    </row>
  </sheetData>
  <conditionalFormatting sqref="F7:J7 F209:J210 M48 F48:J48 F121:J121 M121 F132:J146 M337:M339 F337:J339 F341:J345 M341:M345 M347:M351 F347:J351 F50:J50 M50 M27:M33 F27:J33 F44:J46 M44:M46 M52 F52:J52 F54:J56 M54:M56 M66:M68 F66:J68 F70:J70 M70 F76:J85 F102:J113 M102:M113 F357:J358 M357:M358 M378 F378:J378 F170:J171 M170:M171 M201:M204 F201:J203 M223 F223:J223 F305:J305 M305 F299:J300 M299:M300 M302:M303 F302:J303 M314:M315 F314:J315 F317:J318 M317:M318 M320:M321 F320:J321 F330:J330 M330 F327:J328 M327:M328 F324:J325 M324:M325 M241:M245 F241:J245 F267:J268 M267:M268 M271:M272 F271:J272 F288:J289 M288:M289 M291:M292 F291:J292 F294:J296 M294:M296 M64 F64:J64 N64:N74 Q76:Q85 Q27:Q33 Q10:Q11 Q42 Q44:Q56 M76:N85 N161 M7:N7 W7 Q7:Q8 Y7:AD7 Y7:Y11 AF7:AK7 AF168:AH171 Y168:Y171 N168:N171 Q168:Q171 Q255 Y255 AF255:AH255 F255:J255 M255 AF353:AH354 Y353:Y354 Q353:Q354 AF285:AH305 Y285:Y305 Q285:Q305 F285:J285 M285 Q334:Q351 Y334:Y351 AF334:AH351 M334:M335 F334:J335 AF159:AH161 Y159:Y161 Q159:Q161 Q209:Q210 Y209:Y210 AF209:AH210 M209:N210 AF251:AH251 Y251 Q251 F251:J251 M251 M262:M264 F262:J264 AF262:AH272 Y262:Y272 Q262:Q272 AJ262:AK272 AJ251:AK251 AJ209:AK210 AJ159:AK161 AJ334:AK351 AJ285:AK305 AJ353:AK354 AJ255:AK255 AJ168:AK171 AF8:AH11 AJ8:AK11 AJ22:AK33 AF22:AH33 Y22:Y33 Q22:Q24 Y132:Y146 AF132:AH146 AJ132:AK146 M132:N146 Q132:Q146 Y100:Y113 AF100:AH113 AJ100:AK113 N100:N113 Q100:Q113 F100:J100 M100 AJ193:AK204 Q193:Q204 N193:N204 Y193:Y204 AF193:AH204 M193:M198 F193:J198 Q119 N119 AJ119:AK119 AF119:AH119 Y119 Y62:Y85 AF62:AH85 AJ62:AK85 Q62:Q74 M62 F62:J62 AJ90:AK90 AF90:AH90 Y90 M90:N90 Q90 F90:J90 Y121:Y123 AF121:AH123 AJ121:AK123 N121:N123 Q121:Q123 Q126:Q129 N126:N129 AJ126:AK129 AF126:AH129 Y126:Y129 Q149:Q150 M149:N150 AJ149:AK150 AF149:AH150 Y149:Y150 F149:J150 AJ164:AK165 Q164:Q165 Y164:Y165 AF164:AH165 N164:N165 AJ248:AK248 AF248:AH248 Y248 Q248 F248:J248 M248 AJ357:AK360 Q357:Q360 Y357:Y360 AF357:AH360 Y35:Y37 AF35:AH37 AJ35:AK37 Q35:Q37 F35:J37 M35:M37 AJ212:AK215 AF212:AH215 Y212:Y215 M212:N215 Q212:Q215 F212:J215 M40 F40:J40 Q40 AJ40:AK56 AF40:AH56 Y40:Y56 Q217:Q223 N217:N218 Y217:Y223 AF217:AH223 AJ217:AK223 AJ230:AK245 AF230:AH245 Y230:Y245 Q230:Q245 F230:J237 M230:M237 AJ311:AK330 Q311:Q330 Y311:Y330 AF311:AH330 M311 F311:J311 AJ279:AK283 Q279:Q283 Y279:Y283 AF279:AH283 F279:J283 M279:M283 AF369:AH374 Y369:Y374 Q369:Q374 AJ369:AK374 AJ378:AK386 Q378:Q382 Y378:Y386 AF378:AH386">
    <cfRule type="expression" dxfId="8645" priority="14010">
      <formula>$E$7&lt;&gt;"Yes"</formula>
    </cfRule>
  </conditionalFormatting>
  <conditionalFormatting sqref="G7">
    <cfRule type="expression" dxfId="8644" priority="14009">
      <formula>$E$7&lt;&gt;"Yes"</formula>
    </cfRule>
  </conditionalFormatting>
  <conditionalFormatting sqref="F7:J7 F209:J210 M48 F48:J48 F121:J121 M121 F132:J146 M337:M339 F337:J339 F341:J345 M341:M345 M347:M351 F347:J351 F50:J50 M50 M27:M33 F27:J33 F44:J46 M44:M46 M52 F52:J52 F54:J56 M54:M56 M66:M68 F66:J68 F70:J70 M70 F76:J85 F102:J113 M102:M113 F357:J358 M357:M358 M378 F378:J378 F170:J171 M170:M171 M201:M204 F201:J203 M223 F223:J223 F305:J305 M305 F299:J300 M299:M300 M302:M303 F302:J303 M314:M315 F314:J315 F317:J318 M317:M318 M320:M321 F320:J321 F330:J330 M330 F327:J328 M327:M328 F324:J325 M324:M325 F267:J268 M267:M268 M271:M272 F271:J272 F288:J289 M288:M289 M291:M292 F291:J292 F294:J296 M294:M296 M64 F64:J64 N64:N74 Q76:Q85 Q27:Q33 Q10:Q11 Q42 Q44:Q56 M76:N85 N161 M7:N7 W7 Q7:Q8 Y7:AD7 Y7:Y11 AF7:AK7 AF168:AH171 Y168:Y171 N168:N171 Q168:Q171 Q255 Y255 AF255:AH255 F255:J255 M255 Q353:Q354 F416:Q416 AD416:AH416 AF285:AH305 Y285:Y305 Q285:Q305 F285:J285 M285 Q334:Q351 Y334:Y351 AF334:AH351 M334:M335 F334:J335 AF159:AH161 Y159:Y161 Q159:Q161 M209:N210 AF251:AH251 Y251 Q251 F251:J251 M251 M262:M264 F262:J264 AF262:AH272 Y262:Y272 Q262:Q272 AF209:AH210 F241:M242 F248:M248 W241:W242 AE241:AE242 N242 Q209:Q210 O241:P242 X209:Y210 O248:Q248 F243:Q245 AF353:AH354 W385 AE385 X353:Y354 AD353:AD354 F385:Q386 W386:Y386 W243:Y245 W416:Y416 AA416:AB416 AA386:AH386 AA353:AB354 AA209:AD210 AA243:AH245 AC334:AC354 AJ353:AK354 AJ209:AK210 AJ262:AK272 AJ251:AK251 AJ159:AK161 AJ334:AK351 AJ285:AK305 AJ416:AK416 AJ255:AK255 AJ168:AK171 AF8:AH11 AJ8:AK11 AJ22:AK33 AF22:AH33 Y22:Y33 Q22:Q24 Y132:Y146 AF132:AH146 AJ132:AK146 M132:N146 Q132:Q146 Y100:Y113 AF100:AH113 AJ100:AK113 N100:N113 Q100:Q113 F100:J100 M100 AJ193:AK204 Q193:Q204 N193:N204 Y193:Y204 AF193:AH204 M193:M198 F193:J198 Q178:V182 AF178:AK182 AN178:AO182 X178:AD182 Q119 N119 AJ119:AK119 AF119:AH119 Y119 Y62:Y85 AF62:AH85 AJ62:AK85 Q62:Q74 M62 F62:J62 AJ90:AK90 AF90:AH90 Y90 M90:N90 Q90 F90:J90 Y121:Y123 AF121:AH123 AJ121:AK123 N121:N123 Q121:Q123 Q126:Q129 N126:N129 AJ126:AK129 AF126:AH129 Y126:Y129 Q149:Q150 M149:N150 AJ149:AK150 AF149:AH150 Y149:Y150 F149:J150 AJ164:AK165 Q164:Q165 Y164:Y165 AF164:AH165 N164:N165 AJ248:AK248 AA248:AH248 W248:Y248 AJ357:AK360 AA357:AD360 X357:Y360 AF357:AH360 Q357:Q360 Y35:Y37 AF35:AH37 AJ35:AK37 Q35:Q37 F35:J37 M35:M37 AJ212:AK215 AA212:AD215 X212:Y215 Q212:Q215 AF212:AH215 M212:N215 F212:J215 M40 F40:J40 Q40 AJ40:AK56 AF40:AH56 Y40:Y56 N217:N218 AF217:AH223 Q217:Q223 X217:Y223 AA217:AD223 AJ217:AK223 AJ230:AK245 AA230:AD242 X230:Y242 Q230:Q242 AF230:AH242 F230:J237 M230:M237 AJ311:AK330 Q311:Q330 Y311:Y330 AF311:AH330 M311 F311:J311 AJ418:AK418 AA418:AB418 W418:Y418 AD418:AH418 F418:Q418 F124:AK125 AN124:AO125 AJ279:AK283 Q279:Q283 Y279:Y283 AF279:AH283 F279:J283 M279:M283 Q369:Q374 AF369:AH374 X369:Y374 AA369:AD374 AJ369:AK374 AJ378:AK386 AA378:AD385 X378:Y385 AF378:AH385 Q378:Q382 F456:AK459 AN456:AO459">
    <cfRule type="expression" dxfId="8643" priority="14008">
      <formula>$E7&lt;&gt;"Yes"</formula>
    </cfRule>
  </conditionalFormatting>
  <conditionalFormatting sqref="G27">
    <cfRule type="expression" dxfId="8642" priority="14006">
      <formula>$E$7&lt;&gt;"Yes"</formula>
    </cfRule>
  </conditionalFormatting>
  <conditionalFormatting sqref="G28:G33">
    <cfRule type="expression" dxfId="8641" priority="14003">
      <formula>$E$7&lt;&gt;"Yes"</formula>
    </cfRule>
  </conditionalFormatting>
  <conditionalFormatting sqref="G35:G37 G209:G210 G48 G121 G132:G146 G337:G339 G341:G345 G347:G351 G50 G44:G46 G52 G54:G56 G66:G68 G70 G76:G85 G102:G113 G357:G358 G378 G170:G171 G201:G203 G223 G305 G299:G300 G302:G303 G314:G315 G317:G318 G320:G321 G330 G327:G328 G324:G325 G241:G245 G267:G268 G271:G272 G288:G289 G291:G292 G294:G296 G64 G255 G285 G334:G335 G251 G262:G264 G100 G193:G198 G62 G90 G149:G150 G248 G212:G215 G40 G230:G237 G311 G279:G283">
    <cfRule type="expression" dxfId="8640" priority="14000">
      <formula>$E$7&lt;&gt;"Yes"</formula>
    </cfRule>
  </conditionalFormatting>
  <conditionalFormatting sqref="K7:L7 K209:L210 K48:L48 K121:L121 K132:L146 K337:L339 K341:L345 K347:L351 K50:L50 K27:L33 K44:L46 K52:L52 K54:L56 K66:L68 K70:L70 K76:L85 K102:L113 K357:L358 K378:L378 K170:L171 K201:L203 K223:L223 K305:L305 K299:L300 K302:L303 K314:L315 K317:L318 K320:L321 K330:L330 K327:L328 K324:L325 K241:L245 K267:L268 K271:L272 K288:L289 K291:L292 K294:L296 K64:L64 K255:L255 K285:L285 K334:L335 K251:L251 K262:L264 K100:L100 K193:L198 K62:L62 K90:L90 K149:L150 K248:L248 K35:L37 K212:L215 K40:L40 K230:L237 K311:L311 K279:L283">
    <cfRule type="expression" dxfId="8639" priority="13998">
      <formula>$E$7&lt;&gt;"Yes"</formula>
    </cfRule>
  </conditionalFormatting>
  <conditionalFormatting sqref="K7:L7 K209:L210 K48:L48 K121:L121 K132:L146 K337:L339 K341:L345 K347:L351 K50:L50 K27:L33 K44:L46 K52:L52 K54:L56 K66:L68 K70:L70 K76:L85 K102:L113 K357:L358 K378:L378 K170:L171 K201:L203 K223:L223 K305:L305 K299:L300 K302:L303 K314:L315 K317:L318 K320:L321 K330:L330 K327:L328 K324:L325 K267:L268 K271:L272 K288:L289 K291:L292 K294:L296 K64:L64 K255:L255 K285:L285 K334:L335 K251:L251 K262:L264 K100:L100 K193:L198 K62:L62 K90:L90 K149:L150 K35:L37 K212:L215 K40:L40 K230:L237 K311:L311 K279:L283">
    <cfRule type="expression" dxfId="8638" priority="13997">
      <formula>$E7&lt;&gt;"Yes"</formula>
    </cfRule>
  </conditionalFormatting>
  <conditionalFormatting sqref="F204:J204">
    <cfRule type="expression" dxfId="8637" priority="13996">
      <formula>$E$7&lt;&gt;"Yes"</formula>
    </cfRule>
  </conditionalFormatting>
  <conditionalFormatting sqref="F204:J204">
    <cfRule type="expression" dxfId="8636" priority="13995">
      <formula>$E204&lt;&gt;"Yes"</formula>
    </cfRule>
  </conditionalFormatting>
  <conditionalFormatting sqref="G204">
    <cfRule type="expression" dxfId="8635" priority="13994">
      <formula>$E$7&lt;&gt;"Yes"</formula>
    </cfRule>
  </conditionalFormatting>
  <conditionalFormatting sqref="K204:L204">
    <cfRule type="expression" dxfId="8634" priority="13993">
      <formula>$E$7&lt;&gt;"Yes"</formula>
    </cfRule>
  </conditionalFormatting>
  <conditionalFormatting sqref="K204:L204">
    <cfRule type="expression" dxfId="8633" priority="13992">
      <formula>$E204&lt;&gt;"Yes"</formula>
    </cfRule>
  </conditionalFormatting>
  <conditionalFormatting sqref="Q230">
    <cfRule type="expression" dxfId="8632" priority="13973">
      <formula>$E$7&lt;&gt;"Yes"</formula>
    </cfRule>
  </conditionalFormatting>
  <conditionalFormatting sqref="Q230">
    <cfRule type="expression" dxfId="8631" priority="13972">
      <formula>$E230&lt;&gt;"Yes"</formula>
    </cfRule>
  </conditionalFormatting>
  <conditionalFormatting sqref="Q231">
    <cfRule type="expression" dxfId="8630" priority="13969">
      <formula>$E$7&lt;&gt;"Yes"</formula>
    </cfRule>
  </conditionalFormatting>
  <conditionalFormatting sqref="Q231">
    <cfRule type="expression" dxfId="8629" priority="13968">
      <formula>$E231&lt;&gt;"Yes"</formula>
    </cfRule>
  </conditionalFormatting>
  <conditionalFormatting sqref="Q232">
    <cfRule type="expression" dxfId="8628" priority="13965">
      <formula>$E$7&lt;&gt;"Yes"</formula>
    </cfRule>
  </conditionalFormatting>
  <conditionalFormatting sqref="Q232">
    <cfRule type="expression" dxfId="8627" priority="13964">
      <formula>$E232&lt;&gt;"Yes"</formula>
    </cfRule>
  </conditionalFormatting>
  <conditionalFormatting sqref="Q233">
    <cfRule type="expression" dxfId="8626" priority="13961">
      <formula>$E$7&lt;&gt;"Yes"</formula>
    </cfRule>
  </conditionalFormatting>
  <conditionalFormatting sqref="Q233">
    <cfRule type="expression" dxfId="8625" priority="13960">
      <formula>$E233&lt;&gt;"Yes"</formula>
    </cfRule>
  </conditionalFormatting>
  <conditionalFormatting sqref="Q263">
    <cfRule type="expression" dxfId="8624" priority="13945">
      <formula>$E$7&lt;&gt;"Yes"</formula>
    </cfRule>
  </conditionalFormatting>
  <conditionalFormatting sqref="Q263">
    <cfRule type="expression" dxfId="8623" priority="13944">
      <formula>$E263&lt;&gt;"Yes"</formula>
    </cfRule>
  </conditionalFormatting>
  <conditionalFormatting sqref="Q283">
    <cfRule type="expression" dxfId="8622" priority="13925">
      <formula>$E$7&lt;&gt;"Yes"</formula>
    </cfRule>
  </conditionalFormatting>
  <conditionalFormatting sqref="Q283">
    <cfRule type="expression" dxfId="8621" priority="13924">
      <formula>$E283&lt;&gt;"Yes"</formula>
    </cfRule>
  </conditionalFormatting>
  <conditionalFormatting sqref="Q282">
    <cfRule type="expression" dxfId="8620" priority="13923">
      <formula>$E$7&lt;&gt;"Yes"</formula>
    </cfRule>
  </conditionalFormatting>
  <conditionalFormatting sqref="Q282">
    <cfRule type="expression" dxfId="8619" priority="13922">
      <formula>$E282&lt;&gt;"Yes"</formula>
    </cfRule>
  </conditionalFormatting>
  <conditionalFormatting sqref="R7:V7">
    <cfRule type="expression" dxfId="8618" priority="13701">
      <formula>$E$7&lt;&gt;"Yes"</formula>
    </cfRule>
  </conditionalFormatting>
  <conditionalFormatting sqref="R7:V7">
    <cfRule type="expression" dxfId="8617" priority="13700">
      <formula>$E7&lt;&gt;"Yes"</formula>
    </cfRule>
  </conditionalFormatting>
  <conditionalFormatting sqref="W27:W33 W48 W121 W132:W146 W337:W339 W341:W345 W347:W351 W50 W44:W46 W52 W54:W56 W66:W68 W70 W76:W85 W102:W113 W357:W358 W378 W170:W171 W201:W204 W223 W305 W299:W300 W302:W303 W314:W315 W317:W318 W320:W321 W330 W327:W328 W324:W325 W241:W245 W267:W268 W271:W272 W288:W289 W291:W292 W294:W296 W64 W255 W285 W334:W335 W209:W210 W251 W262:W264 W100 W193:W198 W62 W90 W149:W150 W248 W35:W37 W212:W215 W40 W230:W237 W311 W279:W283">
    <cfRule type="expression" dxfId="8616" priority="13691">
      <formula>$E$7&lt;&gt;"Yes"</formula>
    </cfRule>
  </conditionalFormatting>
  <conditionalFormatting sqref="W27:W33 W48 W121 W132:W146 W337:W339 W341:W345 W347:W351 W50 W44:W46 W52 W54:W56 W66:W68 W70 W76:W85 W102:W113 W357:W358 W378 W170:W171 W201:W204 W223 W305 W299:W300 W302:W303 W314:W315 W317:W318 W320:W321 W330 W327:W328 W324:W325 W267:W268 W271:W272 W288:W289 W291:W292 W294:W296 W64 W255 W285 W334:W335 W209:W210 W251 W262:W264 W100 W193:W198 W62 W90 W149:W150 W35:W37 W212:W215 W40 W230:W237 W311 W279:W283">
    <cfRule type="expression" dxfId="8615" priority="13690">
      <formula>$E27&lt;&gt;"Yes"</formula>
    </cfRule>
  </conditionalFormatting>
  <conditionalFormatting sqref="S7">
    <cfRule type="expression" dxfId="8614" priority="13699">
      <formula>$E$7&lt;&gt;"Yes"</formula>
    </cfRule>
  </conditionalFormatting>
  <conditionalFormatting sqref="S7">
    <cfRule type="expression" dxfId="8613" priority="13698">
      <formula>$E7&lt;&gt;"Yes"</formula>
    </cfRule>
  </conditionalFormatting>
  <conditionalFormatting sqref="T7">
    <cfRule type="expression" dxfId="8612" priority="13697">
      <formula>$E$7&lt;&gt;"Yes"</formula>
    </cfRule>
  </conditionalFormatting>
  <conditionalFormatting sqref="T7">
    <cfRule type="expression" dxfId="8611" priority="13696">
      <formula>$E7&lt;&gt;"Yes"</formula>
    </cfRule>
  </conditionalFormatting>
  <conditionalFormatting sqref="U7">
    <cfRule type="expression" dxfId="8610" priority="13695">
      <formula>$E$7&lt;&gt;"Yes"</formula>
    </cfRule>
  </conditionalFormatting>
  <conditionalFormatting sqref="U7">
    <cfRule type="expression" dxfId="8609" priority="13694">
      <formula>$E7&lt;&gt;"Yes"</formula>
    </cfRule>
  </conditionalFormatting>
  <conditionalFormatting sqref="V7">
    <cfRule type="expression" dxfId="8608" priority="13693">
      <formula>$E$7&lt;&gt;"Yes"</formula>
    </cfRule>
  </conditionalFormatting>
  <conditionalFormatting sqref="V7">
    <cfRule type="expression" dxfId="8607" priority="13692">
      <formula>$E7&lt;&gt;"Yes"</formula>
    </cfRule>
  </conditionalFormatting>
  <conditionalFormatting sqref="R7:V7">
    <cfRule type="expression" dxfId="8606" priority="13679">
      <formula>$E$7&lt;&gt;"Yes"</formula>
    </cfRule>
  </conditionalFormatting>
  <conditionalFormatting sqref="R7:V7">
    <cfRule type="expression" dxfId="8605" priority="13678">
      <formula>$E7&lt;&gt;"Yes"</formula>
    </cfRule>
  </conditionalFormatting>
  <conditionalFormatting sqref="Q204 Q209">
    <cfRule type="expression" dxfId="8604" priority="13513">
      <formula>$E$7&lt;&gt;"Yes"</formula>
    </cfRule>
  </conditionalFormatting>
  <conditionalFormatting sqref="Q204 Q209">
    <cfRule type="expression" dxfId="8603" priority="13512">
      <formula>$E204&lt;&gt;"Yes"</formula>
    </cfRule>
  </conditionalFormatting>
  <conditionalFormatting sqref="Q223">
    <cfRule type="expression" dxfId="8602" priority="13511">
      <formula>$E$7&lt;&gt;"Yes"</formula>
    </cfRule>
  </conditionalFormatting>
  <conditionalFormatting sqref="Q223">
    <cfRule type="expression" dxfId="8601" priority="13510">
      <formula>$E223&lt;&gt;"Yes"</formula>
    </cfRule>
  </conditionalFormatting>
  <conditionalFormatting sqref="Q234">
    <cfRule type="expression" dxfId="8600" priority="13509">
      <formula>$E$7&lt;&gt;"Yes"</formula>
    </cfRule>
  </conditionalFormatting>
  <conditionalFormatting sqref="Q234">
    <cfRule type="expression" dxfId="8599" priority="13508">
      <formula>$E234&lt;&gt;"Yes"</formula>
    </cfRule>
  </conditionalFormatting>
  <conditionalFormatting sqref="Q237">
    <cfRule type="expression" dxfId="8598" priority="13507">
      <formula>$E$7&lt;&gt;"Yes"</formula>
    </cfRule>
  </conditionalFormatting>
  <conditionalFormatting sqref="Q237">
    <cfRule type="expression" dxfId="8597" priority="13506">
      <formula>$E237&lt;&gt;"Yes"</formula>
    </cfRule>
  </conditionalFormatting>
  <conditionalFormatting sqref="Q262">
    <cfRule type="expression" dxfId="8596" priority="13505">
      <formula>$E$7&lt;&gt;"Yes"</formula>
    </cfRule>
  </conditionalFormatting>
  <conditionalFormatting sqref="Q262">
    <cfRule type="expression" dxfId="8595" priority="13504">
      <formula>$E262&lt;&gt;"Yes"</formula>
    </cfRule>
  </conditionalFormatting>
  <conditionalFormatting sqref="Q264">
    <cfRule type="expression" dxfId="8594" priority="13503">
      <formula>$E$7&lt;&gt;"Yes"</formula>
    </cfRule>
  </conditionalFormatting>
  <conditionalFormatting sqref="Q264">
    <cfRule type="expression" dxfId="8593" priority="13502">
      <formula>$E264&lt;&gt;"Yes"</formula>
    </cfRule>
  </conditionalFormatting>
  <conditionalFormatting sqref="Q279">
    <cfRule type="expression" dxfId="8592" priority="13501">
      <formula>$E$7&lt;&gt;"Yes"</formula>
    </cfRule>
  </conditionalFormatting>
  <conditionalFormatting sqref="Q279">
    <cfRule type="expression" dxfId="8591" priority="13500">
      <formula>$E279&lt;&gt;"Yes"</formula>
    </cfRule>
  </conditionalFormatting>
  <conditionalFormatting sqref="Q280">
    <cfRule type="expression" dxfId="8590" priority="13499">
      <formula>$E$7&lt;&gt;"Yes"</formula>
    </cfRule>
  </conditionalFormatting>
  <conditionalFormatting sqref="Q280">
    <cfRule type="expression" dxfId="8589" priority="13498">
      <formula>$E280&lt;&gt;"Yes"</formula>
    </cfRule>
  </conditionalFormatting>
  <conditionalFormatting sqref="Q281">
    <cfRule type="expression" dxfId="8588" priority="13497">
      <formula>$E$7&lt;&gt;"Yes"</formula>
    </cfRule>
  </conditionalFormatting>
  <conditionalFormatting sqref="Q281">
    <cfRule type="expression" dxfId="8587" priority="13496">
      <formula>$E281&lt;&gt;"Yes"</formula>
    </cfRule>
  </conditionalFormatting>
  <conditionalFormatting sqref="Q285">
    <cfRule type="expression" dxfId="8586" priority="13495">
      <formula>$E$7&lt;&gt;"Yes"</formula>
    </cfRule>
  </conditionalFormatting>
  <conditionalFormatting sqref="Q285">
    <cfRule type="expression" dxfId="8585" priority="13494">
      <formula>$E285&lt;&gt;"Yes"</formula>
    </cfRule>
  </conditionalFormatting>
  <conditionalFormatting sqref="Q288">
    <cfRule type="expression" dxfId="8584" priority="13493">
      <formula>$E$7&lt;&gt;"Yes"</formula>
    </cfRule>
  </conditionalFormatting>
  <conditionalFormatting sqref="Q288">
    <cfRule type="expression" dxfId="8583" priority="13492">
      <formula>$E288&lt;&gt;"Yes"</formula>
    </cfRule>
  </conditionalFormatting>
  <conditionalFormatting sqref="Q289">
    <cfRule type="expression" dxfId="8582" priority="13491">
      <formula>$E$7&lt;&gt;"Yes"</formula>
    </cfRule>
  </conditionalFormatting>
  <conditionalFormatting sqref="Q289">
    <cfRule type="expression" dxfId="8581" priority="13490">
      <formula>$E289&lt;&gt;"Yes"</formula>
    </cfRule>
  </conditionalFormatting>
  <conditionalFormatting sqref="Q291">
    <cfRule type="expression" dxfId="8580" priority="13489">
      <formula>$E$7&lt;&gt;"Yes"</formula>
    </cfRule>
  </conditionalFormatting>
  <conditionalFormatting sqref="Q291">
    <cfRule type="expression" dxfId="8579" priority="13488">
      <formula>$E291&lt;&gt;"Yes"</formula>
    </cfRule>
  </conditionalFormatting>
  <conditionalFormatting sqref="Q292">
    <cfRule type="expression" dxfId="8578" priority="13487">
      <formula>$E$7&lt;&gt;"Yes"</formula>
    </cfRule>
  </conditionalFormatting>
  <conditionalFormatting sqref="Q292">
    <cfRule type="expression" dxfId="8577" priority="13486">
      <formula>$E292&lt;&gt;"Yes"</formula>
    </cfRule>
  </conditionalFormatting>
  <conditionalFormatting sqref="Q294">
    <cfRule type="expression" dxfId="8576" priority="13485">
      <formula>$E$7&lt;&gt;"Yes"</formula>
    </cfRule>
  </conditionalFormatting>
  <conditionalFormatting sqref="Q294">
    <cfRule type="expression" dxfId="8575" priority="13484">
      <formula>$E294&lt;&gt;"Yes"</formula>
    </cfRule>
  </conditionalFormatting>
  <conditionalFormatting sqref="Q296">
    <cfRule type="expression" dxfId="8574" priority="13483">
      <formula>$E$7&lt;&gt;"Yes"</formula>
    </cfRule>
  </conditionalFormatting>
  <conditionalFormatting sqref="Q296">
    <cfRule type="expression" dxfId="8573" priority="13482">
      <formula>$E296&lt;&gt;"Yes"</formula>
    </cfRule>
  </conditionalFormatting>
  <conditionalFormatting sqref="Q299">
    <cfRule type="expression" dxfId="8572" priority="13481">
      <formula>$E$7&lt;&gt;"Yes"</formula>
    </cfRule>
  </conditionalFormatting>
  <conditionalFormatting sqref="Q299">
    <cfRule type="expression" dxfId="8571" priority="13480">
      <formula>$E299&lt;&gt;"Yes"</formula>
    </cfRule>
  </conditionalFormatting>
  <conditionalFormatting sqref="Q300">
    <cfRule type="expression" dxfId="8570" priority="13479">
      <formula>$E$7&lt;&gt;"Yes"</formula>
    </cfRule>
  </conditionalFormatting>
  <conditionalFormatting sqref="Q300">
    <cfRule type="expression" dxfId="8569" priority="13478">
      <formula>$E300&lt;&gt;"Yes"</formula>
    </cfRule>
  </conditionalFormatting>
  <conditionalFormatting sqref="Q302">
    <cfRule type="expression" dxfId="8568" priority="13477">
      <formula>$E$7&lt;&gt;"Yes"</formula>
    </cfRule>
  </conditionalFormatting>
  <conditionalFormatting sqref="Q302">
    <cfRule type="expression" dxfId="8567" priority="13476">
      <formula>$E302&lt;&gt;"Yes"</formula>
    </cfRule>
  </conditionalFormatting>
  <conditionalFormatting sqref="Q303">
    <cfRule type="expression" dxfId="8566" priority="13475">
      <formula>$E$7&lt;&gt;"Yes"</formula>
    </cfRule>
  </conditionalFormatting>
  <conditionalFormatting sqref="Q303">
    <cfRule type="expression" dxfId="8565" priority="13474">
      <formula>$E303&lt;&gt;"Yes"</formula>
    </cfRule>
  </conditionalFormatting>
  <conditionalFormatting sqref="Q305">
    <cfRule type="expression" dxfId="8564" priority="13473">
      <formula>$E$7&lt;&gt;"Yes"</formula>
    </cfRule>
  </conditionalFormatting>
  <conditionalFormatting sqref="Q305">
    <cfRule type="expression" dxfId="8563" priority="13472">
      <formula>$E305&lt;&gt;"Yes"</formula>
    </cfRule>
  </conditionalFormatting>
  <conditionalFormatting sqref="Q311">
    <cfRule type="expression" dxfId="8562" priority="13471">
      <formula>$E$7&lt;&gt;"Yes"</formula>
    </cfRule>
  </conditionalFormatting>
  <conditionalFormatting sqref="Q311">
    <cfRule type="expression" dxfId="8561" priority="13470">
      <formula>$E311&lt;&gt;"Yes"</formula>
    </cfRule>
  </conditionalFormatting>
  <conditionalFormatting sqref="Q314">
    <cfRule type="expression" dxfId="8560" priority="13469">
      <formula>$E$7&lt;&gt;"Yes"</formula>
    </cfRule>
  </conditionalFormatting>
  <conditionalFormatting sqref="Q314">
    <cfRule type="expression" dxfId="8559" priority="13468">
      <formula>$E314&lt;&gt;"Yes"</formula>
    </cfRule>
  </conditionalFormatting>
  <conditionalFormatting sqref="Q315">
    <cfRule type="expression" dxfId="8558" priority="13467">
      <formula>$E$7&lt;&gt;"Yes"</formula>
    </cfRule>
  </conditionalFormatting>
  <conditionalFormatting sqref="Q315">
    <cfRule type="expression" dxfId="8557" priority="13466">
      <formula>$E315&lt;&gt;"Yes"</formula>
    </cfRule>
  </conditionalFormatting>
  <conditionalFormatting sqref="Q317">
    <cfRule type="expression" dxfId="8556" priority="13465">
      <formula>$E$7&lt;&gt;"Yes"</formula>
    </cfRule>
  </conditionalFormatting>
  <conditionalFormatting sqref="Q317">
    <cfRule type="expression" dxfId="8555" priority="13464">
      <formula>$E317&lt;&gt;"Yes"</formula>
    </cfRule>
  </conditionalFormatting>
  <conditionalFormatting sqref="Q318">
    <cfRule type="expression" dxfId="8554" priority="13463">
      <formula>$E$7&lt;&gt;"Yes"</formula>
    </cfRule>
  </conditionalFormatting>
  <conditionalFormatting sqref="Q318">
    <cfRule type="expression" dxfId="8553" priority="13462">
      <formula>$E318&lt;&gt;"Yes"</formula>
    </cfRule>
  </conditionalFormatting>
  <conditionalFormatting sqref="Q320">
    <cfRule type="expression" dxfId="8552" priority="13461">
      <formula>$E$7&lt;&gt;"Yes"</formula>
    </cfRule>
  </conditionalFormatting>
  <conditionalFormatting sqref="Q320">
    <cfRule type="expression" dxfId="8551" priority="13460">
      <formula>$E320&lt;&gt;"Yes"</formula>
    </cfRule>
  </conditionalFormatting>
  <conditionalFormatting sqref="Q321 Q330 Q327:Q328 Q324:Q325">
    <cfRule type="expression" dxfId="8550" priority="13459">
      <formula>$E$7&lt;&gt;"Yes"</formula>
    </cfRule>
  </conditionalFormatting>
  <conditionalFormatting sqref="Q321 Q330 Q327:Q328 Q324:Q325">
    <cfRule type="expression" dxfId="8549" priority="13458">
      <formula>$E321&lt;&gt;"Yes"</formula>
    </cfRule>
  </conditionalFormatting>
  <conditionalFormatting sqref="Q334:Q335 Q337:Q338">
    <cfRule type="expression" dxfId="8548" priority="13457">
      <formula>$E$7&lt;&gt;"Yes"</formula>
    </cfRule>
  </conditionalFormatting>
  <conditionalFormatting sqref="Q334:Q335 Q337:Q338">
    <cfRule type="expression" dxfId="8547" priority="13456">
      <formula>$E334&lt;&gt;"Yes"</formula>
    </cfRule>
  </conditionalFormatting>
  <conditionalFormatting sqref="Q339 Q341:Q345">
    <cfRule type="expression" dxfId="8546" priority="13455">
      <formula>$E$7&lt;&gt;"Yes"</formula>
    </cfRule>
  </conditionalFormatting>
  <conditionalFormatting sqref="Q339 Q341:Q345">
    <cfRule type="expression" dxfId="8545" priority="13454">
      <formula>$E339&lt;&gt;"Yes"</formula>
    </cfRule>
  </conditionalFormatting>
  <conditionalFormatting sqref="Q347:Q351">
    <cfRule type="expression" dxfId="8544" priority="13453">
      <formula>$E$7&lt;&gt;"Yes"</formula>
    </cfRule>
  </conditionalFormatting>
  <conditionalFormatting sqref="Q347:Q351">
    <cfRule type="expression" dxfId="8543" priority="13452">
      <formula>$E347&lt;&gt;"Yes"</formula>
    </cfRule>
  </conditionalFormatting>
  <conditionalFormatting sqref="AE7">
    <cfRule type="expression" dxfId="8542" priority="13183">
      <formula>$E$7&lt;&gt;"Yes"</formula>
    </cfRule>
  </conditionalFormatting>
  <conditionalFormatting sqref="AE7">
    <cfRule type="expression" dxfId="8541" priority="13182">
      <formula>$E7&lt;&gt;"Yes"</formula>
    </cfRule>
  </conditionalFormatting>
  <conditionalFormatting sqref="AE77 AE32:AE33 AE44 AE46 AE80:AE85 AE121 AE132:AE146 AE337:AE339 AE341:AE345 AE347:AE351 AE55:AE56 AE102:AE113 AE170:AE171 AE201:AE204 AE305 AE299:AE300 AE302:AE303 AE314:AE315 AE317:AE318 AE320:AE321 AE330 AE327:AE328 AE324:AE325 AE241:AE245 AE267:AE268 AE271:AE272 AE288:AE289 AE291:AE292 AE294:AE296 AE285 AE223 AE255 AE334:AE335 AE209:AE210 AE251 AE262:AE264 AE100 AE193:AE198 AE90 AE149:AE150 AE248 AE35:AE37 AE212:AE215 AE230:AE237 AE311 AE279">
    <cfRule type="expression" dxfId="8540" priority="12997">
      <formula>$E$7&lt;&gt;"Yes"</formula>
    </cfRule>
  </conditionalFormatting>
  <conditionalFormatting sqref="AE77 AE32:AE33 AE44 AE46 AE80:AE85 AE121 AE132:AE146 AE337:AE339 AE341:AE345 AE347:AE351 AE55:AE56 AE102:AE113 AE170:AE171 AE201:AE204 AE305 AE299:AE300 AE302:AE303 AE314:AE315 AE317:AE318 AE320:AE321 AE330 AE327:AE328 AE324:AE325 AE267:AE268 AE271:AE272 AE288:AE289 AE291:AE292 AE294:AE296 AE285 AE223 AE255 AE334:AE335 AE209:AE210 AE251 AE262:AE264 AE100 AE193:AE198 AE90 AE149:AE150 AE35:AE37 AE212:AE215 AE230:AE237 AE311 AE279">
    <cfRule type="expression" dxfId="8539" priority="12996">
      <formula>$E32&lt;&gt;"Yes"</formula>
    </cfRule>
  </conditionalFormatting>
  <conditionalFormatting sqref="AE40">
    <cfRule type="expression" dxfId="8538" priority="12991">
      <formula>$E$7&lt;&gt;"Yes"</formula>
    </cfRule>
  </conditionalFormatting>
  <conditionalFormatting sqref="AE40">
    <cfRule type="expression" dxfId="8537" priority="12990">
      <formula>$E40&lt;&gt;"Yes"</formula>
    </cfRule>
  </conditionalFormatting>
  <conditionalFormatting sqref="AE62 AE66:AE68 AE70 AE76 AE64">
    <cfRule type="expression" dxfId="8536" priority="12987">
      <formula>$E$7&lt;&gt;"Yes"</formula>
    </cfRule>
  </conditionalFormatting>
  <conditionalFormatting sqref="AE62 AE66:AE68 AE70 AE76 AE64">
    <cfRule type="expression" dxfId="8535" priority="12986">
      <formula>$E62&lt;&gt;"Yes"</formula>
    </cfRule>
  </conditionalFormatting>
  <conditionalFormatting sqref="AE27:AE31">
    <cfRule type="expression" dxfId="8534" priority="12983">
      <formula>$E$7&lt;&gt;"Yes"</formula>
    </cfRule>
  </conditionalFormatting>
  <conditionalFormatting sqref="AE27:AE31">
    <cfRule type="expression" dxfId="8533" priority="12982">
      <formula>$E27&lt;&gt;"Yes"</formula>
    </cfRule>
  </conditionalFormatting>
  <conditionalFormatting sqref="AE45">
    <cfRule type="expression" dxfId="8532" priority="12981">
      <formula>$E$7&lt;&gt;"Yes"</formula>
    </cfRule>
  </conditionalFormatting>
  <conditionalFormatting sqref="AE45">
    <cfRule type="expression" dxfId="8531" priority="12980">
      <formula>$E45&lt;&gt;"Yes"</formula>
    </cfRule>
  </conditionalFormatting>
  <conditionalFormatting sqref="AE78:AE79">
    <cfRule type="expression" dxfId="8530" priority="12979">
      <formula>$E$7&lt;&gt;"Yes"</formula>
    </cfRule>
  </conditionalFormatting>
  <conditionalFormatting sqref="AE78:AE79">
    <cfRule type="expression" dxfId="8529" priority="12978">
      <formula>$E78&lt;&gt;"Yes"</formula>
    </cfRule>
  </conditionalFormatting>
  <conditionalFormatting sqref="F47:J47 M47 Q47">
    <cfRule type="expression" dxfId="8528" priority="12781">
      <formula>$E$7&lt;&gt;"Yes"</formula>
    </cfRule>
  </conditionalFormatting>
  <conditionalFormatting sqref="F47:J47 M47 Q47">
    <cfRule type="expression" dxfId="8527" priority="12780">
      <formula>$E47&lt;&gt;"Yes"</formula>
    </cfRule>
  </conditionalFormatting>
  <conditionalFormatting sqref="G47">
    <cfRule type="expression" dxfId="8526" priority="12779">
      <formula>$E$7&lt;&gt;"Yes"</formula>
    </cfRule>
  </conditionalFormatting>
  <conditionalFormatting sqref="K47:L47">
    <cfRule type="expression" dxfId="8525" priority="12778">
      <formula>$E$7&lt;&gt;"Yes"</formula>
    </cfRule>
  </conditionalFormatting>
  <conditionalFormatting sqref="K47:L47">
    <cfRule type="expression" dxfId="8524" priority="12777">
      <formula>$E47&lt;&gt;"Yes"</formula>
    </cfRule>
  </conditionalFormatting>
  <conditionalFormatting sqref="W47">
    <cfRule type="expression" dxfId="8523" priority="12772">
      <formula>$E$7&lt;&gt;"Yes"</formula>
    </cfRule>
  </conditionalFormatting>
  <conditionalFormatting sqref="W47">
    <cfRule type="expression" dxfId="8522" priority="12771">
      <formula>$E47&lt;&gt;"Yes"</formula>
    </cfRule>
  </conditionalFormatting>
  <conditionalFormatting sqref="G119">
    <cfRule type="expression" dxfId="8521" priority="12748">
      <formula>$E$7&lt;&gt;"Yes"</formula>
    </cfRule>
  </conditionalFormatting>
  <conditionalFormatting sqref="AE47">
    <cfRule type="expression" dxfId="8520" priority="12754">
      <formula>$E$7&lt;&gt;"Yes"</formula>
    </cfRule>
  </conditionalFormatting>
  <conditionalFormatting sqref="AE47">
    <cfRule type="expression" dxfId="8519" priority="12753">
      <formula>$E47&lt;&gt;"Yes"</formula>
    </cfRule>
  </conditionalFormatting>
  <conditionalFormatting sqref="M119 F119:J119 Q119">
    <cfRule type="expression" dxfId="8518" priority="12750">
      <formula>$E$7&lt;&gt;"Yes"</formula>
    </cfRule>
  </conditionalFormatting>
  <conditionalFormatting sqref="M119 F119:J119 Q119">
    <cfRule type="expression" dxfId="8517" priority="12749">
      <formula>$E119&lt;&gt;"Yes"</formula>
    </cfRule>
  </conditionalFormatting>
  <conditionalFormatting sqref="K119:L119">
    <cfRule type="expression" dxfId="8516" priority="12747">
      <formula>$E$7&lt;&gt;"Yes"</formula>
    </cfRule>
  </conditionalFormatting>
  <conditionalFormatting sqref="K119:L119">
    <cfRule type="expression" dxfId="8515" priority="12746">
      <formula>$E119&lt;&gt;"Yes"</formula>
    </cfRule>
  </conditionalFormatting>
  <conditionalFormatting sqref="G123">
    <cfRule type="expression" dxfId="8514" priority="12719">
      <formula>$E$7&lt;&gt;"Yes"</formula>
    </cfRule>
  </conditionalFormatting>
  <conditionalFormatting sqref="W119">
    <cfRule type="expression" dxfId="8513" priority="12743">
      <formula>$E$7&lt;&gt;"Yes"</formula>
    </cfRule>
  </conditionalFormatting>
  <conditionalFormatting sqref="W119">
    <cfRule type="expression" dxfId="8512" priority="12742">
      <formula>$E119&lt;&gt;"Yes"</formula>
    </cfRule>
  </conditionalFormatting>
  <conditionalFormatting sqref="AE119">
    <cfRule type="expression" dxfId="8511" priority="12725">
      <formula>$E$7&lt;&gt;"Yes"</formula>
    </cfRule>
  </conditionalFormatting>
  <conditionalFormatting sqref="AE119">
    <cfRule type="expression" dxfId="8510" priority="12724">
      <formula>$E119&lt;&gt;"Yes"</formula>
    </cfRule>
  </conditionalFormatting>
  <conditionalFormatting sqref="F123:J123 M123 Q123">
    <cfRule type="expression" dxfId="8509" priority="12721">
      <formula>$E$7&lt;&gt;"Yes"</formula>
    </cfRule>
  </conditionalFormatting>
  <conditionalFormatting sqref="F123:J123 M123 Q123">
    <cfRule type="expression" dxfId="8508" priority="12720">
      <formula>$E123&lt;&gt;"Yes"</formula>
    </cfRule>
  </conditionalFormatting>
  <conditionalFormatting sqref="K123:L123">
    <cfRule type="expression" dxfId="8507" priority="12718">
      <formula>$E$7&lt;&gt;"Yes"</formula>
    </cfRule>
  </conditionalFormatting>
  <conditionalFormatting sqref="K123:L123">
    <cfRule type="expression" dxfId="8506" priority="12717">
      <formula>$E123&lt;&gt;"Yes"</formula>
    </cfRule>
  </conditionalFormatting>
  <conditionalFormatting sqref="G126">
    <cfRule type="expression" dxfId="8505" priority="12690">
      <formula>$E$7&lt;&gt;"Yes"</formula>
    </cfRule>
  </conditionalFormatting>
  <conditionalFormatting sqref="W123">
    <cfRule type="expression" dxfId="8504" priority="12714">
      <formula>$E$7&lt;&gt;"Yes"</formula>
    </cfRule>
  </conditionalFormatting>
  <conditionalFormatting sqref="W123">
    <cfRule type="expression" dxfId="8503" priority="12713">
      <formula>$E123&lt;&gt;"Yes"</formula>
    </cfRule>
  </conditionalFormatting>
  <conditionalFormatting sqref="AE123">
    <cfRule type="expression" dxfId="8502" priority="12696">
      <formula>$E$7&lt;&gt;"Yes"</formula>
    </cfRule>
  </conditionalFormatting>
  <conditionalFormatting sqref="AE123">
    <cfRule type="expression" dxfId="8501" priority="12695">
      <formula>$E123&lt;&gt;"Yes"</formula>
    </cfRule>
  </conditionalFormatting>
  <conditionalFormatting sqref="F126:J126 M126 Q126">
    <cfRule type="expression" dxfId="8500" priority="12692">
      <formula>$E$7&lt;&gt;"Yes"</formula>
    </cfRule>
  </conditionalFormatting>
  <conditionalFormatting sqref="F126:J126 M126 Q126">
    <cfRule type="expression" dxfId="8499" priority="12691">
      <formula>$E126&lt;&gt;"Yes"</formula>
    </cfRule>
  </conditionalFormatting>
  <conditionalFormatting sqref="K126:L126">
    <cfRule type="expression" dxfId="8498" priority="12689">
      <formula>$E$7&lt;&gt;"Yes"</formula>
    </cfRule>
  </conditionalFormatting>
  <conditionalFormatting sqref="K126:L126">
    <cfRule type="expression" dxfId="8497" priority="12688">
      <formula>$E126&lt;&gt;"Yes"</formula>
    </cfRule>
  </conditionalFormatting>
  <conditionalFormatting sqref="G127">
    <cfRule type="expression" dxfId="8496" priority="12661">
      <formula>$E$7&lt;&gt;"Yes"</formula>
    </cfRule>
  </conditionalFormatting>
  <conditionalFormatting sqref="W126">
    <cfRule type="expression" dxfId="8495" priority="12685">
      <formula>$E$7&lt;&gt;"Yes"</formula>
    </cfRule>
  </conditionalFormatting>
  <conditionalFormatting sqref="W126">
    <cfRule type="expression" dxfId="8494" priority="12684">
      <formula>$E126&lt;&gt;"Yes"</formula>
    </cfRule>
  </conditionalFormatting>
  <conditionalFormatting sqref="AE126">
    <cfRule type="expression" dxfId="8493" priority="12667">
      <formula>$E$7&lt;&gt;"Yes"</formula>
    </cfRule>
  </conditionalFormatting>
  <conditionalFormatting sqref="AE126">
    <cfRule type="expression" dxfId="8492" priority="12666">
      <formula>$E126&lt;&gt;"Yes"</formula>
    </cfRule>
  </conditionalFormatting>
  <conditionalFormatting sqref="F127:J127 M127 Q127">
    <cfRule type="expression" dxfId="8491" priority="12663">
      <formula>$E$7&lt;&gt;"Yes"</formula>
    </cfRule>
  </conditionalFormatting>
  <conditionalFormatting sqref="F127:J127 M127 Q127">
    <cfRule type="expression" dxfId="8490" priority="12662">
      <formula>$E127&lt;&gt;"Yes"</formula>
    </cfRule>
  </conditionalFormatting>
  <conditionalFormatting sqref="K127:L127">
    <cfRule type="expression" dxfId="8489" priority="12660">
      <formula>$E$7&lt;&gt;"Yes"</formula>
    </cfRule>
  </conditionalFormatting>
  <conditionalFormatting sqref="K127:L127">
    <cfRule type="expression" dxfId="8488" priority="12659">
      <formula>$E127&lt;&gt;"Yes"</formula>
    </cfRule>
  </conditionalFormatting>
  <conditionalFormatting sqref="G128">
    <cfRule type="expression" dxfId="8487" priority="12632">
      <formula>$E$7&lt;&gt;"Yes"</formula>
    </cfRule>
  </conditionalFormatting>
  <conditionalFormatting sqref="W127">
    <cfRule type="expression" dxfId="8486" priority="12656">
      <formula>$E$7&lt;&gt;"Yes"</formula>
    </cfRule>
  </conditionalFormatting>
  <conditionalFormatting sqref="W127">
    <cfRule type="expression" dxfId="8485" priority="12655">
      <formula>$E127&lt;&gt;"Yes"</formula>
    </cfRule>
  </conditionalFormatting>
  <conditionalFormatting sqref="AE127">
    <cfRule type="expression" dxfId="8484" priority="12638">
      <formula>$E$7&lt;&gt;"Yes"</formula>
    </cfRule>
  </conditionalFormatting>
  <conditionalFormatting sqref="AE127">
    <cfRule type="expression" dxfId="8483" priority="12637">
      <formula>$E127&lt;&gt;"Yes"</formula>
    </cfRule>
  </conditionalFormatting>
  <conditionalFormatting sqref="F128:J128 M128 Q128">
    <cfRule type="expression" dxfId="8482" priority="12634">
      <formula>$E$7&lt;&gt;"Yes"</formula>
    </cfRule>
  </conditionalFormatting>
  <conditionalFormatting sqref="F128:J128 M128 Q128">
    <cfRule type="expression" dxfId="8481" priority="12633">
      <formula>$E128&lt;&gt;"Yes"</formula>
    </cfRule>
  </conditionalFormatting>
  <conditionalFormatting sqref="K128:L128">
    <cfRule type="expression" dxfId="8480" priority="12631">
      <formula>$E$7&lt;&gt;"Yes"</formula>
    </cfRule>
  </conditionalFormatting>
  <conditionalFormatting sqref="K128:L128">
    <cfRule type="expression" dxfId="8479" priority="12630">
      <formula>$E128&lt;&gt;"Yes"</formula>
    </cfRule>
  </conditionalFormatting>
  <conditionalFormatting sqref="G129">
    <cfRule type="expression" dxfId="8478" priority="12603">
      <formula>$E$7&lt;&gt;"Yes"</formula>
    </cfRule>
  </conditionalFormatting>
  <conditionalFormatting sqref="W128">
    <cfRule type="expression" dxfId="8477" priority="12627">
      <formula>$E$7&lt;&gt;"Yes"</formula>
    </cfRule>
  </conditionalFormatting>
  <conditionalFormatting sqref="W128">
    <cfRule type="expression" dxfId="8476" priority="12626">
      <formula>$E128&lt;&gt;"Yes"</formula>
    </cfRule>
  </conditionalFormatting>
  <conditionalFormatting sqref="AE128">
    <cfRule type="expression" dxfId="8475" priority="12609">
      <formula>$E$7&lt;&gt;"Yes"</formula>
    </cfRule>
  </conditionalFormatting>
  <conditionalFormatting sqref="AE128">
    <cfRule type="expression" dxfId="8474" priority="12608">
      <formula>$E128&lt;&gt;"Yes"</formula>
    </cfRule>
  </conditionalFormatting>
  <conditionalFormatting sqref="F129:J129 M129 Q129">
    <cfRule type="expression" dxfId="8473" priority="12605">
      <formula>$E$7&lt;&gt;"Yes"</formula>
    </cfRule>
  </conditionalFormatting>
  <conditionalFormatting sqref="F129:J129 M129 Q129">
    <cfRule type="expression" dxfId="8472" priority="12604">
      <formula>$E129&lt;&gt;"Yes"</formula>
    </cfRule>
  </conditionalFormatting>
  <conditionalFormatting sqref="K129:L129">
    <cfRule type="expression" dxfId="8471" priority="12602">
      <formula>$E$7&lt;&gt;"Yes"</formula>
    </cfRule>
  </conditionalFormatting>
  <conditionalFormatting sqref="K129:L129">
    <cfRule type="expression" dxfId="8470" priority="12601">
      <formula>$E129&lt;&gt;"Yes"</formula>
    </cfRule>
  </conditionalFormatting>
  <conditionalFormatting sqref="G336">
    <cfRule type="expression" dxfId="8469" priority="12574">
      <formula>$E$7&lt;&gt;"Yes"</formula>
    </cfRule>
  </conditionalFormatting>
  <conditionalFormatting sqref="W129">
    <cfRule type="expression" dxfId="8468" priority="12598">
      <formula>$E$7&lt;&gt;"Yes"</formula>
    </cfRule>
  </conditionalFormatting>
  <conditionalFormatting sqref="W129">
    <cfRule type="expression" dxfId="8467" priority="12597">
      <formula>$E129&lt;&gt;"Yes"</formula>
    </cfRule>
  </conditionalFormatting>
  <conditionalFormatting sqref="AE129">
    <cfRule type="expression" dxfId="8466" priority="12580">
      <formula>$E$7&lt;&gt;"Yes"</formula>
    </cfRule>
  </conditionalFormatting>
  <conditionalFormatting sqref="AE129">
    <cfRule type="expression" dxfId="8465" priority="12579">
      <formula>$E129&lt;&gt;"Yes"</formula>
    </cfRule>
  </conditionalFormatting>
  <conditionalFormatting sqref="F336:J336 M336">
    <cfRule type="expression" dxfId="8464" priority="12576">
      <formula>$E$7&lt;&gt;"Yes"</formula>
    </cfRule>
  </conditionalFormatting>
  <conditionalFormatting sqref="F336:J336 M336">
    <cfRule type="expression" dxfId="8463" priority="12575">
      <formula>$E336&lt;&gt;"Yes"</formula>
    </cfRule>
  </conditionalFormatting>
  <conditionalFormatting sqref="K336:L336">
    <cfRule type="expression" dxfId="8462" priority="12573">
      <formula>$E$7&lt;&gt;"Yes"</formula>
    </cfRule>
  </conditionalFormatting>
  <conditionalFormatting sqref="K336:L336">
    <cfRule type="expression" dxfId="8461" priority="12572">
      <formula>$E336&lt;&gt;"Yes"</formula>
    </cfRule>
  </conditionalFormatting>
  <conditionalFormatting sqref="W336">
    <cfRule type="expression" dxfId="8460" priority="12567">
      <formula>$E$7&lt;&gt;"Yes"</formula>
    </cfRule>
  </conditionalFormatting>
  <conditionalFormatting sqref="W336">
    <cfRule type="expression" dxfId="8459" priority="12566">
      <formula>$E336&lt;&gt;"Yes"</formula>
    </cfRule>
  </conditionalFormatting>
  <conditionalFormatting sqref="Q336">
    <cfRule type="expression" dxfId="8458" priority="12553">
      <formula>$E$7&lt;&gt;"Yes"</formula>
    </cfRule>
  </conditionalFormatting>
  <conditionalFormatting sqref="Q336">
    <cfRule type="expression" dxfId="8457" priority="12552">
      <formula>$E336&lt;&gt;"Yes"</formula>
    </cfRule>
  </conditionalFormatting>
  <conditionalFormatting sqref="AE336">
    <cfRule type="expression" dxfId="8456" priority="12547">
      <formula>$E$7&lt;&gt;"Yes"</formula>
    </cfRule>
  </conditionalFormatting>
  <conditionalFormatting sqref="AE336">
    <cfRule type="expression" dxfId="8455" priority="12546">
      <formula>$E336&lt;&gt;"Yes"</formula>
    </cfRule>
  </conditionalFormatting>
  <conditionalFormatting sqref="M340 F340:J340">
    <cfRule type="expression" dxfId="8454" priority="12543">
      <formula>$E$7&lt;&gt;"Yes"</formula>
    </cfRule>
  </conditionalFormatting>
  <conditionalFormatting sqref="M340 F340:J340">
    <cfRule type="expression" dxfId="8453" priority="12542">
      <formula>$E340&lt;&gt;"Yes"</formula>
    </cfRule>
  </conditionalFormatting>
  <conditionalFormatting sqref="G340">
    <cfRule type="expression" dxfId="8452" priority="12541">
      <formula>$E$7&lt;&gt;"Yes"</formula>
    </cfRule>
  </conditionalFormatting>
  <conditionalFormatting sqref="K340:L340">
    <cfRule type="expression" dxfId="8451" priority="12540">
      <formula>$E$7&lt;&gt;"Yes"</formula>
    </cfRule>
  </conditionalFormatting>
  <conditionalFormatting sqref="K340:L340">
    <cfRule type="expression" dxfId="8450" priority="12539">
      <formula>$E340&lt;&gt;"Yes"</formula>
    </cfRule>
  </conditionalFormatting>
  <conditionalFormatting sqref="W340">
    <cfRule type="expression" dxfId="8449" priority="12534">
      <formula>$E$7&lt;&gt;"Yes"</formula>
    </cfRule>
  </conditionalFormatting>
  <conditionalFormatting sqref="W340">
    <cfRule type="expression" dxfId="8448" priority="12533">
      <formula>$E340&lt;&gt;"Yes"</formula>
    </cfRule>
  </conditionalFormatting>
  <conditionalFormatting sqref="Q340">
    <cfRule type="expression" dxfId="8447" priority="12520">
      <formula>$E$7&lt;&gt;"Yes"</formula>
    </cfRule>
  </conditionalFormatting>
  <conditionalFormatting sqref="Q340">
    <cfRule type="expression" dxfId="8446" priority="12519">
      <formula>$E340&lt;&gt;"Yes"</formula>
    </cfRule>
  </conditionalFormatting>
  <conditionalFormatting sqref="AE340">
    <cfRule type="expression" dxfId="8445" priority="12514">
      <formula>$E$7&lt;&gt;"Yes"</formula>
    </cfRule>
  </conditionalFormatting>
  <conditionalFormatting sqref="AE340">
    <cfRule type="expression" dxfId="8444" priority="12513">
      <formula>$E340&lt;&gt;"Yes"</formula>
    </cfRule>
  </conditionalFormatting>
  <conditionalFormatting sqref="F346:J346 M346">
    <cfRule type="expression" dxfId="8443" priority="12510">
      <formula>$E$7&lt;&gt;"Yes"</formula>
    </cfRule>
  </conditionalFormatting>
  <conditionalFormatting sqref="F346:J346 M346">
    <cfRule type="expression" dxfId="8442" priority="12509">
      <formula>$E346&lt;&gt;"Yes"</formula>
    </cfRule>
  </conditionalFormatting>
  <conditionalFormatting sqref="G346">
    <cfRule type="expression" dxfId="8441" priority="12508">
      <formula>$E$7&lt;&gt;"Yes"</formula>
    </cfRule>
  </conditionalFormatting>
  <conditionalFormatting sqref="K346:L346">
    <cfRule type="expression" dxfId="8440" priority="12507">
      <formula>$E$7&lt;&gt;"Yes"</formula>
    </cfRule>
  </conditionalFormatting>
  <conditionalFormatting sqref="K346:L346">
    <cfRule type="expression" dxfId="8439" priority="12506">
      <formula>$E346&lt;&gt;"Yes"</formula>
    </cfRule>
  </conditionalFormatting>
  <conditionalFormatting sqref="W346">
    <cfRule type="expression" dxfId="8438" priority="12501">
      <formula>$E$7&lt;&gt;"Yes"</formula>
    </cfRule>
  </conditionalFormatting>
  <conditionalFormatting sqref="W346">
    <cfRule type="expression" dxfId="8437" priority="12500">
      <formula>$E346&lt;&gt;"Yes"</formula>
    </cfRule>
  </conditionalFormatting>
  <conditionalFormatting sqref="Q346">
    <cfRule type="expression" dxfId="8436" priority="12487">
      <formula>$E$7&lt;&gt;"Yes"</formula>
    </cfRule>
  </conditionalFormatting>
  <conditionalFormatting sqref="Q346">
    <cfRule type="expression" dxfId="8435" priority="12486">
      <formula>$E346&lt;&gt;"Yes"</formula>
    </cfRule>
  </conditionalFormatting>
  <conditionalFormatting sqref="AE346">
    <cfRule type="expression" dxfId="8434" priority="12481">
      <formula>$E$7&lt;&gt;"Yes"</formula>
    </cfRule>
  </conditionalFormatting>
  <conditionalFormatting sqref="AE346">
    <cfRule type="expression" dxfId="8433" priority="12480">
      <formula>$E346&lt;&gt;"Yes"</formula>
    </cfRule>
  </conditionalFormatting>
  <conditionalFormatting sqref="F49:J49 M49 Q49">
    <cfRule type="expression" dxfId="8432" priority="12477">
      <formula>$E$7&lt;&gt;"Yes"</formula>
    </cfRule>
  </conditionalFormatting>
  <conditionalFormatting sqref="F49:J49 M49 Q49">
    <cfRule type="expression" dxfId="8431" priority="12476">
      <formula>$E49&lt;&gt;"Yes"</formula>
    </cfRule>
  </conditionalFormatting>
  <conditionalFormatting sqref="G49">
    <cfRule type="expression" dxfId="8430" priority="12475">
      <formula>$E$7&lt;&gt;"Yes"</formula>
    </cfRule>
  </conditionalFormatting>
  <conditionalFormatting sqref="K49:L49">
    <cfRule type="expression" dxfId="8429" priority="12474">
      <formula>$E$7&lt;&gt;"Yes"</formula>
    </cfRule>
  </conditionalFormatting>
  <conditionalFormatting sqref="K49:L49">
    <cfRule type="expression" dxfId="8428" priority="12473">
      <formula>$E49&lt;&gt;"Yes"</formula>
    </cfRule>
  </conditionalFormatting>
  <conditionalFormatting sqref="W49">
    <cfRule type="expression" dxfId="8427" priority="12468">
      <formula>$E$7&lt;&gt;"Yes"</formula>
    </cfRule>
  </conditionalFormatting>
  <conditionalFormatting sqref="W49">
    <cfRule type="expression" dxfId="8426" priority="12467">
      <formula>$E49&lt;&gt;"Yes"</formula>
    </cfRule>
  </conditionalFormatting>
  <conditionalFormatting sqref="M8 F8:J8 Q8">
    <cfRule type="expression" dxfId="8425" priority="12417">
      <formula>$E$7&lt;&gt;"Yes"</formula>
    </cfRule>
  </conditionalFormatting>
  <conditionalFormatting sqref="M8 F8:J8 Q8">
    <cfRule type="expression" dxfId="8424" priority="12416">
      <formula>$E8&lt;&gt;"Yes"</formula>
    </cfRule>
  </conditionalFormatting>
  <conditionalFormatting sqref="G8">
    <cfRule type="expression" dxfId="8423" priority="12415">
      <formula>$E$7&lt;&gt;"Yes"</formula>
    </cfRule>
  </conditionalFormatting>
  <conditionalFormatting sqref="K8:L8">
    <cfRule type="expression" dxfId="8422" priority="12414">
      <formula>$E$7&lt;&gt;"Yes"</formula>
    </cfRule>
  </conditionalFormatting>
  <conditionalFormatting sqref="K8:L8">
    <cfRule type="expression" dxfId="8421" priority="12413">
      <formula>$E8&lt;&gt;"Yes"</formula>
    </cfRule>
  </conditionalFormatting>
  <conditionalFormatting sqref="G10">
    <cfRule type="expression" dxfId="8420" priority="12386">
      <formula>$E$7&lt;&gt;"Yes"</formula>
    </cfRule>
  </conditionalFormatting>
  <conditionalFormatting sqref="W8">
    <cfRule type="expression" dxfId="8419" priority="12410">
      <formula>$E$7&lt;&gt;"Yes"</formula>
    </cfRule>
  </conditionalFormatting>
  <conditionalFormatting sqref="W8">
    <cfRule type="expression" dxfId="8418" priority="12409">
      <formula>$E8&lt;&gt;"Yes"</formula>
    </cfRule>
  </conditionalFormatting>
  <conditionalFormatting sqref="AE8">
    <cfRule type="expression" dxfId="8417" priority="12392">
      <formula>$E$7&lt;&gt;"Yes"</formula>
    </cfRule>
  </conditionalFormatting>
  <conditionalFormatting sqref="AE8">
    <cfRule type="expression" dxfId="8416" priority="12391">
      <formula>$E8&lt;&gt;"Yes"</formula>
    </cfRule>
  </conditionalFormatting>
  <conditionalFormatting sqref="M10 F10:J10 Q10">
    <cfRule type="expression" dxfId="8415" priority="12388">
      <formula>$E$7&lt;&gt;"Yes"</formula>
    </cfRule>
  </conditionalFormatting>
  <conditionalFormatting sqref="M10 F10:J10 Q10">
    <cfRule type="expression" dxfId="8414" priority="12387">
      <formula>$E10&lt;&gt;"Yes"</formula>
    </cfRule>
  </conditionalFormatting>
  <conditionalFormatting sqref="K10:L10">
    <cfRule type="expression" dxfId="8413" priority="12385">
      <formula>$E$7&lt;&gt;"Yes"</formula>
    </cfRule>
  </conditionalFormatting>
  <conditionalFormatting sqref="K10:L10">
    <cfRule type="expression" dxfId="8412" priority="12384">
      <formula>$E10&lt;&gt;"Yes"</formula>
    </cfRule>
  </conditionalFormatting>
  <conditionalFormatting sqref="G42">
    <cfRule type="expression" dxfId="8411" priority="12357">
      <formula>$E$7&lt;&gt;"Yes"</formula>
    </cfRule>
  </conditionalFormatting>
  <conditionalFormatting sqref="W10">
    <cfRule type="expression" dxfId="8410" priority="12381">
      <formula>$E$7&lt;&gt;"Yes"</formula>
    </cfRule>
  </conditionalFormatting>
  <conditionalFormatting sqref="W10">
    <cfRule type="expression" dxfId="8409" priority="12380">
      <formula>$E10&lt;&gt;"Yes"</formula>
    </cfRule>
  </conditionalFormatting>
  <conditionalFormatting sqref="AE10">
    <cfRule type="expression" dxfId="8408" priority="12363">
      <formula>$E$7&lt;&gt;"Yes"</formula>
    </cfRule>
  </conditionalFormatting>
  <conditionalFormatting sqref="AE10">
    <cfRule type="expression" dxfId="8407" priority="12362">
      <formula>$E10&lt;&gt;"Yes"</formula>
    </cfRule>
  </conditionalFormatting>
  <conditionalFormatting sqref="M42 F42:J42 Q42">
    <cfRule type="expression" dxfId="8406" priority="12359">
      <formula>$E$7&lt;&gt;"Yes"</formula>
    </cfRule>
  </conditionalFormatting>
  <conditionalFormatting sqref="M42 F42:J42 Q42">
    <cfRule type="expression" dxfId="8405" priority="12358">
      <formula>$E42&lt;&gt;"Yes"</formula>
    </cfRule>
  </conditionalFormatting>
  <conditionalFormatting sqref="K42:L42">
    <cfRule type="expression" dxfId="8404" priority="12356">
      <formula>$E$7&lt;&gt;"Yes"</formula>
    </cfRule>
  </conditionalFormatting>
  <conditionalFormatting sqref="K42:L42">
    <cfRule type="expression" dxfId="8403" priority="12355">
      <formula>$E42&lt;&gt;"Yes"</formula>
    </cfRule>
  </conditionalFormatting>
  <conditionalFormatting sqref="G51">
    <cfRule type="expression" dxfId="8402" priority="12328">
      <formula>$E$7&lt;&gt;"Yes"</formula>
    </cfRule>
  </conditionalFormatting>
  <conditionalFormatting sqref="W42">
    <cfRule type="expression" dxfId="8401" priority="12352">
      <formula>$E$7&lt;&gt;"Yes"</formula>
    </cfRule>
  </conditionalFormatting>
  <conditionalFormatting sqref="W42">
    <cfRule type="expression" dxfId="8400" priority="12351">
      <formula>$E42&lt;&gt;"Yes"</formula>
    </cfRule>
  </conditionalFormatting>
  <conditionalFormatting sqref="AE42">
    <cfRule type="expression" dxfId="8399" priority="12334">
      <formula>$E$7&lt;&gt;"Yes"</formula>
    </cfRule>
  </conditionalFormatting>
  <conditionalFormatting sqref="AE42">
    <cfRule type="expression" dxfId="8398" priority="12333">
      <formula>$E42&lt;&gt;"Yes"</formula>
    </cfRule>
  </conditionalFormatting>
  <conditionalFormatting sqref="F51:J51 M51 Q51">
    <cfRule type="expression" dxfId="8397" priority="12330">
      <formula>$E$7&lt;&gt;"Yes"</formula>
    </cfRule>
  </conditionalFormatting>
  <conditionalFormatting sqref="F51:J51 M51 Q51">
    <cfRule type="expression" dxfId="8396" priority="12329">
      <formula>$E51&lt;&gt;"Yes"</formula>
    </cfRule>
  </conditionalFormatting>
  <conditionalFormatting sqref="K51:L51">
    <cfRule type="expression" dxfId="8395" priority="12327">
      <formula>$E$7&lt;&gt;"Yes"</formula>
    </cfRule>
  </conditionalFormatting>
  <conditionalFormatting sqref="K51:L51">
    <cfRule type="expression" dxfId="8394" priority="12326">
      <formula>$E51&lt;&gt;"Yes"</formula>
    </cfRule>
  </conditionalFormatting>
  <conditionalFormatting sqref="G53">
    <cfRule type="expression" dxfId="8393" priority="12299">
      <formula>$E$7&lt;&gt;"Yes"</formula>
    </cfRule>
  </conditionalFormatting>
  <conditionalFormatting sqref="W51">
    <cfRule type="expression" dxfId="8392" priority="12323">
      <formula>$E$7&lt;&gt;"Yes"</formula>
    </cfRule>
  </conditionalFormatting>
  <conditionalFormatting sqref="W51">
    <cfRule type="expression" dxfId="8391" priority="12322">
      <formula>$E51&lt;&gt;"Yes"</formula>
    </cfRule>
  </conditionalFormatting>
  <conditionalFormatting sqref="M53 F53:J53 Q53">
    <cfRule type="expression" dxfId="8390" priority="12301">
      <formula>$E$7&lt;&gt;"Yes"</formula>
    </cfRule>
  </conditionalFormatting>
  <conditionalFormatting sqref="M53 F53:J53 Q53">
    <cfRule type="expression" dxfId="8389" priority="12300">
      <formula>$E53&lt;&gt;"Yes"</formula>
    </cfRule>
  </conditionalFormatting>
  <conditionalFormatting sqref="K53:L53">
    <cfRule type="expression" dxfId="8388" priority="12298">
      <formula>$E$7&lt;&gt;"Yes"</formula>
    </cfRule>
  </conditionalFormatting>
  <conditionalFormatting sqref="K53:L53">
    <cfRule type="expression" dxfId="8387" priority="12297">
      <formula>$E53&lt;&gt;"Yes"</formula>
    </cfRule>
  </conditionalFormatting>
  <conditionalFormatting sqref="G65">
    <cfRule type="expression" dxfId="8386" priority="12270">
      <formula>$E$7&lt;&gt;"Yes"</formula>
    </cfRule>
  </conditionalFormatting>
  <conditionalFormatting sqref="W53">
    <cfRule type="expression" dxfId="8385" priority="12294">
      <formula>$E$7&lt;&gt;"Yes"</formula>
    </cfRule>
  </conditionalFormatting>
  <conditionalFormatting sqref="W53">
    <cfRule type="expression" dxfId="8384" priority="12293">
      <formula>$E53&lt;&gt;"Yes"</formula>
    </cfRule>
  </conditionalFormatting>
  <conditionalFormatting sqref="F65:J65 M65 Q65">
    <cfRule type="expression" dxfId="8383" priority="12272">
      <formula>$E$7&lt;&gt;"Yes"</formula>
    </cfRule>
  </conditionalFormatting>
  <conditionalFormatting sqref="F65:J65 M65 Q65">
    <cfRule type="expression" dxfId="8382" priority="12271">
      <formula>$E65&lt;&gt;"Yes"</formula>
    </cfRule>
  </conditionalFormatting>
  <conditionalFormatting sqref="K65:L65">
    <cfRule type="expression" dxfId="8381" priority="12269">
      <formula>$E$7&lt;&gt;"Yes"</formula>
    </cfRule>
  </conditionalFormatting>
  <conditionalFormatting sqref="K65:L65">
    <cfRule type="expression" dxfId="8380" priority="12268">
      <formula>$E65&lt;&gt;"Yes"</formula>
    </cfRule>
  </conditionalFormatting>
  <conditionalFormatting sqref="G69">
    <cfRule type="expression" dxfId="8379" priority="12241">
      <formula>$E$7&lt;&gt;"Yes"</formula>
    </cfRule>
  </conditionalFormatting>
  <conditionalFormatting sqref="W65">
    <cfRule type="expression" dxfId="8378" priority="12265">
      <formula>$E$7&lt;&gt;"Yes"</formula>
    </cfRule>
  </conditionalFormatting>
  <conditionalFormatting sqref="W65">
    <cfRule type="expression" dxfId="8377" priority="12264">
      <formula>$E65&lt;&gt;"Yes"</formula>
    </cfRule>
  </conditionalFormatting>
  <conditionalFormatting sqref="AE65">
    <cfRule type="expression" dxfId="8376" priority="12247">
      <formula>$E$7&lt;&gt;"Yes"</formula>
    </cfRule>
  </conditionalFormatting>
  <conditionalFormatting sqref="AE65">
    <cfRule type="expression" dxfId="8375" priority="12246">
      <formula>$E65&lt;&gt;"Yes"</formula>
    </cfRule>
  </conditionalFormatting>
  <conditionalFormatting sqref="M69 F69:J69 Q69">
    <cfRule type="expression" dxfId="8374" priority="12243">
      <formula>$E$7&lt;&gt;"Yes"</formula>
    </cfRule>
  </conditionalFormatting>
  <conditionalFormatting sqref="M69 F69:J69 Q69">
    <cfRule type="expression" dxfId="8373" priority="12242">
      <formula>$E69&lt;&gt;"Yes"</formula>
    </cfRule>
  </conditionalFormatting>
  <conditionalFormatting sqref="K69:L69">
    <cfRule type="expression" dxfId="8372" priority="12240">
      <formula>$E$7&lt;&gt;"Yes"</formula>
    </cfRule>
  </conditionalFormatting>
  <conditionalFormatting sqref="K69:L69">
    <cfRule type="expression" dxfId="8371" priority="12239">
      <formula>$E69&lt;&gt;"Yes"</formula>
    </cfRule>
  </conditionalFormatting>
  <conditionalFormatting sqref="G71">
    <cfRule type="expression" dxfId="8370" priority="12212">
      <formula>$E$7&lt;&gt;"Yes"</formula>
    </cfRule>
  </conditionalFormatting>
  <conditionalFormatting sqref="W69">
    <cfRule type="expression" dxfId="8369" priority="12236">
      <formula>$E$7&lt;&gt;"Yes"</formula>
    </cfRule>
  </conditionalFormatting>
  <conditionalFormatting sqref="W69">
    <cfRule type="expression" dxfId="8368" priority="12235">
      <formula>$E69&lt;&gt;"Yes"</formula>
    </cfRule>
  </conditionalFormatting>
  <conditionalFormatting sqref="F71:J71 M71 Q71">
    <cfRule type="expression" dxfId="8367" priority="12214">
      <formula>$E$7&lt;&gt;"Yes"</formula>
    </cfRule>
  </conditionalFormatting>
  <conditionalFormatting sqref="F71:J71 M71 Q71">
    <cfRule type="expression" dxfId="8366" priority="12213">
      <formula>$E71&lt;&gt;"Yes"</formula>
    </cfRule>
  </conditionalFormatting>
  <conditionalFormatting sqref="K71:L71">
    <cfRule type="expression" dxfId="8365" priority="12211">
      <formula>$E$7&lt;&gt;"Yes"</formula>
    </cfRule>
  </conditionalFormatting>
  <conditionalFormatting sqref="K71:L71">
    <cfRule type="expression" dxfId="8364" priority="12210">
      <formula>$E71&lt;&gt;"Yes"</formula>
    </cfRule>
  </conditionalFormatting>
  <conditionalFormatting sqref="W71">
    <cfRule type="expression" dxfId="8363" priority="12207">
      <formula>$E$7&lt;&gt;"Yes"</formula>
    </cfRule>
  </conditionalFormatting>
  <conditionalFormatting sqref="W71">
    <cfRule type="expression" dxfId="8362" priority="12206">
      <formula>$E71&lt;&gt;"Yes"</formula>
    </cfRule>
  </conditionalFormatting>
  <conditionalFormatting sqref="M101 F101:J101 Q101">
    <cfRule type="expression" dxfId="8361" priority="12156">
      <formula>$E$7&lt;&gt;"Yes"</formula>
    </cfRule>
  </conditionalFormatting>
  <conditionalFormatting sqref="M101 F101:J101 Q101">
    <cfRule type="expression" dxfId="8360" priority="12155">
      <formula>$E101&lt;&gt;"Yes"</formula>
    </cfRule>
  </conditionalFormatting>
  <conditionalFormatting sqref="G101">
    <cfRule type="expression" dxfId="8359" priority="12154">
      <formula>$E$7&lt;&gt;"Yes"</formula>
    </cfRule>
  </conditionalFormatting>
  <conditionalFormatting sqref="K101:L101">
    <cfRule type="expression" dxfId="8358" priority="12153">
      <formula>$E$7&lt;&gt;"Yes"</formula>
    </cfRule>
  </conditionalFormatting>
  <conditionalFormatting sqref="K101:L101">
    <cfRule type="expression" dxfId="8357" priority="12152">
      <formula>$E101&lt;&gt;"Yes"</formula>
    </cfRule>
  </conditionalFormatting>
  <conditionalFormatting sqref="G22">
    <cfRule type="expression" dxfId="8356" priority="12125">
      <formula>$E$7&lt;&gt;"Yes"</formula>
    </cfRule>
  </conditionalFormatting>
  <conditionalFormatting sqref="W101">
    <cfRule type="expression" dxfId="8355" priority="12149">
      <formula>$E$7&lt;&gt;"Yes"</formula>
    </cfRule>
  </conditionalFormatting>
  <conditionalFormatting sqref="W101">
    <cfRule type="expression" dxfId="8354" priority="12148">
      <formula>$E101&lt;&gt;"Yes"</formula>
    </cfRule>
  </conditionalFormatting>
  <conditionalFormatting sqref="AE101">
    <cfRule type="expression" dxfId="8353" priority="12131">
      <formula>$E$7&lt;&gt;"Yes"</formula>
    </cfRule>
  </conditionalFormatting>
  <conditionalFormatting sqref="AE101">
    <cfRule type="expression" dxfId="8352" priority="12130">
      <formula>$E101&lt;&gt;"Yes"</formula>
    </cfRule>
  </conditionalFormatting>
  <conditionalFormatting sqref="M22 F22:J22 Q22">
    <cfRule type="expression" dxfId="8351" priority="12127">
      <formula>$E$7&lt;&gt;"Yes"</formula>
    </cfRule>
  </conditionalFormatting>
  <conditionalFormatting sqref="M22 F22:J22 Q22">
    <cfRule type="expression" dxfId="8350" priority="12126">
      <formula>$E22&lt;&gt;"Yes"</formula>
    </cfRule>
  </conditionalFormatting>
  <conditionalFormatting sqref="K22:L22">
    <cfRule type="expression" dxfId="8349" priority="12124">
      <formula>$E$7&lt;&gt;"Yes"</formula>
    </cfRule>
  </conditionalFormatting>
  <conditionalFormatting sqref="K22:L22">
    <cfRule type="expression" dxfId="8348" priority="12123">
      <formula>$E22&lt;&gt;"Yes"</formula>
    </cfRule>
  </conditionalFormatting>
  <conditionalFormatting sqref="G23">
    <cfRule type="expression" dxfId="8347" priority="12096">
      <formula>$E$7&lt;&gt;"Yes"</formula>
    </cfRule>
  </conditionalFormatting>
  <conditionalFormatting sqref="W22">
    <cfRule type="expression" dxfId="8346" priority="12120">
      <formula>$E$7&lt;&gt;"Yes"</formula>
    </cfRule>
  </conditionalFormatting>
  <conditionalFormatting sqref="W22">
    <cfRule type="expression" dxfId="8345" priority="12119">
      <formula>$E22&lt;&gt;"Yes"</formula>
    </cfRule>
  </conditionalFormatting>
  <conditionalFormatting sqref="AE22">
    <cfRule type="expression" dxfId="8344" priority="12102">
      <formula>$E$7&lt;&gt;"Yes"</formula>
    </cfRule>
  </conditionalFormatting>
  <conditionalFormatting sqref="AE22">
    <cfRule type="expression" dxfId="8343" priority="12101">
      <formula>$E22&lt;&gt;"Yes"</formula>
    </cfRule>
  </conditionalFormatting>
  <conditionalFormatting sqref="M23 F23:J23 Q23">
    <cfRule type="expression" dxfId="8342" priority="12098">
      <formula>$E$7&lt;&gt;"Yes"</formula>
    </cfRule>
  </conditionalFormatting>
  <conditionalFormatting sqref="M23 F23:J23 Q23">
    <cfRule type="expression" dxfId="8341" priority="12097">
      <formula>$E23&lt;&gt;"Yes"</formula>
    </cfRule>
  </conditionalFormatting>
  <conditionalFormatting sqref="K23:L23">
    <cfRule type="expression" dxfId="8340" priority="12095">
      <formula>$E$7&lt;&gt;"Yes"</formula>
    </cfRule>
  </conditionalFormatting>
  <conditionalFormatting sqref="K23:L23">
    <cfRule type="expression" dxfId="8339" priority="12094">
      <formula>$E23&lt;&gt;"Yes"</formula>
    </cfRule>
  </conditionalFormatting>
  <conditionalFormatting sqref="G72">
    <cfRule type="expression" dxfId="8338" priority="12067">
      <formula>$E$7&lt;&gt;"Yes"</formula>
    </cfRule>
  </conditionalFormatting>
  <conditionalFormatting sqref="W23">
    <cfRule type="expression" dxfId="8337" priority="12091">
      <formula>$E$7&lt;&gt;"Yes"</formula>
    </cfRule>
  </conditionalFormatting>
  <conditionalFormatting sqref="W23">
    <cfRule type="expression" dxfId="8336" priority="12090">
      <formula>$E23&lt;&gt;"Yes"</formula>
    </cfRule>
  </conditionalFormatting>
  <conditionalFormatting sqref="AE23">
    <cfRule type="expression" dxfId="8335" priority="12073">
      <formula>$E$7&lt;&gt;"Yes"</formula>
    </cfRule>
  </conditionalFormatting>
  <conditionalFormatting sqref="AE23">
    <cfRule type="expression" dxfId="8334" priority="12072">
      <formula>$E23&lt;&gt;"Yes"</formula>
    </cfRule>
  </conditionalFormatting>
  <conditionalFormatting sqref="F72:J72 M72 Q72">
    <cfRule type="expression" dxfId="8333" priority="12069">
      <formula>$E$7&lt;&gt;"Yes"</formula>
    </cfRule>
  </conditionalFormatting>
  <conditionalFormatting sqref="F72:J72 M72 Q72">
    <cfRule type="expression" dxfId="8332" priority="12068">
      <formula>$E72&lt;&gt;"Yes"</formula>
    </cfRule>
  </conditionalFormatting>
  <conditionalFormatting sqref="K72:L72">
    <cfRule type="expression" dxfId="8331" priority="12066">
      <formula>$E$7&lt;&gt;"Yes"</formula>
    </cfRule>
  </conditionalFormatting>
  <conditionalFormatting sqref="K72:L72">
    <cfRule type="expression" dxfId="8330" priority="12065">
      <formula>$E72&lt;&gt;"Yes"</formula>
    </cfRule>
  </conditionalFormatting>
  <conditionalFormatting sqref="G73">
    <cfRule type="expression" dxfId="8329" priority="12038">
      <formula>$E$7&lt;&gt;"Yes"</formula>
    </cfRule>
  </conditionalFormatting>
  <conditionalFormatting sqref="W72">
    <cfRule type="expression" dxfId="8328" priority="12062">
      <formula>$E$7&lt;&gt;"Yes"</formula>
    </cfRule>
  </conditionalFormatting>
  <conditionalFormatting sqref="W72">
    <cfRule type="expression" dxfId="8327" priority="12061">
      <formula>$E72&lt;&gt;"Yes"</formula>
    </cfRule>
  </conditionalFormatting>
  <conditionalFormatting sqref="AE72">
    <cfRule type="expression" dxfId="8326" priority="12044">
      <formula>$E$7&lt;&gt;"Yes"</formula>
    </cfRule>
  </conditionalFormatting>
  <conditionalFormatting sqref="AE72">
    <cfRule type="expression" dxfId="8325" priority="12043">
      <formula>$E72&lt;&gt;"Yes"</formula>
    </cfRule>
  </conditionalFormatting>
  <conditionalFormatting sqref="F73:J73 M73 Q73">
    <cfRule type="expression" dxfId="8324" priority="12040">
      <formula>$E$7&lt;&gt;"Yes"</formula>
    </cfRule>
  </conditionalFormatting>
  <conditionalFormatting sqref="F73:J73 M73 Q73">
    <cfRule type="expression" dxfId="8323" priority="12039">
      <formula>$E73&lt;&gt;"Yes"</formula>
    </cfRule>
  </conditionalFormatting>
  <conditionalFormatting sqref="K73:L73">
    <cfRule type="expression" dxfId="8322" priority="12037">
      <formula>$E$7&lt;&gt;"Yes"</formula>
    </cfRule>
  </conditionalFormatting>
  <conditionalFormatting sqref="K73:L73">
    <cfRule type="expression" dxfId="8321" priority="12036">
      <formula>$E73&lt;&gt;"Yes"</formula>
    </cfRule>
  </conditionalFormatting>
  <conditionalFormatting sqref="G74">
    <cfRule type="expression" dxfId="8320" priority="12009">
      <formula>$E$7&lt;&gt;"Yes"</formula>
    </cfRule>
  </conditionalFormatting>
  <conditionalFormatting sqref="W73">
    <cfRule type="expression" dxfId="8319" priority="12033">
      <formula>$E$7&lt;&gt;"Yes"</formula>
    </cfRule>
  </conditionalFormatting>
  <conditionalFormatting sqref="W73">
    <cfRule type="expression" dxfId="8318" priority="12032">
      <formula>$E73&lt;&gt;"Yes"</formula>
    </cfRule>
  </conditionalFormatting>
  <conditionalFormatting sqref="AE73">
    <cfRule type="expression" dxfId="8317" priority="12015">
      <formula>$E$7&lt;&gt;"Yes"</formula>
    </cfRule>
  </conditionalFormatting>
  <conditionalFormatting sqref="AE73">
    <cfRule type="expression" dxfId="8316" priority="12014">
      <formula>$E73&lt;&gt;"Yes"</formula>
    </cfRule>
  </conditionalFormatting>
  <conditionalFormatting sqref="F74:J74 M74 Q74">
    <cfRule type="expression" dxfId="8315" priority="12011">
      <formula>$E$7&lt;&gt;"Yes"</formula>
    </cfRule>
  </conditionalFormatting>
  <conditionalFormatting sqref="F74:J74 M74 Q74">
    <cfRule type="expression" dxfId="8314" priority="12010">
      <formula>$E74&lt;&gt;"Yes"</formula>
    </cfRule>
  </conditionalFormatting>
  <conditionalFormatting sqref="K74:L74">
    <cfRule type="expression" dxfId="8313" priority="12008">
      <formula>$E$7&lt;&gt;"Yes"</formula>
    </cfRule>
  </conditionalFormatting>
  <conditionalFormatting sqref="K74:L74">
    <cfRule type="expression" dxfId="8312" priority="12007">
      <formula>$E74&lt;&gt;"Yes"</formula>
    </cfRule>
  </conditionalFormatting>
  <conditionalFormatting sqref="G353:G354">
    <cfRule type="expression" dxfId="8311" priority="11980">
      <formula>$E$7&lt;&gt;"Yes"</formula>
    </cfRule>
  </conditionalFormatting>
  <conditionalFormatting sqref="W74">
    <cfRule type="expression" dxfId="8310" priority="12004">
      <formula>$E$7&lt;&gt;"Yes"</formula>
    </cfRule>
  </conditionalFormatting>
  <conditionalFormatting sqref="W74">
    <cfRule type="expression" dxfId="8309" priority="12003">
      <formula>$E74&lt;&gt;"Yes"</formula>
    </cfRule>
  </conditionalFormatting>
  <conditionalFormatting sqref="AE74">
    <cfRule type="expression" dxfId="8308" priority="11986">
      <formula>$E$7&lt;&gt;"Yes"</formula>
    </cfRule>
  </conditionalFormatting>
  <conditionalFormatting sqref="AE74">
    <cfRule type="expression" dxfId="8307" priority="11985">
      <formula>$E74&lt;&gt;"Yes"</formula>
    </cfRule>
  </conditionalFormatting>
  <conditionalFormatting sqref="F353:J354 M353:M354 Q353:Q354">
    <cfRule type="expression" dxfId="8306" priority="11982">
      <formula>$E$7&lt;&gt;"Yes"</formula>
    </cfRule>
  </conditionalFormatting>
  <conditionalFormatting sqref="F353:J354 M353:M354 Q353:Q354">
    <cfRule type="expression" dxfId="8305" priority="11981">
      <formula>$E353&lt;&gt;"Yes"</formula>
    </cfRule>
  </conditionalFormatting>
  <conditionalFormatting sqref="K353:L354">
    <cfRule type="expression" dxfId="8304" priority="11979">
      <formula>$E$7&lt;&gt;"Yes"</formula>
    </cfRule>
  </conditionalFormatting>
  <conditionalFormatting sqref="K353:L354">
    <cfRule type="expression" dxfId="8303" priority="11978">
      <formula>$E353&lt;&gt;"Yes"</formula>
    </cfRule>
  </conditionalFormatting>
  <conditionalFormatting sqref="F371:J372 M371:M372 Q371:Q372">
    <cfRule type="expression" dxfId="8302" priority="11949">
      <formula>$E$7&lt;&gt;"Yes"</formula>
    </cfRule>
  </conditionalFormatting>
  <conditionalFormatting sqref="F371:J372 M371:M372 Q371:Q372">
    <cfRule type="expression" dxfId="8301" priority="11948">
      <formula>$E371&lt;&gt;"Yes"</formula>
    </cfRule>
  </conditionalFormatting>
  <conditionalFormatting sqref="W353:W354">
    <cfRule type="expression" dxfId="8300" priority="11975">
      <formula>$E$7&lt;&gt;"Yes"</formula>
    </cfRule>
  </conditionalFormatting>
  <conditionalFormatting sqref="W353:W354">
    <cfRule type="expression" dxfId="8299" priority="11974">
      <formula>$E353&lt;&gt;"Yes"</formula>
    </cfRule>
  </conditionalFormatting>
  <conditionalFormatting sqref="AE353:AE354">
    <cfRule type="expression" dxfId="8298" priority="11957">
      <formula>$E$7&lt;&gt;"Yes"</formula>
    </cfRule>
  </conditionalFormatting>
  <conditionalFormatting sqref="AE353:AE354">
    <cfRule type="expression" dxfId="8297" priority="11956">
      <formula>$E353&lt;&gt;"Yes"</formula>
    </cfRule>
  </conditionalFormatting>
  <conditionalFormatting sqref="G371:G372">
    <cfRule type="expression" dxfId="8296" priority="11947">
      <formula>$E$7&lt;&gt;"Yes"</formula>
    </cfRule>
  </conditionalFormatting>
  <conditionalFormatting sqref="K371:L372">
    <cfRule type="expression" dxfId="8295" priority="11946">
      <formula>$E$7&lt;&gt;"Yes"</formula>
    </cfRule>
  </conditionalFormatting>
  <conditionalFormatting sqref="K371:L372">
    <cfRule type="expression" dxfId="8294" priority="11945">
      <formula>$E371&lt;&gt;"Yes"</formula>
    </cfRule>
  </conditionalFormatting>
  <conditionalFormatting sqref="F369:J370 M369:M370 Q369:Q370">
    <cfRule type="expression" dxfId="8293" priority="11916">
      <formula>$E$7&lt;&gt;"Yes"</formula>
    </cfRule>
  </conditionalFormatting>
  <conditionalFormatting sqref="F369:J370 M369:M370 Q369:Q370">
    <cfRule type="expression" dxfId="8292" priority="11915">
      <formula>$E369&lt;&gt;"Yes"</formula>
    </cfRule>
  </conditionalFormatting>
  <conditionalFormatting sqref="W371:W372">
    <cfRule type="expression" dxfId="8291" priority="11942">
      <formula>$E$7&lt;&gt;"Yes"</formula>
    </cfRule>
  </conditionalFormatting>
  <conditionalFormatting sqref="W371:W372">
    <cfRule type="expression" dxfId="8290" priority="11941">
      <formula>$E371&lt;&gt;"Yes"</formula>
    </cfRule>
  </conditionalFormatting>
  <conditionalFormatting sqref="G369:G370">
    <cfRule type="expression" dxfId="8289" priority="11914">
      <formula>$E$7&lt;&gt;"Yes"</formula>
    </cfRule>
  </conditionalFormatting>
  <conditionalFormatting sqref="K369:L370">
    <cfRule type="expression" dxfId="8288" priority="11913">
      <formula>$E$7&lt;&gt;"Yes"</formula>
    </cfRule>
  </conditionalFormatting>
  <conditionalFormatting sqref="K369:L370">
    <cfRule type="expression" dxfId="8287" priority="11912">
      <formula>$E369&lt;&gt;"Yes"</formula>
    </cfRule>
  </conditionalFormatting>
  <conditionalFormatting sqref="F359:J360 M359:M360 Q359:Q360">
    <cfRule type="expression" dxfId="8286" priority="11883">
      <formula>$E$7&lt;&gt;"Yes"</formula>
    </cfRule>
  </conditionalFormatting>
  <conditionalFormatting sqref="F359:J360 M359:M360 Q359:Q360">
    <cfRule type="expression" dxfId="8285" priority="11882">
      <formula>$E359&lt;&gt;"Yes"</formula>
    </cfRule>
  </conditionalFormatting>
  <conditionalFormatting sqref="W369:W370">
    <cfRule type="expression" dxfId="8284" priority="11909">
      <formula>$E$7&lt;&gt;"Yes"</formula>
    </cfRule>
  </conditionalFormatting>
  <conditionalFormatting sqref="W369:W370">
    <cfRule type="expression" dxfId="8283" priority="11908">
      <formula>$E369&lt;&gt;"Yes"</formula>
    </cfRule>
  </conditionalFormatting>
  <conditionalFormatting sqref="G359:G360">
    <cfRule type="expression" dxfId="8282" priority="11881">
      <formula>$E$7&lt;&gt;"Yes"</formula>
    </cfRule>
  </conditionalFormatting>
  <conditionalFormatting sqref="K359:L360">
    <cfRule type="expression" dxfId="8281" priority="11880">
      <formula>$E$7&lt;&gt;"Yes"</formula>
    </cfRule>
  </conditionalFormatting>
  <conditionalFormatting sqref="K359:L360">
    <cfRule type="expression" dxfId="8280" priority="11879">
      <formula>$E359&lt;&gt;"Yes"</formula>
    </cfRule>
  </conditionalFormatting>
  <conditionalFormatting sqref="F373:J374 M373:M374 Q373:Q374">
    <cfRule type="expression" dxfId="8279" priority="11850">
      <formula>$E$7&lt;&gt;"Yes"</formula>
    </cfRule>
  </conditionalFormatting>
  <conditionalFormatting sqref="F373:J374 M373:M374 Q373:Q374">
    <cfRule type="expression" dxfId="8278" priority="11849">
      <formula>$E373&lt;&gt;"Yes"</formula>
    </cfRule>
  </conditionalFormatting>
  <conditionalFormatting sqref="W359:W360">
    <cfRule type="expression" dxfId="8277" priority="11876">
      <formula>$E$7&lt;&gt;"Yes"</formula>
    </cfRule>
  </conditionalFormatting>
  <conditionalFormatting sqref="W359:W360">
    <cfRule type="expression" dxfId="8276" priority="11875">
      <formula>$E359&lt;&gt;"Yes"</formula>
    </cfRule>
  </conditionalFormatting>
  <conditionalFormatting sqref="G373:G374">
    <cfRule type="expression" dxfId="8275" priority="11848">
      <formula>$E$7&lt;&gt;"Yes"</formula>
    </cfRule>
  </conditionalFormatting>
  <conditionalFormatting sqref="K373:L374">
    <cfRule type="expression" dxfId="8274" priority="11847">
      <formula>$E$7&lt;&gt;"Yes"</formula>
    </cfRule>
  </conditionalFormatting>
  <conditionalFormatting sqref="K373:L374">
    <cfRule type="expression" dxfId="8273" priority="11846">
      <formula>$E373&lt;&gt;"Yes"</formula>
    </cfRule>
  </conditionalFormatting>
  <conditionalFormatting sqref="M379 F379:J379 Q379">
    <cfRule type="expression" dxfId="8272" priority="11817">
      <formula>$E$7&lt;&gt;"Yes"</formula>
    </cfRule>
  </conditionalFormatting>
  <conditionalFormatting sqref="M379 F379:J379 Q379">
    <cfRule type="expression" dxfId="8271" priority="11816">
      <formula>$E379&lt;&gt;"Yes"</formula>
    </cfRule>
  </conditionalFormatting>
  <conditionalFormatting sqref="W373:W374">
    <cfRule type="expression" dxfId="8270" priority="11843">
      <formula>$E$7&lt;&gt;"Yes"</formula>
    </cfRule>
  </conditionalFormatting>
  <conditionalFormatting sqref="W373:W374">
    <cfRule type="expression" dxfId="8269" priority="11842">
      <formula>$E373&lt;&gt;"Yes"</formula>
    </cfRule>
  </conditionalFormatting>
  <conditionalFormatting sqref="G379">
    <cfRule type="expression" dxfId="8268" priority="11815">
      <formula>$E$7&lt;&gt;"Yes"</formula>
    </cfRule>
  </conditionalFormatting>
  <conditionalFormatting sqref="K379:L379">
    <cfRule type="expression" dxfId="8267" priority="11814">
      <formula>$E$7&lt;&gt;"Yes"</formula>
    </cfRule>
  </conditionalFormatting>
  <conditionalFormatting sqref="K379:L379">
    <cfRule type="expression" dxfId="8266" priority="11813">
      <formula>$E379&lt;&gt;"Yes"</formula>
    </cfRule>
  </conditionalFormatting>
  <conditionalFormatting sqref="G122">
    <cfRule type="expression" dxfId="8265" priority="11786">
      <formula>$E$7&lt;&gt;"Yes"</formula>
    </cfRule>
  </conditionalFormatting>
  <conditionalFormatting sqref="W379">
    <cfRule type="expression" dxfId="8264" priority="11810">
      <formula>$E$7&lt;&gt;"Yes"</formula>
    </cfRule>
  </conditionalFormatting>
  <conditionalFormatting sqref="W379">
    <cfRule type="expression" dxfId="8263" priority="11809">
      <formula>$E379&lt;&gt;"Yes"</formula>
    </cfRule>
  </conditionalFormatting>
  <conditionalFormatting sqref="F122:J122 M122 Q122">
    <cfRule type="expression" dxfId="8262" priority="11788">
      <formula>$E$7&lt;&gt;"Yes"</formula>
    </cfRule>
  </conditionalFormatting>
  <conditionalFormatting sqref="F122:J122 M122 Q122">
    <cfRule type="expression" dxfId="8261" priority="11787">
      <formula>$E122&lt;&gt;"Yes"</formula>
    </cfRule>
  </conditionalFormatting>
  <conditionalFormatting sqref="K122:L122">
    <cfRule type="expression" dxfId="8260" priority="11785">
      <formula>$E$7&lt;&gt;"Yes"</formula>
    </cfRule>
  </conditionalFormatting>
  <conditionalFormatting sqref="K122:L122">
    <cfRule type="expression" dxfId="8259" priority="11784">
      <formula>$E122&lt;&gt;"Yes"</formula>
    </cfRule>
  </conditionalFormatting>
  <conditionalFormatting sqref="G161">
    <cfRule type="expression" dxfId="8258" priority="11757">
      <formula>$E$7&lt;&gt;"Yes"</formula>
    </cfRule>
  </conditionalFormatting>
  <conditionalFormatting sqref="W122">
    <cfRule type="expression" dxfId="8257" priority="11781">
      <formula>$E$7&lt;&gt;"Yes"</formula>
    </cfRule>
  </conditionalFormatting>
  <conditionalFormatting sqref="W122">
    <cfRule type="expression" dxfId="8256" priority="11780">
      <formula>$E122&lt;&gt;"Yes"</formula>
    </cfRule>
  </conditionalFormatting>
  <conditionalFormatting sqref="AE122">
    <cfRule type="expression" dxfId="8255" priority="11763">
      <formula>$E$7&lt;&gt;"Yes"</formula>
    </cfRule>
  </conditionalFormatting>
  <conditionalFormatting sqref="AE122">
    <cfRule type="expression" dxfId="8254" priority="11762">
      <formula>$E122&lt;&gt;"Yes"</formula>
    </cfRule>
  </conditionalFormatting>
  <conditionalFormatting sqref="M161 F161:J161 Q161">
    <cfRule type="expression" dxfId="8253" priority="11759">
      <formula>$E$7&lt;&gt;"Yes"</formula>
    </cfRule>
  </conditionalFormatting>
  <conditionalFormatting sqref="M161 F161:J161 Q161">
    <cfRule type="expression" dxfId="8252" priority="11758">
      <formula>$E161&lt;&gt;"Yes"</formula>
    </cfRule>
  </conditionalFormatting>
  <conditionalFormatting sqref="K161:L161">
    <cfRule type="expression" dxfId="8251" priority="11756">
      <formula>$E$7&lt;&gt;"Yes"</formula>
    </cfRule>
  </conditionalFormatting>
  <conditionalFormatting sqref="K161:L161">
    <cfRule type="expression" dxfId="8250" priority="11755">
      <formula>$E161&lt;&gt;"Yes"</formula>
    </cfRule>
  </conditionalFormatting>
  <conditionalFormatting sqref="G164">
    <cfRule type="expression" dxfId="8249" priority="11728">
      <formula>$E$7&lt;&gt;"Yes"</formula>
    </cfRule>
  </conditionalFormatting>
  <conditionalFormatting sqref="W161">
    <cfRule type="expression" dxfId="8248" priority="11752">
      <formula>$E$7&lt;&gt;"Yes"</formula>
    </cfRule>
  </conditionalFormatting>
  <conditionalFormatting sqref="W161">
    <cfRule type="expression" dxfId="8247" priority="11751">
      <formula>$E161&lt;&gt;"Yes"</formula>
    </cfRule>
  </conditionalFormatting>
  <conditionalFormatting sqref="AE161">
    <cfRule type="expression" dxfId="8246" priority="11734">
      <formula>$E$7&lt;&gt;"Yes"</formula>
    </cfRule>
  </conditionalFormatting>
  <conditionalFormatting sqref="AE161">
    <cfRule type="expression" dxfId="8245" priority="11733">
      <formula>$E161&lt;&gt;"Yes"</formula>
    </cfRule>
  </conditionalFormatting>
  <conditionalFormatting sqref="M164 F164:J164 Q164">
    <cfRule type="expression" dxfId="8244" priority="11730">
      <formula>$E$7&lt;&gt;"Yes"</formula>
    </cfRule>
  </conditionalFormatting>
  <conditionalFormatting sqref="M164 F164:J164 Q164">
    <cfRule type="expression" dxfId="8243" priority="11729">
      <formula>$E164&lt;&gt;"Yes"</formula>
    </cfRule>
  </conditionalFormatting>
  <conditionalFormatting sqref="K164:L164">
    <cfRule type="expression" dxfId="8242" priority="11727">
      <formula>$E$7&lt;&gt;"Yes"</formula>
    </cfRule>
  </conditionalFormatting>
  <conditionalFormatting sqref="K164:L164">
    <cfRule type="expression" dxfId="8241" priority="11726">
      <formula>$E164&lt;&gt;"Yes"</formula>
    </cfRule>
  </conditionalFormatting>
  <conditionalFormatting sqref="G168">
    <cfRule type="expression" dxfId="8240" priority="11699">
      <formula>$E$7&lt;&gt;"Yes"</formula>
    </cfRule>
  </conditionalFormatting>
  <conditionalFormatting sqref="W164">
    <cfRule type="expression" dxfId="8239" priority="11723">
      <formula>$E$7&lt;&gt;"Yes"</formula>
    </cfRule>
  </conditionalFormatting>
  <conditionalFormatting sqref="W164">
    <cfRule type="expression" dxfId="8238" priority="11722">
      <formula>$E164&lt;&gt;"Yes"</formula>
    </cfRule>
  </conditionalFormatting>
  <conditionalFormatting sqref="M168 F168:J168 Q168">
    <cfRule type="expression" dxfId="8237" priority="11701">
      <formula>$E$7&lt;&gt;"Yes"</formula>
    </cfRule>
  </conditionalFormatting>
  <conditionalFormatting sqref="M168 F168:J168 Q168">
    <cfRule type="expression" dxfId="8236" priority="11700">
      <formula>$E168&lt;&gt;"Yes"</formula>
    </cfRule>
  </conditionalFormatting>
  <conditionalFormatting sqref="W169">
    <cfRule type="expression" dxfId="8235" priority="11665">
      <formula>$E$7&lt;&gt;"Yes"</formula>
    </cfRule>
  </conditionalFormatting>
  <conditionalFormatting sqref="W169">
    <cfRule type="expression" dxfId="8234" priority="11664">
      <formula>$E169&lt;&gt;"Yes"</formula>
    </cfRule>
  </conditionalFormatting>
  <conditionalFormatting sqref="AE169">
    <cfRule type="expression" dxfId="8233" priority="11647">
      <formula>$E$7&lt;&gt;"Yes"</formula>
    </cfRule>
  </conditionalFormatting>
  <conditionalFormatting sqref="AE169">
    <cfRule type="expression" dxfId="8232" priority="11646">
      <formula>$E169&lt;&gt;"Yes"</formula>
    </cfRule>
  </conditionalFormatting>
  <conditionalFormatting sqref="K168:L168">
    <cfRule type="expression" dxfId="8231" priority="11698">
      <formula>$E$7&lt;&gt;"Yes"</formula>
    </cfRule>
  </conditionalFormatting>
  <conditionalFormatting sqref="K168:L168">
    <cfRule type="expression" dxfId="8230" priority="11697">
      <formula>$E168&lt;&gt;"Yes"</formula>
    </cfRule>
  </conditionalFormatting>
  <conditionalFormatting sqref="G169">
    <cfRule type="expression" dxfId="8229" priority="11670">
      <formula>$E$7&lt;&gt;"Yes"</formula>
    </cfRule>
  </conditionalFormatting>
  <conditionalFormatting sqref="W168">
    <cfRule type="expression" dxfId="8228" priority="11694">
      <formula>$E$7&lt;&gt;"Yes"</formula>
    </cfRule>
  </conditionalFormatting>
  <conditionalFormatting sqref="W168">
    <cfRule type="expression" dxfId="8227" priority="11693">
      <formula>$E168&lt;&gt;"Yes"</formula>
    </cfRule>
  </conditionalFormatting>
  <conditionalFormatting sqref="AE168">
    <cfRule type="expression" dxfId="8226" priority="11676">
      <formula>$E$7&lt;&gt;"Yes"</formula>
    </cfRule>
  </conditionalFormatting>
  <conditionalFormatting sqref="AE168">
    <cfRule type="expression" dxfId="8225" priority="11675">
      <formula>$E168&lt;&gt;"Yes"</formula>
    </cfRule>
  </conditionalFormatting>
  <conditionalFormatting sqref="M169 F169:J169 Q169">
    <cfRule type="expression" dxfId="8224" priority="11672">
      <formula>$E$7&lt;&gt;"Yes"</formula>
    </cfRule>
  </conditionalFormatting>
  <conditionalFormatting sqref="M169 F169:J169 Q169">
    <cfRule type="expression" dxfId="8223" priority="11671">
      <formula>$E169&lt;&gt;"Yes"</formula>
    </cfRule>
  </conditionalFormatting>
  <conditionalFormatting sqref="K169:L169">
    <cfRule type="expression" dxfId="8222" priority="11669">
      <formula>$E$7&lt;&gt;"Yes"</formula>
    </cfRule>
  </conditionalFormatting>
  <conditionalFormatting sqref="K169:L169">
    <cfRule type="expression" dxfId="8221" priority="11668">
      <formula>$E169&lt;&gt;"Yes"</formula>
    </cfRule>
  </conditionalFormatting>
  <conditionalFormatting sqref="G165">
    <cfRule type="expression" dxfId="8220" priority="11641">
      <formula>$E$7&lt;&gt;"Yes"</formula>
    </cfRule>
  </conditionalFormatting>
  <conditionalFormatting sqref="M165 F165:J165 Q165">
    <cfRule type="expression" dxfId="8219" priority="11643">
      <formula>$E$7&lt;&gt;"Yes"</formula>
    </cfRule>
  </conditionalFormatting>
  <conditionalFormatting sqref="M165 F165:J165 Q165">
    <cfRule type="expression" dxfId="8218" priority="11642">
      <formula>$E165&lt;&gt;"Yes"</formula>
    </cfRule>
  </conditionalFormatting>
  <conditionalFormatting sqref="K165:L165">
    <cfRule type="expression" dxfId="8217" priority="11640">
      <formula>$E$7&lt;&gt;"Yes"</formula>
    </cfRule>
  </conditionalFormatting>
  <conditionalFormatting sqref="K165:L165">
    <cfRule type="expression" dxfId="8216" priority="11639">
      <formula>$E165&lt;&gt;"Yes"</formula>
    </cfRule>
  </conditionalFormatting>
  <conditionalFormatting sqref="G199">
    <cfRule type="expression" dxfId="8215" priority="11612">
      <formula>$E$7&lt;&gt;"Yes"</formula>
    </cfRule>
  </conditionalFormatting>
  <conditionalFormatting sqref="W165">
    <cfRule type="expression" dxfId="8214" priority="11636">
      <formula>$E$7&lt;&gt;"Yes"</formula>
    </cfRule>
  </conditionalFormatting>
  <conditionalFormatting sqref="W165">
    <cfRule type="expression" dxfId="8213" priority="11635">
      <formula>$E165&lt;&gt;"Yes"</formula>
    </cfRule>
  </conditionalFormatting>
  <conditionalFormatting sqref="F199:J199 M199 Q199">
    <cfRule type="expression" dxfId="8212" priority="11614">
      <formula>$E$7&lt;&gt;"Yes"</formula>
    </cfRule>
  </conditionalFormatting>
  <conditionalFormatting sqref="F199:J199 M199 Q199">
    <cfRule type="expression" dxfId="8211" priority="11613">
      <formula>$E199&lt;&gt;"Yes"</formula>
    </cfRule>
  </conditionalFormatting>
  <conditionalFormatting sqref="K200:L200">
    <cfRule type="expression" dxfId="8210" priority="11582">
      <formula>$E$7&lt;&gt;"Yes"</formula>
    </cfRule>
  </conditionalFormatting>
  <conditionalFormatting sqref="K200:L200">
    <cfRule type="expression" dxfId="8209" priority="11581">
      <formula>$E200&lt;&gt;"Yes"</formula>
    </cfRule>
  </conditionalFormatting>
  <conditionalFormatting sqref="K199:L199">
    <cfRule type="expression" dxfId="8208" priority="11611">
      <formula>$E$7&lt;&gt;"Yes"</formula>
    </cfRule>
  </conditionalFormatting>
  <conditionalFormatting sqref="K199:L199">
    <cfRule type="expression" dxfId="8207" priority="11610">
      <formula>$E199&lt;&gt;"Yes"</formula>
    </cfRule>
  </conditionalFormatting>
  <conditionalFormatting sqref="G200">
    <cfRule type="expression" dxfId="8206" priority="11583">
      <formula>$E$7&lt;&gt;"Yes"</formula>
    </cfRule>
  </conditionalFormatting>
  <conditionalFormatting sqref="W199">
    <cfRule type="expression" dxfId="8205" priority="11607">
      <formula>$E$7&lt;&gt;"Yes"</formula>
    </cfRule>
  </conditionalFormatting>
  <conditionalFormatting sqref="W199">
    <cfRule type="expression" dxfId="8204" priority="11606">
      <formula>$E199&lt;&gt;"Yes"</formula>
    </cfRule>
  </conditionalFormatting>
  <conditionalFormatting sqref="AE199">
    <cfRule type="expression" dxfId="8203" priority="11589">
      <formula>$E$7&lt;&gt;"Yes"</formula>
    </cfRule>
  </conditionalFormatting>
  <conditionalFormatting sqref="AE199">
    <cfRule type="expression" dxfId="8202" priority="11588">
      <formula>$E199&lt;&gt;"Yes"</formula>
    </cfRule>
  </conditionalFormatting>
  <conditionalFormatting sqref="F200:J200 M200 Q200">
    <cfRule type="expression" dxfId="8201" priority="11585">
      <formula>$E$7&lt;&gt;"Yes"</formula>
    </cfRule>
  </conditionalFormatting>
  <conditionalFormatting sqref="F200:J200 M200 Q200">
    <cfRule type="expression" dxfId="8200" priority="11584">
      <formula>$E200&lt;&gt;"Yes"</formula>
    </cfRule>
  </conditionalFormatting>
  <conditionalFormatting sqref="G217">
    <cfRule type="expression" dxfId="8199" priority="11554">
      <formula>$E$7&lt;&gt;"Yes"</formula>
    </cfRule>
  </conditionalFormatting>
  <conditionalFormatting sqref="W200">
    <cfRule type="expression" dxfId="8198" priority="11578">
      <formula>$E$7&lt;&gt;"Yes"</formula>
    </cfRule>
  </conditionalFormatting>
  <conditionalFormatting sqref="W200">
    <cfRule type="expression" dxfId="8197" priority="11577">
      <formula>$E200&lt;&gt;"Yes"</formula>
    </cfRule>
  </conditionalFormatting>
  <conditionalFormatting sqref="AE200">
    <cfRule type="expression" dxfId="8196" priority="11560">
      <formula>$E$7&lt;&gt;"Yes"</formula>
    </cfRule>
  </conditionalFormatting>
  <conditionalFormatting sqref="AE200">
    <cfRule type="expression" dxfId="8195" priority="11559">
      <formula>$E200&lt;&gt;"Yes"</formula>
    </cfRule>
  </conditionalFormatting>
  <conditionalFormatting sqref="F217:J217 M217 Q217">
    <cfRule type="expression" dxfId="8194" priority="11556">
      <formula>$E$7&lt;&gt;"Yes"</formula>
    </cfRule>
  </conditionalFormatting>
  <conditionalFormatting sqref="F217:J217 M217 Q217">
    <cfRule type="expression" dxfId="8193" priority="11555">
      <formula>$E217&lt;&gt;"Yes"</formula>
    </cfRule>
  </conditionalFormatting>
  <conditionalFormatting sqref="K217:L217">
    <cfRule type="expression" dxfId="8192" priority="11553">
      <formula>$E$7&lt;&gt;"Yes"</formula>
    </cfRule>
  </conditionalFormatting>
  <conditionalFormatting sqref="K217:L217">
    <cfRule type="expression" dxfId="8191" priority="11552">
      <formula>$E217&lt;&gt;"Yes"</formula>
    </cfRule>
  </conditionalFormatting>
  <conditionalFormatting sqref="G218">
    <cfRule type="expression" dxfId="8190" priority="11525">
      <formula>$E$7&lt;&gt;"Yes"</formula>
    </cfRule>
  </conditionalFormatting>
  <conditionalFormatting sqref="W217">
    <cfRule type="expression" dxfId="8189" priority="11549">
      <formula>$E$7&lt;&gt;"Yes"</formula>
    </cfRule>
  </conditionalFormatting>
  <conditionalFormatting sqref="W217">
    <cfRule type="expression" dxfId="8188" priority="11548">
      <formula>$E217&lt;&gt;"Yes"</formula>
    </cfRule>
  </conditionalFormatting>
  <conditionalFormatting sqref="F218:J218 M218 Q218">
    <cfRule type="expression" dxfId="8187" priority="11527">
      <formula>$E$7&lt;&gt;"Yes"</formula>
    </cfRule>
  </conditionalFormatting>
  <conditionalFormatting sqref="F218:J218 M218 Q218">
    <cfRule type="expression" dxfId="8186" priority="11526">
      <formula>$E218&lt;&gt;"Yes"</formula>
    </cfRule>
  </conditionalFormatting>
  <conditionalFormatting sqref="K218:L218">
    <cfRule type="expression" dxfId="8185" priority="11524">
      <formula>$E$7&lt;&gt;"Yes"</formula>
    </cfRule>
  </conditionalFormatting>
  <conditionalFormatting sqref="K218:L218">
    <cfRule type="expression" dxfId="8184" priority="11523">
      <formula>$E218&lt;&gt;"Yes"</formula>
    </cfRule>
  </conditionalFormatting>
  <conditionalFormatting sqref="N22:N23 N27:N33 N262 N42 N44:N56 N223 N267:N268 N271:N272 N288:N289 N291:N292 N294:N296 N299:N300 N302:N303 N305 N314:N315 N317:N318 N320:N321 N324:N325 N327:N328 N330 N353:N354 N285 N334:N351 N62 N357:N360 N35:N37 N40 N230:N237 N311 N279:N283 N369:N374 N378:N379">
    <cfRule type="expression" dxfId="8183" priority="11494">
      <formula>$E$7&lt;&gt;"Yes"</formula>
    </cfRule>
  </conditionalFormatting>
  <conditionalFormatting sqref="N22:N23 N27:N33 N262 N42 N44:N56 N223 N267:N268 N271:N272 N288:N289 N291:N292 N294:N296 N299:N300 N302:N303 N305 N314:N315 N317:N318 N320:N321 N324:N325 N327:N328 N330 N353:N354 N285 N334:N351 N62 N357:N360 N35:N37 N40 N230:N237 N311 N279:N283 N369:N374 N378:N379">
    <cfRule type="expression" dxfId="8182" priority="11493">
      <formula>$E22&lt;&gt;"Yes"</formula>
    </cfRule>
  </conditionalFormatting>
  <conditionalFormatting sqref="N10">
    <cfRule type="expression" dxfId="8181" priority="11496">
      <formula>$E$7&lt;&gt;"Yes"</formula>
    </cfRule>
  </conditionalFormatting>
  <conditionalFormatting sqref="N10">
    <cfRule type="expression" dxfId="8180" priority="11495">
      <formula>$E10&lt;&gt;"Yes"</formula>
    </cfRule>
  </conditionalFormatting>
  <conditionalFormatting sqref="W218">
    <cfRule type="expression" dxfId="8179" priority="11520">
      <formula>$E$7&lt;&gt;"Yes"</formula>
    </cfRule>
  </conditionalFormatting>
  <conditionalFormatting sqref="W218">
    <cfRule type="expression" dxfId="8178" priority="11519">
      <formula>$E218&lt;&gt;"Yes"</formula>
    </cfRule>
  </conditionalFormatting>
  <conditionalFormatting sqref="N8">
    <cfRule type="expression" dxfId="8177" priority="11498">
      <formula>$E$7&lt;&gt;"Yes"</formula>
    </cfRule>
  </conditionalFormatting>
  <conditionalFormatting sqref="N8">
    <cfRule type="expression" dxfId="8176" priority="11497">
      <formula>$E8&lt;&gt;"Yes"</formula>
    </cfRule>
  </conditionalFormatting>
  <conditionalFormatting sqref="F221:J221 M221 Q221">
    <cfRule type="expression" dxfId="8175" priority="11492">
      <formula>$E$7&lt;&gt;"Yes"</formula>
    </cfRule>
  </conditionalFormatting>
  <conditionalFormatting sqref="F221:J221 M221 Q221">
    <cfRule type="expression" dxfId="8174" priority="11491">
      <formula>$E221&lt;&gt;"Yes"</formula>
    </cfRule>
  </conditionalFormatting>
  <conditionalFormatting sqref="G221">
    <cfRule type="expression" dxfId="8173" priority="11490">
      <formula>$E$7&lt;&gt;"Yes"</formula>
    </cfRule>
  </conditionalFormatting>
  <conditionalFormatting sqref="K221:L221">
    <cfRule type="expression" dxfId="8172" priority="11489">
      <formula>$E$7&lt;&gt;"Yes"</formula>
    </cfRule>
  </conditionalFormatting>
  <conditionalFormatting sqref="K221:L221">
    <cfRule type="expression" dxfId="8171" priority="11488">
      <formula>$E221&lt;&gt;"Yes"</formula>
    </cfRule>
  </conditionalFormatting>
  <conditionalFormatting sqref="G222">
    <cfRule type="expression" dxfId="8170" priority="11461">
      <formula>$E$7&lt;&gt;"Yes"</formula>
    </cfRule>
  </conditionalFormatting>
  <conditionalFormatting sqref="W221">
    <cfRule type="expression" dxfId="8169" priority="11485">
      <formula>$E$7&lt;&gt;"Yes"</formula>
    </cfRule>
  </conditionalFormatting>
  <conditionalFormatting sqref="W221">
    <cfRule type="expression" dxfId="8168" priority="11484">
      <formula>$E221&lt;&gt;"Yes"</formula>
    </cfRule>
  </conditionalFormatting>
  <conditionalFormatting sqref="F222:J222 M222 Q222">
    <cfRule type="expression" dxfId="8167" priority="11463">
      <formula>$E$7&lt;&gt;"Yes"</formula>
    </cfRule>
  </conditionalFormatting>
  <conditionalFormatting sqref="F222:J222 M222 Q222">
    <cfRule type="expression" dxfId="8166" priority="11462">
      <formula>$E222&lt;&gt;"Yes"</formula>
    </cfRule>
  </conditionalFormatting>
  <conditionalFormatting sqref="K222:L222">
    <cfRule type="expression" dxfId="8165" priority="11460">
      <formula>$E$7&lt;&gt;"Yes"</formula>
    </cfRule>
  </conditionalFormatting>
  <conditionalFormatting sqref="K222:L222">
    <cfRule type="expression" dxfId="8164" priority="11459">
      <formula>$E222&lt;&gt;"Yes"</formula>
    </cfRule>
  </conditionalFormatting>
  <conditionalFormatting sqref="G304">
    <cfRule type="expression" dxfId="8163" priority="11430">
      <formula>$E$7&lt;&gt;"Yes"</formula>
    </cfRule>
  </conditionalFormatting>
  <conditionalFormatting sqref="M304 F304:J304">
    <cfRule type="expression" dxfId="8162" priority="11432">
      <formula>$E$7&lt;&gt;"Yes"</formula>
    </cfRule>
  </conditionalFormatting>
  <conditionalFormatting sqref="M304 F304:J304">
    <cfRule type="expression" dxfId="8161" priority="11431">
      <formula>$E304&lt;&gt;"Yes"</formula>
    </cfRule>
  </conditionalFormatting>
  <conditionalFormatting sqref="W222">
    <cfRule type="expression" dxfId="8160" priority="11456">
      <formula>$E$7&lt;&gt;"Yes"</formula>
    </cfRule>
  </conditionalFormatting>
  <conditionalFormatting sqref="W222">
    <cfRule type="expression" dxfId="8159" priority="11455">
      <formula>$E222&lt;&gt;"Yes"</formula>
    </cfRule>
  </conditionalFormatting>
  <conditionalFormatting sqref="N221:N222">
    <cfRule type="expression" dxfId="8158" priority="11434">
      <formula>$E$7&lt;&gt;"Yes"</formula>
    </cfRule>
  </conditionalFormatting>
  <conditionalFormatting sqref="N221:N222">
    <cfRule type="expression" dxfId="8157" priority="11433">
      <formula>$E221&lt;&gt;"Yes"</formula>
    </cfRule>
  </conditionalFormatting>
  <conditionalFormatting sqref="K304:L304">
    <cfRule type="expression" dxfId="8156" priority="11429">
      <formula>$E$7&lt;&gt;"Yes"</formula>
    </cfRule>
  </conditionalFormatting>
  <conditionalFormatting sqref="K304:L304">
    <cfRule type="expression" dxfId="8155" priority="11428">
      <formula>$E304&lt;&gt;"Yes"</formula>
    </cfRule>
  </conditionalFormatting>
  <conditionalFormatting sqref="W304">
    <cfRule type="expression" dxfId="8154" priority="11423">
      <formula>$E$7&lt;&gt;"Yes"</formula>
    </cfRule>
  </conditionalFormatting>
  <conditionalFormatting sqref="W304">
    <cfRule type="expression" dxfId="8153" priority="11422">
      <formula>$E304&lt;&gt;"Yes"</formula>
    </cfRule>
  </conditionalFormatting>
  <conditionalFormatting sqref="Q304">
    <cfRule type="expression" dxfId="8152" priority="11409">
      <formula>$E$7&lt;&gt;"Yes"</formula>
    </cfRule>
  </conditionalFormatting>
  <conditionalFormatting sqref="Q304">
    <cfRule type="expression" dxfId="8151" priority="11408">
      <formula>$E304&lt;&gt;"Yes"</formula>
    </cfRule>
  </conditionalFormatting>
  <conditionalFormatting sqref="AE304">
    <cfRule type="expression" dxfId="8150" priority="11403">
      <formula>$E$7&lt;&gt;"Yes"</formula>
    </cfRule>
  </conditionalFormatting>
  <conditionalFormatting sqref="AE304">
    <cfRule type="expression" dxfId="8149" priority="11402">
      <formula>$E304&lt;&gt;"Yes"</formula>
    </cfRule>
  </conditionalFormatting>
  <conditionalFormatting sqref="G297">
    <cfRule type="expression" dxfId="8148" priority="11395">
      <formula>$E$7&lt;&gt;"Yes"</formula>
    </cfRule>
  </conditionalFormatting>
  <conditionalFormatting sqref="M297 F297:J297">
    <cfRule type="expression" dxfId="8147" priority="11397">
      <formula>$E$7&lt;&gt;"Yes"</formula>
    </cfRule>
  </conditionalFormatting>
  <conditionalFormatting sqref="M297 F297:J297">
    <cfRule type="expression" dxfId="8146" priority="11396">
      <formula>$E297&lt;&gt;"Yes"</formula>
    </cfRule>
  </conditionalFormatting>
  <conditionalFormatting sqref="K297:L297">
    <cfRule type="expression" dxfId="8145" priority="11394">
      <formula>$E$7&lt;&gt;"Yes"</formula>
    </cfRule>
  </conditionalFormatting>
  <conditionalFormatting sqref="K297:L297">
    <cfRule type="expression" dxfId="8144" priority="11393">
      <formula>$E297&lt;&gt;"Yes"</formula>
    </cfRule>
  </conditionalFormatting>
  <conditionalFormatting sqref="W297">
    <cfRule type="expression" dxfId="8143" priority="11388">
      <formula>$E$7&lt;&gt;"Yes"</formula>
    </cfRule>
  </conditionalFormatting>
  <conditionalFormatting sqref="W297">
    <cfRule type="expression" dxfId="8142" priority="11387">
      <formula>$E297&lt;&gt;"Yes"</formula>
    </cfRule>
  </conditionalFormatting>
  <conditionalFormatting sqref="Q297">
    <cfRule type="expression" dxfId="8141" priority="11374">
      <formula>$E$7&lt;&gt;"Yes"</formula>
    </cfRule>
  </conditionalFormatting>
  <conditionalFormatting sqref="Q297">
    <cfRule type="expression" dxfId="8140" priority="11373">
      <formula>$E297&lt;&gt;"Yes"</formula>
    </cfRule>
  </conditionalFormatting>
  <conditionalFormatting sqref="AE297">
    <cfRule type="expression" dxfId="8139" priority="11368">
      <formula>$E$7&lt;&gt;"Yes"</formula>
    </cfRule>
  </conditionalFormatting>
  <conditionalFormatting sqref="AE297">
    <cfRule type="expression" dxfId="8138" priority="11367">
      <formula>$E297&lt;&gt;"Yes"</formula>
    </cfRule>
  </conditionalFormatting>
  <conditionalFormatting sqref="G301">
    <cfRule type="expression" dxfId="8137" priority="11360">
      <formula>$E$7&lt;&gt;"Yes"</formula>
    </cfRule>
  </conditionalFormatting>
  <conditionalFormatting sqref="F301:J301 M301">
    <cfRule type="expression" dxfId="8136" priority="11362">
      <formula>$E$7&lt;&gt;"Yes"</formula>
    </cfRule>
  </conditionalFormatting>
  <conditionalFormatting sqref="F301:J301 M301">
    <cfRule type="expression" dxfId="8135" priority="11361">
      <formula>$E301&lt;&gt;"Yes"</formula>
    </cfRule>
  </conditionalFormatting>
  <conditionalFormatting sqref="K301:L301">
    <cfRule type="expression" dxfId="8134" priority="11359">
      <formula>$E$7&lt;&gt;"Yes"</formula>
    </cfRule>
  </conditionalFormatting>
  <conditionalFormatting sqref="K301:L301">
    <cfRule type="expression" dxfId="8133" priority="11358">
      <formula>$E301&lt;&gt;"Yes"</formula>
    </cfRule>
  </conditionalFormatting>
  <conditionalFormatting sqref="W301">
    <cfRule type="expression" dxfId="8132" priority="11353">
      <formula>$E$7&lt;&gt;"Yes"</formula>
    </cfRule>
  </conditionalFormatting>
  <conditionalFormatting sqref="W301">
    <cfRule type="expression" dxfId="8131" priority="11352">
      <formula>$E301&lt;&gt;"Yes"</formula>
    </cfRule>
  </conditionalFormatting>
  <conditionalFormatting sqref="Q301">
    <cfRule type="expression" dxfId="8130" priority="11339">
      <formula>$E$7&lt;&gt;"Yes"</formula>
    </cfRule>
  </conditionalFormatting>
  <conditionalFormatting sqref="Q301">
    <cfRule type="expression" dxfId="8129" priority="11338">
      <formula>$E301&lt;&gt;"Yes"</formula>
    </cfRule>
  </conditionalFormatting>
  <conditionalFormatting sqref="AE301">
    <cfRule type="expression" dxfId="8128" priority="11333">
      <formula>$E$7&lt;&gt;"Yes"</formula>
    </cfRule>
  </conditionalFormatting>
  <conditionalFormatting sqref="AE301">
    <cfRule type="expression" dxfId="8127" priority="11332">
      <formula>$E301&lt;&gt;"Yes"</formula>
    </cfRule>
  </conditionalFormatting>
  <conditionalFormatting sqref="G312">
    <cfRule type="expression" dxfId="8126" priority="11325">
      <formula>$E$7&lt;&gt;"Yes"</formula>
    </cfRule>
  </conditionalFormatting>
  <conditionalFormatting sqref="M312 F312:J312">
    <cfRule type="expression" dxfId="8125" priority="11327">
      <formula>$E$7&lt;&gt;"Yes"</formula>
    </cfRule>
  </conditionalFormatting>
  <conditionalFormatting sqref="M312 F312:J312">
    <cfRule type="expression" dxfId="8124" priority="11326">
      <formula>$E312&lt;&gt;"Yes"</formula>
    </cfRule>
  </conditionalFormatting>
  <conditionalFormatting sqref="K312:L312">
    <cfRule type="expression" dxfId="8123" priority="11324">
      <formula>$E$7&lt;&gt;"Yes"</formula>
    </cfRule>
  </conditionalFormatting>
  <conditionalFormatting sqref="K312:L312">
    <cfRule type="expression" dxfId="8122" priority="11323">
      <formula>$E312&lt;&gt;"Yes"</formula>
    </cfRule>
  </conditionalFormatting>
  <conditionalFormatting sqref="W312">
    <cfRule type="expression" dxfId="8121" priority="11318">
      <formula>$E$7&lt;&gt;"Yes"</formula>
    </cfRule>
  </conditionalFormatting>
  <conditionalFormatting sqref="W312">
    <cfRule type="expression" dxfId="8120" priority="11317">
      <formula>$E312&lt;&gt;"Yes"</formula>
    </cfRule>
  </conditionalFormatting>
  <conditionalFormatting sqref="Q312">
    <cfRule type="expression" dxfId="8119" priority="11304">
      <formula>$E$7&lt;&gt;"Yes"</formula>
    </cfRule>
  </conditionalFormatting>
  <conditionalFormatting sqref="Q312">
    <cfRule type="expression" dxfId="8118" priority="11303">
      <formula>$E312&lt;&gt;"Yes"</formula>
    </cfRule>
  </conditionalFormatting>
  <conditionalFormatting sqref="AE312">
    <cfRule type="expression" dxfId="8117" priority="11298">
      <formula>$E$7&lt;&gt;"Yes"</formula>
    </cfRule>
  </conditionalFormatting>
  <conditionalFormatting sqref="AE312">
    <cfRule type="expression" dxfId="8116" priority="11297">
      <formula>$E312&lt;&gt;"Yes"</formula>
    </cfRule>
  </conditionalFormatting>
  <conditionalFormatting sqref="G316">
    <cfRule type="expression" dxfId="8115" priority="11290">
      <formula>$E$7&lt;&gt;"Yes"</formula>
    </cfRule>
  </conditionalFormatting>
  <conditionalFormatting sqref="F316:J316 M316">
    <cfRule type="expression" dxfId="8114" priority="11292">
      <formula>$E$7&lt;&gt;"Yes"</formula>
    </cfRule>
  </conditionalFormatting>
  <conditionalFormatting sqref="F316:J316 M316">
    <cfRule type="expression" dxfId="8113" priority="11291">
      <formula>$E316&lt;&gt;"Yes"</formula>
    </cfRule>
  </conditionalFormatting>
  <conditionalFormatting sqref="K316:L316">
    <cfRule type="expression" dxfId="8112" priority="11289">
      <formula>$E$7&lt;&gt;"Yes"</formula>
    </cfRule>
  </conditionalFormatting>
  <conditionalFormatting sqref="K316:L316">
    <cfRule type="expression" dxfId="8111" priority="11288">
      <formula>$E316&lt;&gt;"Yes"</formula>
    </cfRule>
  </conditionalFormatting>
  <conditionalFormatting sqref="W316">
    <cfRule type="expression" dxfId="8110" priority="11283">
      <formula>$E$7&lt;&gt;"Yes"</formula>
    </cfRule>
  </conditionalFormatting>
  <conditionalFormatting sqref="W316">
    <cfRule type="expression" dxfId="8109" priority="11282">
      <formula>$E316&lt;&gt;"Yes"</formula>
    </cfRule>
  </conditionalFormatting>
  <conditionalFormatting sqref="Q316">
    <cfRule type="expression" dxfId="8108" priority="11269">
      <formula>$E$7&lt;&gt;"Yes"</formula>
    </cfRule>
  </conditionalFormatting>
  <conditionalFormatting sqref="Q316">
    <cfRule type="expression" dxfId="8107" priority="11268">
      <formula>$E316&lt;&gt;"Yes"</formula>
    </cfRule>
  </conditionalFormatting>
  <conditionalFormatting sqref="AE316">
    <cfRule type="expression" dxfId="8106" priority="11263">
      <formula>$E$7&lt;&gt;"Yes"</formula>
    </cfRule>
  </conditionalFormatting>
  <conditionalFormatting sqref="AE316">
    <cfRule type="expression" dxfId="8105" priority="11262">
      <formula>$E316&lt;&gt;"Yes"</formula>
    </cfRule>
  </conditionalFormatting>
  <conditionalFormatting sqref="G319">
    <cfRule type="expression" dxfId="8104" priority="11255">
      <formula>$E$7&lt;&gt;"Yes"</formula>
    </cfRule>
  </conditionalFormatting>
  <conditionalFormatting sqref="M319 F319:J319">
    <cfRule type="expression" dxfId="8103" priority="11257">
      <formula>$E$7&lt;&gt;"Yes"</formula>
    </cfRule>
  </conditionalFormatting>
  <conditionalFormatting sqref="M319 F319:J319">
    <cfRule type="expression" dxfId="8102" priority="11256">
      <formula>$E319&lt;&gt;"Yes"</formula>
    </cfRule>
  </conditionalFormatting>
  <conditionalFormatting sqref="K319:L319">
    <cfRule type="expression" dxfId="8101" priority="11254">
      <formula>$E$7&lt;&gt;"Yes"</formula>
    </cfRule>
  </conditionalFormatting>
  <conditionalFormatting sqref="K319:L319">
    <cfRule type="expression" dxfId="8100" priority="11253">
      <formula>$E319&lt;&gt;"Yes"</formula>
    </cfRule>
  </conditionalFormatting>
  <conditionalFormatting sqref="W319">
    <cfRule type="expression" dxfId="8099" priority="11248">
      <formula>$E$7&lt;&gt;"Yes"</formula>
    </cfRule>
  </conditionalFormatting>
  <conditionalFormatting sqref="W319">
    <cfRule type="expression" dxfId="8098" priority="11247">
      <formula>$E319&lt;&gt;"Yes"</formula>
    </cfRule>
  </conditionalFormatting>
  <conditionalFormatting sqref="Q319">
    <cfRule type="expression" dxfId="8097" priority="11234">
      <formula>$E$7&lt;&gt;"Yes"</formula>
    </cfRule>
  </conditionalFormatting>
  <conditionalFormatting sqref="Q319">
    <cfRule type="expression" dxfId="8096" priority="11233">
      <formula>$E319&lt;&gt;"Yes"</formula>
    </cfRule>
  </conditionalFormatting>
  <conditionalFormatting sqref="AE319">
    <cfRule type="expression" dxfId="8095" priority="11228">
      <formula>$E$7&lt;&gt;"Yes"</formula>
    </cfRule>
  </conditionalFormatting>
  <conditionalFormatting sqref="AE319">
    <cfRule type="expression" dxfId="8094" priority="11227">
      <formula>$E319&lt;&gt;"Yes"</formula>
    </cfRule>
  </conditionalFormatting>
  <conditionalFormatting sqref="G329">
    <cfRule type="expression" dxfId="8093" priority="11220">
      <formula>$E$7&lt;&gt;"Yes"</formula>
    </cfRule>
  </conditionalFormatting>
  <conditionalFormatting sqref="M329 F329:J329">
    <cfRule type="expression" dxfId="8092" priority="11222">
      <formula>$E$7&lt;&gt;"Yes"</formula>
    </cfRule>
  </conditionalFormatting>
  <conditionalFormatting sqref="M329 F329:J329">
    <cfRule type="expression" dxfId="8091" priority="11221">
      <formula>$E329&lt;&gt;"Yes"</formula>
    </cfRule>
  </conditionalFormatting>
  <conditionalFormatting sqref="K329:L329">
    <cfRule type="expression" dxfId="8090" priority="11219">
      <formula>$E$7&lt;&gt;"Yes"</formula>
    </cfRule>
  </conditionalFormatting>
  <conditionalFormatting sqref="K329:L329">
    <cfRule type="expression" dxfId="8089" priority="11218">
      <formula>$E329&lt;&gt;"Yes"</formula>
    </cfRule>
  </conditionalFormatting>
  <conditionalFormatting sqref="W329">
    <cfRule type="expression" dxfId="8088" priority="11213">
      <formula>$E$7&lt;&gt;"Yes"</formula>
    </cfRule>
  </conditionalFormatting>
  <conditionalFormatting sqref="W329">
    <cfRule type="expression" dxfId="8087" priority="11212">
      <formula>$E329&lt;&gt;"Yes"</formula>
    </cfRule>
  </conditionalFormatting>
  <conditionalFormatting sqref="Q329">
    <cfRule type="expression" dxfId="8086" priority="11199">
      <formula>$E$7&lt;&gt;"Yes"</formula>
    </cfRule>
  </conditionalFormatting>
  <conditionalFormatting sqref="Q329">
    <cfRule type="expression" dxfId="8085" priority="11198">
      <formula>$E329&lt;&gt;"Yes"</formula>
    </cfRule>
  </conditionalFormatting>
  <conditionalFormatting sqref="AE329">
    <cfRule type="expression" dxfId="8084" priority="11193">
      <formula>$E$7&lt;&gt;"Yes"</formula>
    </cfRule>
  </conditionalFormatting>
  <conditionalFormatting sqref="AE329">
    <cfRule type="expression" dxfId="8083" priority="11192">
      <formula>$E329&lt;&gt;"Yes"</formula>
    </cfRule>
  </conditionalFormatting>
  <conditionalFormatting sqref="G326">
    <cfRule type="expression" dxfId="8082" priority="11185">
      <formula>$E$7&lt;&gt;"Yes"</formula>
    </cfRule>
  </conditionalFormatting>
  <conditionalFormatting sqref="F326:J326 M326">
    <cfRule type="expression" dxfId="8081" priority="11187">
      <formula>$E$7&lt;&gt;"Yes"</formula>
    </cfRule>
  </conditionalFormatting>
  <conditionalFormatting sqref="F326:J326 M326">
    <cfRule type="expression" dxfId="8080" priority="11186">
      <formula>$E326&lt;&gt;"Yes"</formula>
    </cfRule>
  </conditionalFormatting>
  <conditionalFormatting sqref="K326:L326">
    <cfRule type="expression" dxfId="8079" priority="11184">
      <formula>$E$7&lt;&gt;"Yes"</formula>
    </cfRule>
  </conditionalFormatting>
  <conditionalFormatting sqref="K326:L326">
    <cfRule type="expression" dxfId="8078" priority="11183">
      <formula>$E326&lt;&gt;"Yes"</formula>
    </cfRule>
  </conditionalFormatting>
  <conditionalFormatting sqref="W326">
    <cfRule type="expression" dxfId="8077" priority="11178">
      <formula>$E$7&lt;&gt;"Yes"</formula>
    </cfRule>
  </conditionalFormatting>
  <conditionalFormatting sqref="W326">
    <cfRule type="expression" dxfId="8076" priority="11177">
      <formula>$E326&lt;&gt;"Yes"</formula>
    </cfRule>
  </conditionalFormatting>
  <conditionalFormatting sqref="Q326">
    <cfRule type="expression" dxfId="8075" priority="11164">
      <formula>$E$7&lt;&gt;"Yes"</formula>
    </cfRule>
  </conditionalFormatting>
  <conditionalFormatting sqref="Q326">
    <cfRule type="expression" dxfId="8074" priority="11163">
      <formula>$E326&lt;&gt;"Yes"</formula>
    </cfRule>
  </conditionalFormatting>
  <conditionalFormatting sqref="AE326">
    <cfRule type="expression" dxfId="8073" priority="11158">
      <formula>$E$7&lt;&gt;"Yes"</formula>
    </cfRule>
  </conditionalFormatting>
  <conditionalFormatting sqref="AE326">
    <cfRule type="expression" dxfId="8072" priority="11157">
      <formula>$E326&lt;&gt;"Yes"</formula>
    </cfRule>
  </conditionalFormatting>
  <conditionalFormatting sqref="G322">
    <cfRule type="expression" dxfId="8071" priority="11150">
      <formula>$E$7&lt;&gt;"Yes"</formula>
    </cfRule>
  </conditionalFormatting>
  <conditionalFormatting sqref="M322 F322:J322">
    <cfRule type="expression" dxfId="8070" priority="11152">
      <formula>$E$7&lt;&gt;"Yes"</formula>
    </cfRule>
  </conditionalFormatting>
  <conditionalFormatting sqref="M322 F322:J322">
    <cfRule type="expression" dxfId="8069" priority="11151">
      <formula>$E322&lt;&gt;"Yes"</formula>
    </cfRule>
  </conditionalFormatting>
  <conditionalFormatting sqref="K322:L322">
    <cfRule type="expression" dxfId="8068" priority="11149">
      <formula>$E$7&lt;&gt;"Yes"</formula>
    </cfRule>
  </conditionalFormatting>
  <conditionalFormatting sqref="K322:L322">
    <cfRule type="expression" dxfId="8067" priority="11148">
      <formula>$E322&lt;&gt;"Yes"</formula>
    </cfRule>
  </conditionalFormatting>
  <conditionalFormatting sqref="W322">
    <cfRule type="expression" dxfId="8066" priority="11143">
      <formula>$E$7&lt;&gt;"Yes"</formula>
    </cfRule>
  </conditionalFormatting>
  <conditionalFormatting sqref="W322">
    <cfRule type="expression" dxfId="8065" priority="11142">
      <formula>$E322&lt;&gt;"Yes"</formula>
    </cfRule>
  </conditionalFormatting>
  <conditionalFormatting sqref="Q322">
    <cfRule type="expression" dxfId="8064" priority="11129">
      <formula>$E$7&lt;&gt;"Yes"</formula>
    </cfRule>
  </conditionalFormatting>
  <conditionalFormatting sqref="Q322">
    <cfRule type="expression" dxfId="8063" priority="11128">
      <formula>$E322&lt;&gt;"Yes"</formula>
    </cfRule>
  </conditionalFormatting>
  <conditionalFormatting sqref="AE322">
    <cfRule type="expression" dxfId="8062" priority="11123">
      <formula>$E$7&lt;&gt;"Yes"</formula>
    </cfRule>
  </conditionalFormatting>
  <conditionalFormatting sqref="AE322">
    <cfRule type="expression" dxfId="8061" priority="11122">
      <formula>$E322&lt;&gt;"Yes"</formula>
    </cfRule>
  </conditionalFormatting>
  <conditionalFormatting sqref="G11">
    <cfRule type="expression" dxfId="8060" priority="11115">
      <formula>$E$7&lt;&gt;"Yes"</formula>
    </cfRule>
  </conditionalFormatting>
  <conditionalFormatting sqref="M11 F11:J11 Q11">
    <cfRule type="expression" dxfId="8059" priority="11117">
      <formula>$E$7&lt;&gt;"Yes"</formula>
    </cfRule>
  </conditionalFormatting>
  <conditionalFormatting sqref="M11 F11:J11 Q11">
    <cfRule type="expression" dxfId="8058" priority="11116">
      <formula>$E11&lt;&gt;"Yes"</formula>
    </cfRule>
  </conditionalFormatting>
  <conditionalFormatting sqref="K11:L11">
    <cfRule type="expression" dxfId="8057" priority="11114">
      <formula>$E$7&lt;&gt;"Yes"</formula>
    </cfRule>
  </conditionalFormatting>
  <conditionalFormatting sqref="K11:L11">
    <cfRule type="expression" dxfId="8056" priority="11113">
      <formula>$E11&lt;&gt;"Yes"</formula>
    </cfRule>
  </conditionalFormatting>
  <conditionalFormatting sqref="G24">
    <cfRule type="expression" dxfId="8055" priority="11084">
      <formula>$E$7&lt;&gt;"Yes"</formula>
    </cfRule>
  </conditionalFormatting>
  <conditionalFormatting sqref="M24 F24:J24 Q24">
    <cfRule type="expression" dxfId="8054" priority="11086">
      <formula>$E$7&lt;&gt;"Yes"</formula>
    </cfRule>
  </conditionalFormatting>
  <conditionalFormatting sqref="M24 F24:J24 Q24">
    <cfRule type="expression" dxfId="8053" priority="11085">
      <formula>$E24&lt;&gt;"Yes"</formula>
    </cfRule>
  </conditionalFormatting>
  <conditionalFormatting sqref="W11">
    <cfRule type="expression" dxfId="8052" priority="11110">
      <formula>$E$7&lt;&gt;"Yes"</formula>
    </cfRule>
  </conditionalFormatting>
  <conditionalFormatting sqref="W11">
    <cfRule type="expression" dxfId="8051" priority="11109">
      <formula>$E11&lt;&gt;"Yes"</formula>
    </cfRule>
  </conditionalFormatting>
  <conditionalFormatting sqref="AE11">
    <cfRule type="expression" dxfId="8050" priority="11092">
      <formula>$E$7&lt;&gt;"Yes"</formula>
    </cfRule>
  </conditionalFormatting>
  <conditionalFormatting sqref="AE11">
    <cfRule type="expression" dxfId="8049" priority="11091">
      <formula>$E11&lt;&gt;"Yes"</formula>
    </cfRule>
  </conditionalFormatting>
  <conditionalFormatting sqref="N11">
    <cfRule type="expression" dxfId="8048" priority="11088">
      <formula>$E$7&lt;&gt;"Yes"</formula>
    </cfRule>
  </conditionalFormatting>
  <conditionalFormatting sqref="N11">
    <cfRule type="expression" dxfId="8047" priority="11087">
      <formula>$E11&lt;&gt;"Yes"</formula>
    </cfRule>
  </conditionalFormatting>
  <conditionalFormatting sqref="K24:L24">
    <cfRule type="expression" dxfId="8046" priority="11083">
      <formula>$E$7&lt;&gt;"Yes"</formula>
    </cfRule>
  </conditionalFormatting>
  <conditionalFormatting sqref="K24:L24">
    <cfRule type="expression" dxfId="8045" priority="11082">
      <formula>$E24&lt;&gt;"Yes"</formula>
    </cfRule>
  </conditionalFormatting>
  <conditionalFormatting sqref="G219">
    <cfRule type="expression" dxfId="8044" priority="11053">
      <formula>$E$7&lt;&gt;"Yes"</formula>
    </cfRule>
  </conditionalFormatting>
  <conditionalFormatting sqref="F219:J219 M219 Q219">
    <cfRule type="expression" dxfId="8043" priority="11055">
      <formula>$E$7&lt;&gt;"Yes"</formula>
    </cfRule>
  </conditionalFormatting>
  <conditionalFormatting sqref="F219:J219 M219 Q219">
    <cfRule type="expression" dxfId="8042" priority="11054">
      <formula>$E219&lt;&gt;"Yes"</formula>
    </cfRule>
  </conditionalFormatting>
  <conditionalFormatting sqref="W24">
    <cfRule type="expression" dxfId="8041" priority="11079">
      <formula>$E$7&lt;&gt;"Yes"</formula>
    </cfRule>
  </conditionalFormatting>
  <conditionalFormatting sqref="W24">
    <cfRule type="expression" dxfId="8040" priority="11078">
      <formula>$E24&lt;&gt;"Yes"</formula>
    </cfRule>
  </conditionalFormatting>
  <conditionalFormatting sqref="AE24">
    <cfRule type="expression" dxfId="8039" priority="11061">
      <formula>$E$7&lt;&gt;"Yes"</formula>
    </cfRule>
  </conditionalFormatting>
  <conditionalFormatting sqref="AE24">
    <cfRule type="expression" dxfId="8038" priority="11060">
      <formula>$E24&lt;&gt;"Yes"</formula>
    </cfRule>
  </conditionalFormatting>
  <conditionalFormatting sqref="N24">
    <cfRule type="expression" dxfId="8037" priority="11057">
      <formula>$E$7&lt;&gt;"Yes"</formula>
    </cfRule>
  </conditionalFormatting>
  <conditionalFormatting sqref="N24">
    <cfRule type="expression" dxfId="8036" priority="11056">
      <formula>$E24&lt;&gt;"Yes"</formula>
    </cfRule>
  </conditionalFormatting>
  <conditionalFormatting sqref="K219:L219">
    <cfRule type="expression" dxfId="8035" priority="11052">
      <formula>$E$7&lt;&gt;"Yes"</formula>
    </cfRule>
  </conditionalFormatting>
  <conditionalFormatting sqref="K219:L219">
    <cfRule type="expression" dxfId="8034" priority="11051">
      <formula>$E219&lt;&gt;"Yes"</formula>
    </cfRule>
  </conditionalFormatting>
  <conditionalFormatting sqref="G220">
    <cfRule type="expression" dxfId="8033" priority="11024">
      <formula>$E$7&lt;&gt;"Yes"</formula>
    </cfRule>
  </conditionalFormatting>
  <conditionalFormatting sqref="W219">
    <cfRule type="expression" dxfId="8032" priority="11048">
      <formula>$E$7&lt;&gt;"Yes"</formula>
    </cfRule>
  </conditionalFormatting>
  <conditionalFormatting sqref="W219">
    <cfRule type="expression" dxfId="8031" priority="11047">
      <formula>$E219&lt;&gt;"Yes"</formula>
    </cfRule>
  </conditionalFormatting>
  <conditionalFormatting sqref="F220:J220 M220 Q220">
    <cfRule type="expression" dxfId="8030" priority="11026">
      <formula>$E$7&lt;&gt;"Yes"</formula>
    </cfRule>
  </conditionalFormatting>
  <conditionalFormatting sqref="F220:J220 M220 Q220">
    <cfRule type="expression" dxfId="8029" priority="11025">
      <formula>$E220&lt;&gt;"Yes"</formula>
    </cfRule>
  </conditionalFormatting>
  <conditionalFormatting sqref="K220:L220">
    <cfRule type="expression" dxfId="8028" priority="11023">
      <formula>$E$7&lt;&gt;"Yes"</formula>
    </cfRule>
  </conditionalFormatting>
  <conditionalFormatting sqref="K220:L220">
    <cfRule type="expression" dxfId="8027" priority="11022">
      <formula>$E220&lt;&gt;"Yes"</formula>
    </cfRule>
  </conditionalFormatting>
  <conditionalFormatting sqref="G298">
    <cfRule type="expression" dxfId="8026" priority="10993">
      <formula>$E$7&lt;&gt;"Yes"</formula>
    </cfRule>
  </conditionalFormatting>
  <conditionalFormatting sqref="M298 F298:J298">
    <cfRule type="expression" dxfId="8025" priority="10995">
      <formula>$E$7&lt;&gt;"Yes"</formula>
    </cfRule>
  </conditionalFormatting>
  <conditionalFormatting sqref="M298 F298:J298">
    <cfRule type="expression" dxfId="8024" priority="10994">
      <formula>$E298&lt;&gt;"Yes"</formula>
    </cfRule>
  </conditionalFormatting>
  <conditionalFormatting sqref="W220">
    <cfRule type="expression" dxfId="8023" priority="11019">
      <formula>$E$7&lt;&gt;"Yes"</formula>
    </cfRule>
  </conditionalFormatting>
  <conditionalFormatting sqref="W220">
    <cfRule type="expression" dxfId="8022" priority="11018">
      <formula>$E220&lt;&gt;"Yes"</formula>
    </cfRule>
  </conditionalFormatting>
  <conditionalFormatting sqref="N219:N220">
    <cfRule type="expression" dxfId="8021" priority="10997">
      <formula>$E$7&lt;&gt;"Yes"</formula>
    </cfRule>
  </conditionalFormatting>
  <conditionalFormatting sqref="N219:N220">
    <cfRule type="expression" dxfId="8020" priority="10996">
      <formula>$E219&lt;&gt;"Yes"</formula>
    </cfRule>
  </conditionalFormatting>
  <conditionalFormatting sqref="K298:L298">
    <cfRule type="expression" dxfId="8019" priority="10992">
      <formula>$E$7&lt;&gt;"Yes"</formula>
    </cfRule>
  </conditionalFormatting>
  <conditionalFormatting sqref="K298:L298">
    <cfRule type="expression" dxfId="8018" priority="10991">
      <formula>$E298&lt;&gt;"Yes"</formula>
    </cfRule>
  </conditionalFormatting>
  <conditionalFormatting sqref="W298">
    <cfRule type="expression" dxfId="8017" priority="10986">
      <formula>$E$7&lt;&gt;"Yes"</formula>
    </cfRule>
  </conditionalFormatting>
  <conditionalFormatting sqref="W298">
    <cfRule type="expression" dxfId="8016" priority="10985">
      <formula>$E298&lt;&gt;"Yes"</formula>
    </cfRule>
  </conditionalFormatting>
  <conditionalFormatting sqref="Q298">
    <cfRule type="expression" dxfId="8015" priority="10972">
      <formula>$E$7&lt;&gt;"Yes"</formula>
    </cfRule>
  </conditionalFormatting>
  <conditionalFormatting sqref="Q298">
    <cfRule type="expression" dxfId="8014" priority="10971">
      <formula>$E298&lt;&gt;"Yes"</formula>
    </cfRule>
  </conditionalFormatting>
  <conditionalFormatting sqref="AE298">
    <cfRule type="expression" dxfId="8013" priority="10966">
      <formula>$E$7&lt;&gt;"Yes"</formula>
    </cfRule>
  </conditionalFormatting>
  <conditionalFormatting sqref="AE298">
    <cfRule type="expression" dxfId="8012" priority="10965">
      <formula>$E298&lt;&gt;"Yes"</formula>
    </cfRule>
  </conditionalFormatting>
  <conditionalFormatting sqref="G313">
    <cfRule type="expression" dxfId="8011" priority="10958">
      <formula>$E$7&lt;&gt;"Yes"</formula>
    </cfRule>
  </conditionalFormatting>
  <conditionalFormatting sqref="M313 F313:J313">
    <cfRule type="expression" dxfId="8010" priority="10960">
      <formula>$E$7&lt;&gt;"Yes"</formula>
    </cfRule>
  </conditionalFormatting>
  <conditionalFormatting sqref="M313 F313:J313">
    <cfRule type="expression" dxfId="8009" priority="10959">
      <formula>$E313&lt;&gt;"Yes"</formula>
    </cfRule>
  </conditionalFormatting>
  <conditionalFormatting sqref="K313:L313">
    <cfRule type="expression" dxfId="8008" priority="10957">
      <formula>$E$7&lt;&gt;"Yes"</formula>
    </cfRule>
  </conditionalFormatting>
  <conditionalFormatting sqref="K313:L313">
    <cfRule type="expression" dxfId="8007" priority="10956">
      <formula>$E313&lt;&gt;"Yes"</formula>
    </cfRule>
  </conditionalFormatting>
  <conditionalFormatting sqref="W313">
    <cfRule type="expression" dxfId="8006" priority="10951">
      <formula>$E$7&lt;&gt;"Yes"</formula>
    </cfRule>
  </conditionalFormatting>
  <conditionalFormatting sqref="W313">
    <cfRule type="expression" dxfId="8005" priority="10950">
      <formula>$E313&lt;&gt;"Yes"</formula>
    </cfRule>
  </conditionalFormatting>
  <conditionalFormatting sqref="Q313">
    <cfRule type="expression" dxfId="8004" priority="10937">
      <formula>$E$7&lt;&gt;"Yes"</formula>
    </cfRule>
  </conditionalFormatting>
  <conditionalFormatting sqref="Q313">
    <cfRule type="expression" dxfId="8003" priority="10936">
      <formula>$E313&lt;&gt;"Yes"</formula>
    </cfRule>
  </conditionalFormatting>
  <conditionalFormatting sqref="AE313">
    <cfRule type="expression" dxfId="8002" priority="10931">
      <formula>$E$7&lt;&gt;"Yes"</formula>
    </cfRule>
  </conditionalFormatting>
  <conditionalFormatting sqref="AE313">
    <cfRule type="expression" dxfId="8001" priority="10930">
      <formula>$E313&lt;&gt;"Yes"</formula>
    </cfRule>
  </conditionalFormatting>
  <conditionalFormatting sqref="G323">
    <cfRule type="expression" dxfId="8000" priority="10923">
      <formula>$E$7&lt;&gt;"Yes"</formula>
    </cfRule>
  </conditionalFormatting>
  <conditionalFormatting sqref="M323 F323:J323">
    <cfRule type="expression" dxfId="7999" priority="10925">
      <formula>$E$7&lt;&gt;"Yes"</formula>
    </cfRule>
  </conditionalFormatting>
  <conditionalFormatting sqref="M323 F323:J323">
    <cfRule type="expression" dxfId="7998" priority="10924">
      <formula>$E323&lt;&gt;"Yes"</formula>
    </cfRule>
  </conditionalFormatting>
  <conditionalFormatting sqref="K323:L323">
    <cfRule type="expression" dxfId="7997" priority="10922">
      <formula>$E$7&lt;&gt;"Yes"</formula>
    </cfRule>
  </conditionalFormatting>
  <conditionalFormatting sqref="K323:L323">
    <cfRule type="expression" dxfId="7996" priority="10921">
      <formula>$E323&lt;&gt;"Yes"</formula>
    </cfRule>
  </conditionalFormatting>
  <conditionalFormatting sqref="W323">
    <cfRule type="expression" dxfId="7995" priority="10916">
      <formula>$E$7&lt;&gt;"Yes"</formula>
    </cfRule>
  </conditionalFormatting>
  <conditionalFormatting sqref="W323">
    <cfRule type="expression" dxfId="7994" priority="10915">
      <formula>$E323&lt;&gt;"Yes"</formula>
    </cfRule>
  </conditionalFormatting>
  <conditionalFormatting sqref="Q323">
    <cfRule type="expression" dxfId="7993" priority="10902">
      <formula>$E$7&lt;&gt;"Yes"</formula>
    </cfRule>
  </conditionalFormatting>
  <conditionalFormatting sqref="Q323">
    <cfRule type="expression" dxfId="7992" priority="10901">
      <formula>$E323&lt;&gt;"Yes"</formula>
    </cfRule>
  </conditionalFormatting>
  <conditionalFormatting sqref="AE323">
    <cfRule type="expression" dxfId="7991" priority="10896">
      <formula>$E$7&lt;&gt;"Yes"</formula>
    </cfRule>
  </conditionalFormatting>
  <conditionalFormatting sqref="AE323">
    <cfRule type="expression" dxfId="7990" priority="10895">
      <formula>$E323&lt;&gt;"Yes"</formula>
    </cfRule>
  </conditionalFormatting>
  <conditionalFormatting sqref="G238:G240">
    <cfRule type="expression" dxfId="7989" priority="10888">
      <formula>$E$7&lt;&gt;"Yes"</formula>
    </cfRule>
  </conditionalFormatting>
  <conditionalFormatting sqref="Q238:Q239 M238:M240 F238:J240">
    <cfRule type="expression" dxfId="7988" priority="10890">
      <formula>$E$7&lt;&gt;"Yes"</formula>
    </cfRule>
  </conditionalFormatting>
  <conditionalFormatting sqref="Q238:Q239 M238:M240 F238:J240">
    <cfRule type="expression" dxfId="7987" priority="10889">
      <formula>$E238&lt;&gt;"Yes"</formula>
    </cfRule>
  </conditionalFormatting>
  <conditionalFormatting sqref="K238:L240">
    <cfRule type="expression" dxfId="7986" priority="10887">
      <formula>$E$7&lt;&gt;"Yes"</formula>
    </cfRule>
  </conditionalFormatting>
  <conditionalFormatting sqref="K238:L240">
    <cfRule type="expression" dxfId="7985" priority="10886">
      <formula>$E238&lt;&gt;"Yes"</formula>
    </cfRule>
  </conditionalFormatting>
  <conditionalFormatting sqref="W238:W240">
    <cfRule type="expression" dxfId="7984" priority="10881">
      <formula>$E$7&lt;&gt;"Yes"</formula>
    </cfRule>
  </conditionalFormatting>
  <conditionalFormatting sqref="W238:W240">
    <cfRule type="expression" dxfId="7983" priority="10880">
      <formula>$E238&lt;&gt;"Yes"</formula>
    </cfRule>
  </conditionalFormatting>
  <conditionalFormatting sqref="Q240">
    <cfRule type="expression" dxfId="7982" priority="10867">
      <formula>$E$7&lt;&gt;"Yes"</formula>
    </cfRule>
  </conditionalFormatting>
  <conditionalFormatting sqref="Q240">
    <cfRule type="expression" dxfId="7981" priority="10866">
      <formula>$E240&lt;&gt;"Yes"</formula>
    </cfRule>
  </conditionalFormatting>
  <conditionalFormatting sqref="AE238:AE240">
    <cfRule type="expression" dxfId="7980" priority="10853">
      <formula>$E$7&lt;&gt;"Yes"</formula>
    </cfRule>
  </conditionalFormatting>
  <conditionalFormatting sqref="AE238:AE240">
    <cfRule type="expression" dxfId="7979" priority="10852">
      <formula>$E238&lt;&gt;"Yes"</formula>
    </cfRule>
  </conditionalFormatting>
  <conditionalFormatting sqref="N238:N240">
    <cfRule type="expression" dxfId="7978" priority="10849">
      <formula>$E$7&lt;&gt;"Yes"</formula>
    </cfRule>
  </conditionalFormatting>
  <conditionalFormatting sqref="N238:N240">
    <cfRule type="expression" dxfId="7977" priority="10848">
      <formula>$E238&lt;&gt;"Yes"</formula>
    </cfRule>
  </conditionalFormatting>
  <conditionalFormatting sqref="M265:M266 F265:J266">
    <cfRule type="expression" dxfId="7976" priority="10800">
      <formula>$E$7&lt;&gt;"Yes"</formula>
    </cfRule>
  </conditionalFormatting>
  <conditionalFormatting sqref="M265:M266 F265:J266">
    <cfRule type="expression" dxfId="7975" priority="10799">
      <formula>$E265&lt;&gt;"Yes"</formula>
    </cfRule>
  </conditionalFormatting>
  <conditionalFormatting sqref="G265:G266">
    <cfRule type="expression" dxfId="7974" priority="10798">
      <formula>$E$7&lt;&gt;"Yes"</formula>
    </cfRule>
  </conditionalFormatting>
  <conditionalFormatting sqref="K265:L266">
    <cfRule type="expression" dxfId="7973" priority="10797">
      <formula>$E$7&lt;&gt;"Yes"</formula>
    </cfRule>
  </conditionalFormatting>
  <conditionalFormatting sqref="K265:L266">
    <cfRule type="expression" dxfId="7972" priority="10796">
      <formula>$E265&lt;&gt;"Yes"</formula>
    </cfRule>
  </conditionalFormatting>
  <conditionalFormatting sqref="Q265">
    <cfRule type="expression" dxfId="7971" priority="10795">
      <formula>$E$7&lt;&gt;"Yes"</formula>
    </cfRule>
  </conditionalFormatting>
  <conditionalFormatting sqref="Q265">
    <cfRule type="expression" dxfId="7970" priority="10794">
      <formula>$E265&lt;&gt;"Yes"</formula>
    </cfRule>
  </conditionalFormatting>
  <conditionalFormatting sqref="Q266">
    <cfRule type="expression" dxfId="7969" priority="10775">
      <formula>$E$7&lt;&gt;"Yes"</formula>
    </cfRule>
  </conditionalFormatting>
  <conditionalFormatting sqref="Q266">
    <cfRule type="expression" dxfId="7968" priority="10774">
      <formula>$E266&lt;&gt;"Yes"</formula>
    </cfRule>
  </conditionalFormatting>
  <conditionalFormatting sqref="AE265:AE266">
    <cfRule type="expression" dxfId="7967" priority="10765">
      <formula>$E$7&lt;&gt;"Yes"</formula>
    </cfRule>
  </conditionalFormatting>
  <conditionalFormatting sqref="AE265:AE266">
    <cfRule type="expression" dxfId="7966" priority="10764">
      <formula>$E265&lt;&gt;"Yes"</formula>
    </cfRule>
  </conditionalFormatting>
  <conditionalFormatting sqref="W265:W266">
    <cfRule type="expression" dxfId="7965" priority="10789">
      <formula>$E$7&lt;&gt;"Yes"</formula>
    </cfRule>
  </conditionalFormatting>
  <conditionalFormatting sqref="W265:W266">
    <cfRule type="expression" dxfId="7964" priority="10788">
      <formula>$E265&lt;&gt;"Yes"</formula>
    </cfRule>
  </conditionalFormatting>
  <conditionalFormatting sqref="G269:G270">
    <cfRule type="expression" dxfId="7963" priority="10757">
      <formula>$E$7&lt;&gt;"Yes"</formula>
    </cfRule>
  </conditionalFormatting>
  <conditionalFormatting sqref="Q269:Q270 F269:J270 M269:M270">
    <cfRule type="expression" dxfId="7962" priority="10759">
      <formula>$E$7&lt;&gt;"Yes"</formula>
    </cfRule>
  </conditionalFormatting>
  <conditionalFormatting sqref="Q269:Q270 F269:J270 M269:M270">
    <cfRule type="expression" dxfId="7961" priority="10758">
      <formula>$E269&lt;&gt;"Yes"</formula>
    </cfRule>
  </conditionalFormatting>
  <conditionalFormatting sqref="K269:L270">
    <cfRule type="expression" dxfId="7960" priority="10756">
      <formula>$E$7&lt;&gt;"Yes"</formula>
    </cfRule>
  </conditionalFormatting>
  <conditionalFormatting sqref="K269:L270">
    <cfRule type="expression" dxfId="7959" priority="10755">
      <formula>$E269&lt;&gt;"Yes"</formula>
    </cfRule>
  </conditionalFormatting>
  <conditionalFormatting sqref="G286">
    <cfRule type="expression" dxfId="7958" priority="10722">
      <formula>$E$7&lt;&gt;"Yes"</formula>
    </cfRule>
  </conditionalFormatting>
  <conditionalFormatting sqref="W269:W270">
    <cfRule type="expression" dxfId="7957" priority="10752">
      <formula>$E$7&lt;&gt;"Yes"</formula>
    </cfRule>
  </conditionalFormatting>
  <conditionalFormatting sqref="W269:W270">
    <cfRule type="expression" dxfId="7956" priority="10751">
      <formula>$E269&lt;&gt;"Yes"</formula>
    </cfRule>
  </conditionalFormatting>
  <conditionalFormatting sqref="AE269:AE270">
    <cfRule type="expression" dxfId="7955" priority="10730">
      <formula>$E$7&lt;&gt;"Yes"</formula>
    </cfRule>
  </conditionalFormatting>
  <conditionalFormatting sqref="AE269:AE270">
    <cfRule type="expression" dxfId="7954" priority="10729">
      <formula>$E269&lt;&gt;"Yes"</formula>
    </cfRule>
  </conditionalFormatting>
  <conditionalFormatting sqref="M286 F286:J286">
    <cfRule type="expression" dxfId="7953" priority="10724">
      <formula>$E$7&lt;&gt;"Yes"</formula>
    </cfRule>
  </conditionalFormatting>
  <conditionalFormatting sqref="M286 F286:J286">
    <cfRule type="expression" dxfId="7952" priority="10723">
      <formula>$E286&lt;&gt;"Yes"</formula>
    </cfRule>
  </conditionalFormatting>
  <conditionalFormatting sqref="K286:L286">
    <cfRule type="expression" dxfId="7951" priority="10721">
      <formula>$E$7&lt;&gt;"Yes"</formula>
    </cfRule>
  </conditionalFormatting>
  <conditionalFormatting sqref="K286:L286">
    <cfRule type="expression" dxfId="7950" priority="10720">
      <formula>$E286&lt;&gt;"Yes"</formula>
    </cfRule>
  </conditionalFormatting>
  <conditionalFormatting sqref="W286">
    <cfRule type="expression" dxfId="7949" priority="10715">
      <formula>$E$7&lt;&gt;"Yes"</formula>
    </cfRule>
  </conditionalFormatting>
  <conditionalFormatting sqref="W286">
    <cfRule type="expression" dxfId="7948" priority="10714">
      <formula>$E286&lt;&gt;"Yes"</formula>
    </cfRule>
  </conditionalFormatting>
  <conditionalFormatting sqref="Q286">
    <cfRule type="expression" dxfId="7947" priority="10701">
      <formula>$E$7&lt;&gt;"Yes"</formula>
    </cfRule>
  </conditionalFormatting>
  <conditionalFormatting sqref="Q286">
    <cfRule type="expression" dxfId="7946" priority="10700">
      <formula>$E286&lt;&gt;"Yes"</formula>
    </cfRule>
  </conditionalFormatting>
  <conditionalFormatting sqref="AE286">
    <cfRule type="expression" dxfId="7945" priority="10695">
      <formula>$E$7&lt;&gt;"Yes"</formula>
    </cfRule>
  </conditionalFormatting>
  <conditionalFormatting sqref="AE286">
    <cfRule type="expression" dxfId="7944" priority="10694">
      <formula>$E286&lt;&gt;"Yes"</formula>
    </cfRule>
  </conditionalFormatting>
  <conditionalFormatting sqref="G290">
    <cfRule type="expression" dxfId="7943" priority="10687">
      <formula>$E$7&lt;&gt;"Yes"</formula>
    </cfRule>
  </conditionalFormatting>
  <conditionalFormatting sqref="F290:G290 M290 I290:J290">
    <cfRule type="expression" dxfId="7942" priority="10689">
      <formula>$E$7&lt;&gt;"Yes"</formula>
    </cfRule>
  </conditionalFormatting>
  <conditionalFormatting sqref="F290:G290 M290 I290:J290">
    <cfRule type="expression" dxfId="7941" priority="10688">
      <formula>$E290&lt;&gt;"Yes"</formula>
    </cfRule>
  </conditionalFormatting>
  <conditionalFormatting sqref="K290:L290">
    <cfRule type="expression" dxfId="7940" priority="10686">
      <formula>$E$7&lt;&gt;"Yes"</formula>
    </cfRule>
  </conditionalFormatting>
  <conditionalFormatting sqref="K290:L290">
    <cfRule type="expression" dxfId="7939" priority="10685">
      <formula>$E290&lt;&gt;"Yes"</formula>
    </cfRule>
  </conditionalFormatting>
  <conditionalFormatting sqref="W290">
    <cfRule type="expression" dxfId="7938" priority="10680">
      <formula>$E$7&lt;&gt;"Yes"</formula>
    </cfRule>
  </conditionalFormatting>
  <conditionalFormatting sqref="W290">
    <cfRule type="expression" dxfId="7937" priority="10679">
      <formula>$E290&lt;&gt;"Yes"</formula>
    </cfRule>
  </conditionalFormatting>
  <conditionalFormatting sqref="Q290">
    <cfRule type="expression" dxfId="7936" priority="10666">
      <formula>$E$7&lt;&gt;"Yes"</formula>
    </cfRule>
  </conditionalFormatting>
  <conditionalFormatting sqref="Q290">
    <cfRule type="expression" dxfId="7935" priority="10665">
      <formula>$E290&lt;&gt;"Yes"</formula>
    </cfRule>
  </conditionalFormatting>
  <conditionalFormatting sqref="AE290">
    <cfRule type="expression" dxfId="7934" priority="10660">
      <formula>$E$7&lt;&gt;"Yes"</formula>
    </cfRule>
  </conditionalFormatting>
  <conditionalFormatting sqref="AE290">
    <cfRule type="expression" dxfId="7933" priority="10659">
      <formula>$E290&lt;&gt;"Yes"</formula>
    </cfRule>
  </conditionalFormatting>
  <conditionalFormatting sqref="G293">
    <cfRule type="expression" dxfId="7932" priority="10652">
      <formula>$E$7&lt;&gt;"Yes"</formula>
    </cfRule>
  </conditionalFormatting>
  <conditionalFormatting sqref="M293 F293:J293">
    <cfRule type="expression" dxfId="7931" priority="10654">
      <formula>$E$7&lt;&gt;"Yes"</formula>
    </cfRule>
  </conditionalFormatting>
  <conditionalFormatting sqref="M293 F293:J293">
    <cfRule type="expression" dxfId="7930" priority="10653">
      <formula>$E293&lt;&gt;"Yes"</formula>
    </cfRule>
  </conditionalFormatting>
  <conditionalFormatting sqref="K293:L293">
    <cfRule type="expression" dxfId="7929" priority="10651">
      <formula>$E$7&lt;&gt;"Yes"</formula>
    </cfRule>
  </conditionalFormatting>
  <conditionalFormatting sqref="K293:L293">
    <cfRule type="expression" dxfId="7928" priority="10650">
      <formula>$E293&lt;&gt;"Yes"</formula>
    </cfRule>
  </conditionalFormatting>
  <conditionalFormatting sqref="W293">
    <cfRule type="expression" dxfId="7927" priority="10645">
      <formula>$E$7&lt;&gt;"Yes"</formula>
    </cfRule>
  </conditionalFormatting>
  <conditionalFormatting sqref="W293">
    <cfRule type="expression" dxfId="7926" priority="10644">
      <formula>$E293&lt;&gt;"Yes"</formula>
    </cfRule>
  </conditionalFormatting>
  <conditionalFormatting sqref="Q293">
    <cfRule type="expression" dxfId="7925" priority="10631">
      <formula>$E$7&lt;&gt;"Yes"</formula>
    </cfRule>
  </conditionalFormatting>
  <conditionalFormatting sqref="Q293">
    <cfRule type="expression" dxfId="7924" priority="10630">
      <formula>$E293&lt;&gt;"Yes"</formula>
    </cfRule>
  </conditionalFormatting>
  <conditionalFormatting sqref="AE293">
    <cfRule type="expression" dxfId="7923" priority="10625">
      <formula>$E$7&lt;&gt;"Yes"</formula>
    </cfRule>
  </conditionalFormatting>
  <conditionalFormatting sqref="AE293">
    <cfRule type="expression" dxfId="7922" priority="10624">
      <formula>$E293&lt;&gt;"Yes"</formula>
    </cfRule>
  </conditionalFormatting>
  <conditionalFormatting sqref="G287">
    <cfRule type="expression" dxfId="7921" priority="10617">
      <formula>$E$7&lt;&gt;"Yes"</formula>
    </cfRule>
  </conditionalFormatting>
  <conditionalFormatting sqref="M287 F287:J287">
    <cfRule type="expression" dxfId="7920" priority="10619">
      <formula>$E$7&lt;&gt;"Yes"</formula>
    </cfRule>
  </conditionalFormatting>
  <conditionalFormatting sqref="M287 F287:J287">
    <cfRule type="expression" dxfId="7919" priority="10618">
      <formula>$E287&lt;&gt;"Yes"</formula>
    </cfRule>
  </conditionalFormatting>
  <conditionalFormatting sqref="K287:L287">
    <cfRule type="expression" dxfId="7918" priority="10616">
      <formula>$E$7&lt;&gt;"Yes"</formula>
    </cfRule>
  </conditionalFormatting>
  <conditionalFormatting sqref="K287:L287">
    <cfRule type="expression" dxfId="7917" priority="10615">
      <formula>$E287&lt;&gt;"Yes"</formula>
    </cfRule>
  </conditionalFormatting>
  <conditionalFormatting sqref="W287">
    <cfRule type="expression" dxfId="7916" priority="10610">
      <formula>$E$7&lt;&gt;"Yes"</formula>
    </cfRule>
  </conditionalFormatting>
  <conditionalFormatting sqref="W287">
    <cfRule type="expression" dxfId="7915" priority="10609">
      <formula>$E287&lt;&gt;"Yes"</formula>
    </cfRule>
  </conditionalFormatting>
  <conditionalFormatting sqref="Q287">
    <cfRule type="expression" dxfId="7914" priority="10596">
      <formula>$E$7&lt;&gt;"Yes"</formula>
    </cfRule>
  </conditionalFormatting>
  <conditionalFormatting sqref="Q287">
    <cfRule type="expression" dxfId="7913" priority="10595">
      <formula>$E287&lt;&gt;"Yes"</formula>
    </cfRule>
  </conditionalFormatting>
  <conditionalFormatting sqref="AE287">
    <cfRule type="expression" dxfId="7912" priority="10590">
      <formula>$E$7&lt;&gt;"Yes"</formula>
    </cfRule>
  </conditionalFormatting>
  <conditionalFormatting sqref="AE287">
    <cfRule type="expression" dxfId="7911" priority="10589">
      <formula>$E287&lt;&gt;"Yes"</formula>
    </cfRule>
  </conditionalFormatting>
  <conditionalFormatting sqref="G380">
    <cfRule type="expression" dxfId="7910" priority="10582">
      <formula>$E$7&lt;&gt;"Yes"</formula>
    </cfRule>
  </conditionalFormatting>
  <conditionalFormatting sqref="M380 F380:J380 Q380">
    <cfRule type="expression" dxfId="7909" priority="10584">
      <formula>$E$7&lt;&gt;"Yes"</formula>
    </cfRule>
  </conditionalFormatting>
  <conditionalFormatting sqref="M380 F380:J380 Q380">
    <cfRule type="expression" dxfId="7908" priority="10583">
      <formula>$E380&lt;&gt;"Yes"</formula>
    </cfRule>
  </conditionalFormatting>
  <conditionalFormatting sqref="K380:L380">
    <cfRule type="expression" dxfId="7907" priority="10581">
      <formula>$E$7&lt;&gt;"Yes"</formula>
    </cfRule>
  </conditionalFormatting>
  <conditionalFormatting sqref="K380:L380">
    <cfRule type="expression" dxfId="7906" priority="10580">
      <formula>$E380&lt;&gt;"Yes"</formula>
    </cfRule>
  </conditionalFormatting>
  <conditionalFormatting sqref="G381">
    <cfRule type="expression" dxfId="7905" priority="10551">
      <formula>$E$7&lt;&gt;"Yes"</formula>
    </cfRule>
  </conditionalFormatting>
  <conditionalFormatting sqref="M381 F381:J381 Q381">
    <cfRule type="expression" dxfId="7904" priority="10553">
      <formula>$E$7&lt;&gt;"Yes"</formula>
    </cfRule>
  </conditionalFormatting>
  <conditionalFormatting sqref="M381 F381:J381 Q381">
    <cfRule type="expression" dxfId="7903" priority="10552">
      <formula>$E381&lt;&gt;"Yes"</formula>
    </cfRule>
  </conditionalFormatting>
  <conditionalFormatting sqref="W380">
    <cfRule type="expression" dxfId="7902" priority="10577">
      <formula>$E$7&lt;&gt;"Yes"</formula>
    </cfRule>
  </conditionalFormatting>
  <conditionalFormatting sqref="W380">
    <cfRule type="expression" dxfId="7901" priority="10576">
      <formula>$E380&lt;&gt;"Yes"</formula>
    </cfRule>
  </conditionalFormatting>
  <conditionalFormatting sqref="K381:L381">
    <cfRule type="expression" dxfId="7900" priority="10550">
      <formula>$E$7&lt;&gt;"Yes"</formula>
    </cfRule>
  </conditionalFormatting>
  <conditionalFormatting sqref="K381:L381">
    <cfRule type="expression" dxfId="7899" priority="10549">
      <formula>$E381&lt;&gt;"Yes"</formula>
    </cfRule>
  </conditionalFormatting>
  <conditionalFormatting sqref="G382">
    <cfRule type="expression" dxfId="7898" priority="10520">
      <formula>$E$7&lt;&gt;"Yes"</formula>
    </cfRule>
  </conditionalFormatting>
  <conditionalFormatting sqref="M382 F382:J382 Q382">
    <cfRule type="expression" dxfId="7897" priority="10522">
      <formula>$E$7&lt;&gt;"Yes"</formula>
    </cfRule>
  </conditionalFormatting>
  <conditionalFormatting sqref="M382 F382:J382 Q382">
    <cfRule type="expression" dxfId="7896" priority="10521">
      <formula>$E382&lt;&gt;"Yes"</formula>
    </cfRule>
  </conditionalFormatting>
  <conditionalFormatting sqref="W381">
    <cfRule type="expression" dxfId="7895" priority="10546">
      <formula>$E$7&lt;&gt;"Yes"</formula>
    </cfRule>
  </conditionalFormatting>
  <conditionalFormatting sqref="W381">
    <cfRule type="expression" dxfId="7894" priority="10545">
      <formula>$E381&lt;&gt;"Yes"</formula>
    </cfRule>
  </conditionalFormatting>
  <conditionalFormatting sqref="K382:L382">
    <cfRule type="expression" dxfId="7893" priority="10519">
      <formula>$E$7&lt;&gt;"Yes"</formula>
    </cfRule>
  </conditionalFormatting>
  <conditionalFormatting sqref="K382:L382">
    <cfRule type="expression" dxfId="7892" priority="10518">
      <formula>$E382&lt;&gt;"Yes"</formula>
    </cfRule>
  </conditionalFormatting>
  <conditionalFormatting sqref="G63">
    <cfRule type="expression" dxfId="7891" priority="10489">
      <formula>$E$7&lt;&gt;"Yes"</formula>
    </cfRule>
  </conditionalFormatting>
  <conditionalFormatting sqref="F63:J63 M63">
    <cfRule type="expression" dxfId="7890" priority="10491">
      <formula>$E$7&lt;&gt;"Yes"</formula>
    </cfRule>
  </conditionalFormatting>
  <conditionalFormatting sqref="F63:J63 M63">
    <cfRule type="expression" dxfId="7889" priority="10490">
      <formula>$E63&lt;&gt;"Yes"</formula>
    </cfRule>
  </conditionalFormatting>
  <conditionalFormatting sqref="W382">
    <cfRule type="expression" dxfId="7888" priority="10515">
      <formula>$E$7&lt;&gt;"Yes"</formula>
    </cfRule>
  </conditionalFormatting>
  <conditionalFormatting sqref="W382">
    <cfRule type="expression" dxfId="7887" priority="10514">
      <formula>$E382&lt;&gt;"Yes"</formula>
    </cfRule>
  </conditionalFormatting>
  <conditionalFormatting sqref="K63:L63">
    <cfRule type="expression" dxfId="7886" priority="10488">
      <formula>$E$7&lt;&gt;"Yes"</formula>
    </cfRule>
  </conditionalFormatting>
  <conditionalFormatting sqref="K63:L63">
    <cfRule type="expression" dxfId="7885" priority="10487">
      <formula>$E63&lt;&gt;"Yes"</formula>
    </cfRule>
  </conditionalFormatting>
  <conditionalFormatting sqref="W63">
    <cfRule type="expression" dxfId="7884" priority="10484">
      <formula>$E$7&lt;&gt;"Yes"</formula>
    </cfRule>
  </conditionalFormatting>
  <conditionalFormatting sqref="W63">
    <cfRule type="expression" dxfId="7883" priority="10483">
      <formula>$E63&lt;&gt;"Yes"</formula>
    </cfRule>
  </conditionalFormatting>
  <conditionalFormatting sqref="AE63">
    <cfRule type="expression" dxfId="7882" priority="10466">
      <formula>$E$7&lt;&gt;"Yes"</formula>
    </cfRule>
  </conditionalFormatting>
  <conditionalFormatting sqref="AE63">
    <cfRule type="expression" dxfId="7881" priority="10465">
      <formula>$E63&lt;&gt;"Yes"</formula>
    </cfRule>
  </conditionalFormatting>
  <conditionalFormatting sqref="N63">
    <cfRule type="expression" dxfId="7880" priority="10462">
      <formula>$E$7&lt;&gt;"Yes"</formula>
    </cfRule>
  </conditionalFormatting>
  <conditionalFormatting sqref="N63">
    <cfRule type="expression" dxfId="7879" priority="10461">
      <formula>$E63&lt;&gt;"Yes"</formula>
    </cfRule>
  </conditionalFormatting>
  <conditionalFormatting sqref="F159:J159 M159 Q159">
    <cfRule type="expression" dxfId="7878" priority="10450">
      <formula>$E$7&lt;&gt;"Yes"</formula>
    </cfRule>
  </conditionalFormatting>
  <conditionalFormatting sqref="F159:J159 M159 Q159">
    <cfRule type="expression" dxfId="7877" priority="10449">
      <formula>$E159&lt;&gt;"Yes"</formula>
    </cfRule>
  </conditionalFormatting>
  <conditionalFormatting sqref="G159">
    <cfRule type="expression" dxfId="7876" priority="10448">
      <formula>$E$7&lt;&gt;"Yes"</formula>
    </cfRule>
  </conditionalFormatting>
  <conditionalFormatting sqref="K159:L159">
    <cfRule type="expression" dxfId="7875" priority="10447">
      <formula>$E$7&lt;&gt;"Yes"</formula>
    </cfRule>
  </conditionalFormatting>
  <conditionalFormatting sqref="K159:L159">
    <cfRule type="expression" dxfId="7874" priority="10446">
      <formula>$E159&lt;&gt;"Yes"</formula>
    </cfRule>
  </conditionalFormatting>
  <conditionalFormatting sqref="G160">
    <cfRule type="expression" dxfId="7873" priority="10419">
      <formula>$E$7&lt;&gt;"Yes"</formula>
    </cfRule>
  </conditionalFormatting>
  <conditionalFormatting sqref="W159">
    <cfRule type="expression" dxfId="7872" priority="10443">
      <formula>$E$7&lt;&gt;"Yes"</formula>
    </cfRule>
  </conditionalFormatting>
  <conditionalFormatting sqref="W159">
    <cfRule type="expression" dxfId="7871" priority="10442">
      <formula>$E159&lt;&gt;"Yes"</formula>
    </cfRule>
  </conditionalFormatting>
  <conditionalFormatting sqref="AE159">
    <cfRule type="expression" dxfId="7870" priority="10425">
      <formula>$E$7&lt;&gt;"Yes"</formula>
    </cfRule>
  </conditionalFormatting>
  <conditionalFormatting sqref="AE159">
    <cfRule type="expression" dxfId="7869" priority="10424">
      <formula>$E159&lt;&gt;"Yes"</formula>
    </cfRule>
  </conditionalFormatting>
  <conditionalFormatting sqref="F160:J160 M160:N160 Q160">
    <cfRule type="expression" dxfId="7868" priority="10421">
      <formula>$E$7&lt;&gt;"Yes"</formula>
    </cfRule>
  </conditionalFormatting>
  <conditionalFormatting sqref="F160:J160 M160:N160 Q160">
    <cfRule type="expression" dxfId="7867" priority="10420">
      <formula>$E160&lt;&gt;"Yes"</formula>
    </cfRule>
  </conditionalFormatting>
  <conditionalFormatting sqref="K160:L160">
    <cfRule type="expression" dxfId="7866" priority="10418">
      <formula>$E$7&lt;&gt;"Yes"</formula>
    </cfRule>
  </conditionalFormatting>
  <conditionalFormatting sqref="K160:L160">
    <cfRule type="expression" dxfId="7865" priority="10417">
      <formula>$E160&lt;&gt;"Yes"</formula>
    </cfRule>
  </conditionalFormatting>
  <conditionalFormatting sqref="W160">
    <cfRule type="expression" dxfId="7864" priority="10414">
      <formula>$E$7&lt;&gt;"Yes"</formula>
    </cfRule>
  </conditionalFormatting>
  <conditionalFormatting sqref="W160">
    <cfRule type="expression" dxfId="7863" priority="10413">
      <formula>$E160&lt;&gt;"Yes"</formula>
    </cfRule>
  </conditionalFormatting>
  <conditionalFormatting sqref="AE160">
    <cfRule type="expression" dxfId="7862" priority="10396">
      <formula>$E$7&lt;&gt;"Yes"</formula>
    </cfRule>
  </conditionalFormatting>
  <conditionalFormatting sqref="AE160">
    <cfRule type="expression" dxfId="7861" priority="10395">
      <formula>$E160&lt;&gt;"Yes"</formula>
    </cfRule>
  </conditionalFormatting>
  <conditionalFormatting sqref="AE48">
    <cfRule type="expression" dxfId="7860" priority="10384">
      <formula>$E$7&lt;&gt;"Yes"</formula>
    </cfRule>
  </conditionalFormatting>
  <conditionalFormatting sqref="AE48">
    <cfRule type="expression" dxfId="7859" priority="10383">
      <formula>$E48&lt;&gt;"Yes"</formula>
    </cfRule>
  </conditionalFormatting>
  <conditionalFormatting sqref="AE49">
    <cfRule type="expression" dxfId="7858" priority="10382">
      <formula>$E$7&lt;&gt;"Yes"</formula>
    </cfRule>
  </conditionalFormatting>
  <conditionalFormatting sqref="AE49">
    <cfRule type="expression" dxfId="7857" priority="10381">
      <formula>$E49&lt;&gt;"Yes"</formula>
    </cfRule>
  </conditionalFormatting>
  <conditionalFormatting sqref="AE50">
    <cfRule type="expression" dxfId="7856" priority="10380">
      <formula>$E$7&lt;&gt;"Yes"</formula>
    </cfRule>
  </conditionalFormatting>
  <conditionalFormatting sqref="AE50">
    <cfRule type="expression" dxfId="7855" priority="10379">
      <formula>$E50&lt;&gt;"Yes"</formula>
    </cfRule>
  </conditionalFormatting>
  <conditionalFormatting sqref="AE51">
    <cfRule type="expression" dxfId="7854" priority="10378">
      <formula>$E$7&lt;&gt;"Yes"</formula>
    </cfRule>
  </conditionalFormatting>
  <conditionalFormatting sqref="AE51">
    <cfRule type="expression" dxfId="7853" priority="10377">
      <formula>$E51&lt;&gt;"Yes"</formula>
    </cfRule>
  </conditionalFormatting>
  <conditionalFormatting sqref="AE52">
    <cfRule type="expression" dxfId="7852" priority="10376">
      <formula>$E$7&lt;&gt;"Yes"</formula>
    </cfRule>
  </conditionalFormatting>
  <conditionalFormatting sqref="AE52">
    <cfRule type="expression" dxfId="7851" priority="10375">
      <formula>$E52&lt;&gt;"Yes"</formula>
    </cfRule>
  </conditionalFormatting>
  <conditionalFormatting sqref="AE53">
    <cfRule type="expression" dxfId="7850" priority="10374">
      <formula>$E$7&lt;&gt;"Yes"</formula>
    </cfRule>
  </conditionalFormatting>
  <conditionalFormatting sqref="AE53">
    <cfRule type="expression" dxfId="7849" priority="10373">
      <formula>$E53&lt;&gt;"Yes"</formula>
    </cfRule>
  </conditionalFormatting>
  <conditionalFormatting sqref="AE54">
    <cfRule type="expression" dxfId="7848" priority="10372">
      <formula>$E$7&lt;&gt;"Yes"</formula>
    </cfRule>
  </conditionalFormatting>
  <conditionalFormatting sqref="AE54">
    <cfRule type="expression" dxfId="7847" priority="10371">
      <formula>$E54&lt;&gt;"Yes"</formula>
    </cfRule>
  </conditionalFormatting>
  <conditionalFormatting sqref="AE165">
    <cfRule type="expression" dxfId="7846" priority="10370">
      <formula>$E$7&lt;&gt;"Yes"</formula>
    </cfRule>
  </conditionalFormatting>
  <conditionalFormatting sqref="AE165">
    <cfRule type="expression" dxfId="7845" priority="10369">
      <formula>$E165&lt;&gt;"Yes"</formula>
    </cfRule>
  </conditionalFormatting>
  <conditionalFormatting sqref="AE164">
    <cfRule type="expression" dxfId="7844" priority="10368">
      <formula>$E$7&lt;&gt;"Yes"</formula>
    </cfRule>
  </conditionalFormatting>
  <conditionalFormatting sqref="AE164">
    <cfRule type="expression" dxfId="7843" priority="10367">
      <formula>$E164&lt;&gt;"Yes"</formula>
    </cfRule>
  </conditionalFormatting>
  <conditionalFormatting sqref="AE280">
    <cfRule type="expression" dxfId="7842" priority="10366">
      <formula>$E$7&lt;&gt;"Yes"</formula>
    </cfRule>
  </conditionalFormatting>
  <conditionalFormatting sqref="AE280">
    <cfRule type="expression" dxfId="7841" priority="10365">
      <formula>$E280&lt;&gt;"Yes"</formula>
    </cfRule>
  </conditionalFormatting>
  <conditionalFormatting sqref="AE281">
    <cfRule type="expression" dxfId="7840" priority="10364">
      <formula>$E$7&lt;&gt;"Yes"</formula>
    </cfRule>
  </conditionalFormatting>
  <conditionalFormatting sqref="AE281">
    <cfRule type="expression" dxfId="7839" priority="10363">
      <formula>$E281&lt;&gt;"Yes"</formula>
    </cfRule>
  </conditionalFormatting>
  <conditionalFormatting sqref="AE282">
    <cfRule type="expression" dxfId="7838" priority="10362">
      <formula>$E$7&lt;&gt;"Yes"</formula>
    </cfRule>
  </conditionalFormatting>
  <conditionalFormatting sqref="AE282">
    <cfRule type="expression" dxfId="7837" priority="10361">
      <formula>$E282&lt;&gt;"Yes"</formula>
    </cfRule>
  </conditionalFormatting>
  <conditionalFormatting sqref="AE283">
    <cfRule type="expression" dxfId="7836" priority="10360">
      <formula>$E$7&lt;&gt;"Yes"</formula>
    </cfRule>
  </conditionalFormatting>
  <conditionalFormatting sqref="AE283">
    <cfRule type="expression" dxfId="7835" priority="10359">
      <formula>$E283&lt;&gt;"Yes"</formula>
    </cfRule>
  </conditionalFormatting>
  <conditionalFormatting sqref="AE69">
    <cfRule type="expression" dxfId="7834" priority="10358">
      <formula>$E$7&lt;&gt;"Yes"</formula>
    </cfRule>
  </conditionalFormatting>
  <conditionalFormatting sqref="AE69">
    <cfRule type="expression" dxfId="7833" priority="10357">
      <formula>$E69&lt;&gt;"Yes"</formula>
    </cfRule>
  </conditionalFormatting>
  <conditionalFormatting sqref="AE71">
    <cfRule type="expression" dxfId="7832" priority="10356">
      <formula>$E$7&lt;&gt;"Yes"</formula>
    </cfRule>
  </conditionalFormatting>
  <conditionalFormatting sqref="AE71">
    <cfRule type="expression" dxfId="7831" priority="10355">
      <formula>$E71&lt;&gt;"Yes"</formula>
    </cfRule>
  </conditionalFormatting>
  <conditionalFormatting sqref="AE217">
    <cfRule type="expression" dxfId="7830" priority="10354">
      <formula>$E$7&lt;&gt;"Yes"</formula>
    </cfRule>
  </conditionalFormatting>
  <conditionalFormatting sqref="AE217">
    <cfRule type="expression" dxfId="7829" priority="10353">
      <formula>$E217&lt;&gt;"Yes"</formula>
    </cfRule>
  </conditionalFormatting>
  <conditionalFormatting sqref="AE218">
    <cfRule type="expression" dxfId="7828" priority="10352">
      <formula>$E$7&lt;&gt;"Yes"</formula>
    </cfRule>
  </conditionalFormatting>
  <conditionalFormatting sqref="AE218">
    <cfRule type="expression" dxfId="7827" priority="10351">
      <formula>$E218&lt;&gt;"Yes"</formula>
    </cfRule>
  </conditionalFormatting>
  <conditionalFormatting sqref="AE219">
    <cfRule type="expression" dxfId="7826" priority="10350">
      <formula>$E$7&lt;&gt;"Yes"</formula>
    </cfRule>
  </conditionalFormatting>
  <conditionalFormatting sqref="AE219">
    <cfRule type="expression" dxfId="7825" priority="10349">
      <formula>$E219&lt;&gt;"Yes"</formula>
    </cfRule>
  </conditionalFormatting>
  <conditionalFormatting sqref="AE220">
    <cfRule type="expression" dxfId="7824" priority="10348">
      <formula>$E$7&lt;&gt;"Yes"</formula>
    </cfRule>
  </conditionalFormatting>
  <conditionalFormatting sqref="AE220">
    <cfRule type="expression" dxfId="7823" priority="10347">
      <formula>$E220&lt;&gt;"Yes"</formula>
    </cfRule>
  </conditionalFormatting>
  <conditionalFormatting sqref="AE221">
    <cfRule type="expression" dxfId="7822" priority="10346">
      <formula>$E$7&lt;&gt;"Yes"</formula>
    </cfRule>
  </conditionalFormatting>
  <conditionalFormatting sqref="AE221">
    <cfRule type="expression" dxfId="7821" priority="10345">
      <formula>$E221&lt;&gt;"Yes"</formula>
    </cfRule>
  </conditionalFormatting>
  <conditionalFormatting sqref="AE222">
    <cfRule type="expression" dxfId="7820" priority="10344">
      <formula>$E$7&lt;&gt;"Yes"</formula>
    </cfRule>
  </conditionalFormatting>
  <conditionalFormatting sqref="AE222">
    <cfRule type="expression" dxfId="7819" priority="10343">
      <formula>$E222&lt;&gt;"Yes"</formula>
    </cfRule>
  </conditionalFormatting>
  <conditionalFormatting sqref="Q63">
    <cfRule type="expression" dxfId="7818" priority="10342">
      <formula>$E$7&lt;&gt;"Yes"</formula>
    </cfRule>
  </conditionalFormatting>
  <conditionalFormatting sqref="Q63">
    <cfRule type="expression" dxfId="7817" priority="10341">
      <formula>$E63&lt;&gt;"Yes"</formula>
    </cfRule>
  </conditionalFormatting>
  <conditionalFormatting sqref="AE357">
    <cfRule type="expression" dxfId="7816" priority="10322">
      <formula>$E$7&lt;&gt;"Yes"</formula>
    </cfRule>
  </conditionalFormatting>
  <conditionalFormatting sqref="AE357">
    <cfRule type="expression" dxfId="7815" priority="10321">
      <formula>$E357&lt;&gt;"Yes"</formula>
    </cfRule>
  </conditionalFormatting>
  <conditionalFormatting sqref="Q72">
    <cfRule type="expression" dxfId="7814" priority="10324">
      <formula>$E$7&lt;&gt;"Yes"</formula>
    </cfRule>
  </conditionalFormatting>
  <conditionalFormatting sqref="Q72">
    <cfRule type="expression" dxfId="7813" priority="10323">
      <formula>$E72&lt;&gt;"Yes"</formula>
    </cfRule>
  </conditionalFormatting>
  <conditionalFormatting sqref="AE358">
    <cfRule type="expression" dxfId="7812" priority="10320">
      <formula>$E$7&lt;&gt;"Yes"</formula>
    </cfRule>
  </conditionalFormatting>
  <conditionalFormatting sqref="AE358">
    <cfRule type="expression" dxfId="7811" priority="10319">
      <formula>$E358&lt;&gt;"Yes"</formula>
    </cfRule>
  </conditionalFormatting>
  <conditionalFormatting sqref="AE359">
    <cfRule type="expression" dxfId="7810" priority="10318">
      <formula>$E$7&lt;&gt;"Yes"</formula>
    </cfRule>
  </conditionalFormatting>
  <conditionalFormatting sqref="AE359">
    <cfRule type="expression" dxfId="7809" priority="10317">
      <formula>$E359&lt;&gt;"Yes"</formula>
    </cfRule>
  </conditionalFormatting>
  <conditionalFormatting sqref="AE360">
    <cfRule type="expression" dxfId="7808" priority="10316">
      <formula>$E$7&lt;&gt;"Yes"</formula>
    </cfRule>
  </conditionalFormatting>
  <conditionalFormatting sqref="AE360">
    <cfRule type="expression" dxfId="7807" priority="10315">
      <formula>$E360&lt;&gt;"Yes"</formula>
    </cfRule>
  </conditionalFormatting>
  <conditionalFormatting sqref="AE369">
    <cfRule type="expression" dxfId="7806" priority="10314">
      <formula>$E$7&lt;&gt;"Yes"</formula>
    </cfRule>
  </conditionalFormatting>
  <conditionalFormatting sqref="AE369">
    <cfRule type="expression" dxfId="7805" priority="10313">
      <formula>$E369&lt;&gt;"Yes"</formula>
    </cfRule>
  </conditionalFormatting>
  <conditionalFormatting sqref="AE370">
    <cfRule type="expression" dxfId="7804" priority="10312">
      <formula>$E$7&lt;&gt;"Yes"</formula>
    </cfRule>
  </conditionalFormatting>
  <conditionalFormatting sqref="AE370">
    <cfRule type="expression" dxfId="7803" priority="10311">
      <formula>$E370&lt;&gt;"Yes"</formula>
    </cfRule>
  </conditionalFormatting>
  <conditionalFormatting sqref="AE371">
    <cfRule type="expression" dxfId="7802" priority="10310">
      <formula>$E$7&lt;&gt;"Yes"</formula>
    </cfRule>
  </conditionalFormatting>
  <conditionalFormatting sqref="AE371">
    <cfRule type="expression" dxfId="7801" priority="10309">
      <formula>$E371&lt;&gt;"Yes"</formula>
    </cfRule>
  </conditionalFormatting>
  <conditionalFormatting sqref="AE372">
    <cfRule type="expression" dxfId="7800" priority="10308">
      <formula>$E$7&lt;&gt;"Yes"</formula>
    </cfRule>
  </conditionalFormatting>
  <conditionalFormatting sqref="AE372">
    <cfRule type="expression" dxfId="7799" priority="10307">
      <formula>$E372&lt;&gt;"Yes"</formula>
    </cfRule>
  </conditionalFormatting>
  <conditionalFormatting sqref="AE373">
    <cfRule type="expression" dxfId="7798" priority="10306">
      <formula>$E$7&lt;&gt;"Yes"</formula>
    </cfRule>
  </conditionalFormatting>
  <conditionalFormatting sqref="AE373">
    <cfRule type="expression" dxfId="7797" priority="10305">
      <formula>$E373&lt;&gt;"Yes"</formula>
    </cfRule>
  </conditionalFormatting>
  <conditionalFormatting sqref="AE374">
    <cfRule type="expression" dxfId="7796" priority="10304">
      <formula>$E$7&lt;&gt;"Yes"</formula>
    </cfRule>
  </conditionalFormatting>
  <conditionalFormatting sqref="AE374">
    <cfRule type="expression" dxfId="7795" priority="10303">
      <formula>$E374&lt;&gt;"Yes"</formula>
    </cfRule>
  </conditionalFormatting>
  <conditionalFormatting sqref="AE378">
    <cfRule type="expression" dxfId="7794" priority="10302">
      <formula>$E$7&lt;&gt;"Yes"</formula>
    </cfRule>
  </conditionalFormatting>
  <conditionalFormatting sqref="AE378">
    <cfRule type="expression" dxfId="7793" priority="10301">
      <formula>$E378&lt;&gt;"Yes"</formula>
    </cfRule>
  </conditionalFormatting>
  <conditionalFormatting sqref="AE379">
    <cfRule type="expression" dxfId="7792" priority="10300">
      <formula>$E$7&lt;&gt;"Yes"</formula>
    </cfRule>
  </conditionalFormatting>
  <conditionalFormatting sqref="AE379">
    <cfRule type="expression" dxfId="7791" priority="10299">
      <formula>$E379&lt;&gt;"Yes"</formula>
    </cfRule>
  </conditionalFormatting>
  <conditionalFormatting sqref="AE380">
    <cfRule type="expression" dxfId="7790" priority="10298">
      <formula>$E$7&lt;&gt;"Yes"</formula>
    </cfRule>
  </conditionalFormatting>
  <conditionalFormatting sqref="AE380">
    <cfRule type="expression" dxfId="7789" priority="10297">
      <formula>$E380&lt;&gt;"Yes"</formula>
    </cfRule>
  </conditionalFormatting>
  <conditionalFormatting sqref="AE381">
    <cfRule type="expression" dxfId="7788" priority="10296">
      <formula>$E$7&lt;&gt;"Yes"</formula>
    </cfRule>
  </conditionalFormatting>
  <conditionalFormatting sqref="AE381">
    <cfRule type="expression" dxfId="7787" priority="10295">
      <formula>$E381&lt;&gt;"Yes"</formula>
    </cfRule>
  </conditionalFormatting>
  <conditionalFormatting sqref="AE382">
    <cfRule type="expression" dxfId="7786" priority="10294">
      <formula>$E$7&lt;&gt;"Yes"</formula>
    </cfRule>
  </conditionalFormatting>
  <conditionalFormatting sqref="AE382">
    <cfRule type="expression" dxfId="7785" priority="10293">
      <formula>$E382&lt;&gt;"Yes"</formula>
    </cfRule>
  </conditionalFormatting>
  <conditionalFormatting sqref="N75 Q75">
    <cfRule type="expression" dxfId="7784" priority="10292">
      <formula>$E$7&lt;&gt;"Yes"</formula>
    </cfRule>
  </conditionalFormatting>
  <conditionalFormatting sqref="N75 Q75">
    <cfRule type="expression" dxfId="7783" priority="10291">
      <formula>$E75&lt;&gt;"Yes"</formula>
    </cfRule>
  </conditionalFormatting>
  <conditionalFormatting sqref="F75:J75 M75 Q75">
    <cfRule type="expression" dxfId="7782" priority="10290">
      <formula>$E$7&lt;&gt;"Yes"</formula>
    </cfRule>
  </conditionalFormatting>
  <conditionalFormatting sqref="F75:J75 M75 Q75">
    <cfRule type="expression" dxfId="7781" priority="10289">
      <formula>$E75&lt;&gt;"Yes"</formula>
    </cfRule>
  </conditionalFormatting>
  <conditionalFormatting sqref="G75">
    <cfRule type="expression" dxfId="7780" priority="10288">
      <formula>$E$7&lt;&gt;"Yes"</formula>
    </cfRule>
  </conditionalFormatting>
  <conditionalFormatting sqref="K75:L75">
    <cfRule type="expression" dxfId="7779" priority="10287">
      <formula>$E$7&lt;&gt;"Yes"</formula>
    </cfRule>
  </conditionalFormatting>
  <conditionalFormatting sqref="K75:L75">
    <cfRule type="expression" dxfId="7778" priority="10286">
      <formula>$E75&lt;&gt;"Yes"</formula>
    </cfRule>
  </conditionalFormatting>
  <conditionalFormatting sqref="W75">
    <cfRule type="expression" dxfId="7777" priority="10283">
      <formula>$E$7&lt;&gt;"Yes"</formula>
    </cfRule>
  </conditionalFormatting>
  <conditionalFormatting sqref="W75">
    <cfRule type="expression" dxfId="7776" priority="10282">
      <formula>$E75&lt;&gt;"Yes"</formula>
    </cfRule>
  </conditionalFormatting>
  <conditionalFormatting sqref="AE75">
    <cfRule type="expression" dxfId="7775" priority="10265">
      <formula>$E$7&lt;&gt;"Yes"</formula>
    </cfRule>
  </conditionalFormatting>
  <conditionalFormatting sqref="AE75">
    <cfRule type="expression" dxfId="7774" priority="10264">
      <formula>$E75&lt;&gt;"Yes"</formula>
    </cfRule>
  </conditionalFormatting>
  <conditionalFormatting sqref="Q25">
    <cfRule type="expression" dxfId="7773" priority="10253">
      <formula>$E$7&lt;&gt;"Yes"</formula>
    </cfRule>
  </conditionalFormatting>
  <conditionalFormatting sqref="Q25">
    <cfRule type="expression" dxfId="7772" priority="10252">
      <formula>$E25&lt;&gt;"Yes"</formula>
    </cfRule>
  </conditionalFormatting>
  <conditionalFormatting sqref="M25 F25:J25 Q25">
    <cfRule type="expression" dxfId="7771" priority="10251">
      <formula>$E$7&lt;&gt;"Yes"</formula>
    </cfRule>
  </conditionalFormatting>
  <conditionalFormatting sqref="M25 F25:J25 Q25">
    <cfRule type="expression" dxfId="7770" priority="10250">
      <formula>$E25&lt;&gt;"Yes"</formula>
    </cfRule>
  </conditionalFormatting>
  <conditionalFormatting sqref="G25">
    <cfRule type="expression" dxfId="7769" priority="10249">
      <formula>$E$7&lt;&gt;"Yes"</formula>
    </cfRule>
  </conditionalFormatting>
  <conditionalFormatting sqref="K25:L25">
    <cfRule type="expression" dxfId="7768" priority="10248">
      <formula>$E$7&lt;&gt;"Yes"</formula>
    </cfRule>
  </conditionalFormatting>
  <conditionalFormatting sqref="K25:L25">
    <cfRule type="expression" dxfId="7767" priority="10247">
      <formula>$E25&lt;&gt;"Yes"</formula>
    </cfRule>
  </conditionalFormatting>
  <conditionalFormatting sqref="W25">
    <cfRule type="expression" dxfId="7766" priority="10244">
      <formula>$E$7&lt;&gt;"Yes"</formula>
    </cfRule>
  </conditionalFormatting>
  <conditionalFormatting sqref="W25">
    <cfRule type="expression" dxfId="7765" priority="10243">
      <formula>$E25&lt;&gt;"Yes"</formula>
    </cfRule>
  </conditionalFormatting>
  <conditionalFormatting sqref="AE25">
    <cfRule type="expression" dxfId="7764" priority="10226">
      <formula>$E$7&lt;&gt;"Yes"</formula>
    </cfRule>
  </conditionalFormatting>
  <conditionalFormatting sqref="AE25">
    <cfRule type="expression" dxfId="7763" priority="10225">
      <formula>$E25&lt;&gt;"Yes"</formula>
    </cfRule>
  </conditionalFormatting>
  <conditionalFormatting sqref="N25">
    <cfRule type="expression" dxfId="7762" priority="10222">
      <formula>$E$7&lt;&gt;"Yes"</formula>
    </cfRule>
  </conditionalFormatting>
  <conditionalFormatting sqref="N25">
    <cfRule type="expression" dxfId="7761" priority="10221">
      <formula>$E25&lt;&gt;"Yes"</formula>
    </cfRule>
  </conditionalFormatting>
  <conditionalFormatting sqref="Q26">
    <cfRule type="expression" dxfId="7760" priority="10214">
      <formula>$E$7&lt;&gt;"Yes"</formula>
    </cfRule>
  </conditionalFormatting>
  <conditionalFormatting sqref="Q26">
    <cfRule type="expression" dxfId="7759" priority="10213">
      <formula>$E26&lt;&gt;"Yes"</formula>
    </cfRule>
  </conditionalFormatting>
  <conditionalFormatting sqref="M26 F26:J26 Q26">
    <cfRule type="expression" dxfId="7758" priority="10212">
      <formula>$E$7&lt;&gt;"Yes"</formula>
    </cfRule>
  </conditionalFormatting>
  <conditionalFormatting sqref="M26 F26:J26 Q26">
    <cfRule type="expression" dxfId="7757" priority="10211">
      <formula>$E26&lt;&gt;"Yes"</formula>
    </cfRule>
  </conditionalFormatting>
  <conditionalFormatting sqref="G26">
    <cfRule type="expression" dxfId="7756" priority="10210">
      <formula>$E$7&lt;&gt;"Yes"</formula>
    </cfRule>
  </conditionalFormatting>
  <conditionalFormatting sqref="K26:L26">
    <cfRule type="expression" dxfId="7755" priority="10209">
      <formula>$E$7&lt;&gt;"Yes"</formula>
    </cfRule>
  </conditionalFormatting>
  <conditionalFormatting sqref="K26:L26">
    <cfRule type="expression" dxfId="7754" priority="10208">
      <formula>$E26&lt;&gt;"Yes"</formula>
    </cfRule>
  </conditionalFormatting>
  <conditionalFormatting sqref="W26">
    <cfRule type="expression" dxfId="7753" priority="10205">
      <formula>$E$7&lt;&gt;"Yes"</formula>
    </cfRule>
  </conditionalFormatting>
  <conditionalFormatting sqref="W26">
    <cfRule type="expression" dxfId="7752" priority="10204">
      <formula>$E26&lt;&gt;"Yes"</formula>
    </cfRule>
  </conditionalFormatting>
  <conditionalFormatting sqref="AE26">
    <cfRule type="expression" dxfId="7751" priority="10187">
      <formula>$E$7&lt;&gt;"Yes"</formula>
    </cfRule>
  </conditionalFormatting>
  <conditionalFormatting sqref="AE26">
    <cfRule type="expression" dxfId="7750" priority="10186">
      <formula>$E26&lt;&gt;"Yes"</formula>
    </cfRule>
  </conditionalFormatting>
  <conditionalFormatting sqref="N26">
    <cfRule type="expression" dxfId="7749" priority="10183">
      <formula>$E$7&lt;&gt;"Yes"</formula>
    </cfRule>
  </conditionalFormatting>
  <conditionalFormatting sqref="N26">
    <cfRule type="expression" dxfId="7748" priority="10182">
      <formula>$E26&lt;&gt;"Yes"</formula>
    </cfRule>
  </conditionalFormatting>
  <conditionalFormatting sqref="Q383">
    <cfRule type="expression" dxfId="7747" priority="10133">
      <formula>$E$7&lt;&gt;"Yes"</formula>
    </cfRule>
  </conditionalFormatting>
  <conditionalFormatting sqref="Q383">
    <cfRule type="expression" dxfId="7746" priority="10132">
      <formula>$E383&lt;&gt;"Yes"</formula>
    </cfRule>
  </conditionalFormatting>
  <conditionalFormatting sqref="M383 F383:J383 Q383">
    <cfRule type="expression" dxfId="7745" priority="10131">
      <formula>$E$7&lt;&gt;"Yes"</formula>
    </cfRule>
  </conditionalFormatting>
  <conditionalFormatting sqref="M383 F383:J383 Q383">
    <cfRule type="expression" dxfId="7744" priority="10130">
      <formula>$E383&lt;&gt;"Yes"</formula>
    </cfRule>
  </conditionalFormatting>
  <conditionalFormatting sqref="G383">
    <cfRule type="expression" dxfId="7743" priority="10129">
      <formula>$E$7&lt;&gt;"Yes"</formula>
    </cfRule>
  </conditionalFormatting>
  <conditionalFormatting sqref="K383:L383">
    <cfRule type="expression" dxfId="7742" priority="10128">
      <formula>$E$7&lt;&gt;"Yes"</formula>
    </cfRule>
  </conditionalFormatting>
  <conditionalFormatting sqref="K383:L383">
    <cfRule type="expression" dxfId="7741" priority="10127">
      <formula>$E383&lt;&gt;"Yes"</formula>
    </cfRule>
  </conditionalFormatting>
  <conditionalFormatting sqref="Q384">
    <cfRule type="expression" dxfId="7740" priority="10100">
      <formula>$E$7&lt;&gt;"Yes"</formula>
    </cfRule>
  </conditionalFormatting>
  <conditionalFormatting sqref="Q384">
    <cfRule type="expression" dxfId="7739" priority="10099">
      <formula>$E384&lt;&gt;"Yes"</formula>
    </cfRule>
  </conditionalFormatting>
  <conditionalFormatting sqref="W383">
    <cfRule type="expression" dxfId="7738" priority="10124">
      <formula>$E$7&lt;&gt;"Yes"</formula>
    </cfRule>
  </conditionalFormatting>
  <conditionalFormatting sqref="W383">
    <cfRule type="expression" dxfId="7737" priority="10123">
      <formula>$E383&lt;&gt;"Yes"</formula>
    </cfRule>
  </conditionalFormatting>
  <conditionalFormatting sqref="AE383">
    <cfRule type="expression" dxfId="7736" priority="10102">
      <formula>$E$7&lt;&gt;"Yes"</formula>
    </cfRule>
  </conditionalFormatting>
  <conditionalFormatting sqref="AE383">
    <cfRule type="expression" dxfId="7735" priority="10101">
      <formula>$E383&lt;&gt;"Yes"</formula>
    </cfRule>
  </conditionalFormatting>
  <conditionalFormatting sqref="M384 F384:J384 Q384">
    <cfRule type="expression" dxfId="7734" priority="10098">
      <formula>$E$7&lt;&gt;"Yes"</formula>
    </cfRule>
  </conditionalFormatting>
  <conditionalFormatting sqref="M384 F384:J384 Q384">
    <cfRule type="expression" dxfId="7733" priority="10097">
      <formula>$E384&lt;&gt;"Yes"</formula>
    </cfRule>
  </conditionalFormatting>
  <conditionalFormatting sqref="G384">
    <cfRule type="expression" dxfId="7732" priority="10096">
      <formula>$E$7&lt;&gt;"Yes"</formula>
    </cfRule>
  </conditionalFormatting>
  <conditionalFormatting sqref="K384:L384">
    <cfRule type="expression" dxfId="7731" priority="10095">
      <formula>$E$7&lt;&gt;"Yes"</formula>
    </cfRule>
  </conditionalFormatting>
  <conditionalFormatting sqref="K384:L384">
    <cfRule type="expression" dxfId="7730" priority="10094">
      <formula>$E384&lt;&gt;"Yes"</formula>
    </cfRule>
  </conditionalFormatting>
  <conditionalFormatting sqref="N384">
    <cfRule type="expression" dxfId="7729" priority="10071">
      <formula>$E$7&lt;&gt;"Yes"</formula>
    </cfRule>
  </conditionalFormatting>
  <conditionalFormatting sqref="N384">
    <cfRule type="expression" dxfId="7728" priority="10070">
      <formula>$E384&lt;&gt;"Yes"</formula>
    </cfRule>
  </conditionalFormatting>
  <conditionalFormatting sqref="Q385:Q386">
    <cfRule type="expression" dxfId="7727" priority="10067">
      <formula>$E$7&lt;&gt;"Yes"</formula>
    </cfRule>
  </conditionalFormatting>
  <conditionalFormatting sqref="W384">
    <cfRule type="expression" dxfId="7726" priority="10091">
      <formula>$E$7&lt;&gt;"Yes"</formula>
    </cfRule>
  </conditionalFormatting>
  <conditionalFormatting sqref="W384">
    <cfRule type="expression" dxfId="7725" priority="10090">
      <formula>$E384&lt;&gt;"Yes"</formula>
    </cfRule>
  </conditionalFormatting>
  <conditionalFormatting sqref="AE384">
    <cfRule type="expression" dxfId="7724" priority="10069">
      <formula>$E$7&lt;&gt;"Yes"</formula>
    </cfRule>
  </conditionalFormatting>
  <conditionalFormatting sqref="AE384">
    <cfRule type="expression" dxfId="7723" priority="10068">
      <formula>$E384&lt;&gt;"Yes"</formula>
    </cfRule>
  </conditionalFormatting>
  <conditionalFormatting sqref="M385:M386 F385:J386 Q385:Q386">
    <cfRule type="expression" dxfId="7722" priority="10065">
      <formula>$E$7&lt;&gt;"Yes"</formula>
    </cfRule>
  </conditionalFormatting>
  <conditionalFormatting sqref="G385:G386">
    <cfRule type="expression" dxfId="7721" priority="10063">
      <formula>$E$7&lt;&gt;"Yes"</formula>
    </cfRule>
  </conditionalFormatting>
  <conditionalFormatting sqref="K385:L386">
    <cfRule type="expression" dxfId="7720" priority="10062">
      <formula>$E$7&lt;&gt;"Yes"</formula>
    </cfRule>
  </conditionalFormatting>
  <conditionalFormatting sqref="N385:N386">
    <cfRule type="expression" dxfId="7719" priority="10038">
      <formula>$E$7&lt;&gt;"Yes"</formula>
    </cfRule>
  </conditionalFormatting>
  <conditionalFormatting sqref="W385:W386">
    <cfRule type="expression" dxfId="7718" priority="10058">
      <formula>$E$7&lt;&gt;"Yes"</formula>
    </cfRule>
  </conditionalFormatting>
  <conditionalFormatting sqref="AE385:AE386">
    <cfRule type="expression" dxfId="7717" priority="10036">
      <formula>$E$7&lt;&gt;"Yes"</formula>
    </cfRule>
  </conditionalFormatting>
  <conditionalFormatting sqref="Q9">
    <cfRule type="expression" dxfId="7716" priority="10030">
      <formula>$E$7&lt;&gt;"Yes"</formula>
    </cfRule>
  </conditionalFormatting>
  <conditionalFormatting sqref="Q9">
    <cfRule type="expression" dxfId="7715" priority="10029">
      <formula>$E9&lt;&gt;"Yes"</formula>
    </cfRule>
  </conditionalFormatting>
  <conditionalFormatting sqref="M9 F9:J9 Q9">
    <cfRule type="expression" dxfId="7714" priority="10028">
      <formula>$E$7&lt;&gt;"Yes"</formula>
    </cfRule>
  </conditionalFormatting>
  <conditionalFormatting sqref="M9 F9:J9 Q9">
    <cfRule type="expression" dxfId="7713" priority="10027">
      <formula>$E9&lt;&gt;"Yes"</formula>
    </cfRule>
  </conditionalFormatting>
  <conditionalFormatting sqref="G9">
    <cfRule type="expression" dxfId="7712" priority="10026">
      <formula>$E$7&lt;&gt;"Yes"</formula>
    </cfRule>
  </conditionalFormatting>
  <conditionalFormatting sqref="K9:L9">
    <cfRule type="expression" dxfId="7711" priority="10025">
      <formula>$E$7&lt;&gt;"Yes"</formula>
    </cfRule>
  </conditionalFormatting>
  <conditionalFormatting sqref="K9:L9">
    <cfRule type="expression" dxfId="7710" priority="10024">
      <formula>$E9&lt;&gt;"Yes"</formula>
    </cfRule>
  </conditionalFormatting>
  <conditionalFormatting sqref="G41">
    <cfRule type="expression" dxfId="7709" priority="9995">
      <formula>$E$7&lt;&gt;"Yes"</formula>
    </cfRule>
  </conditionalFormatting>
  <conditionalFormatting sqref="M41 F41:J41 Q41">
    <cfRule type="expression" dxfId="7708" priority="9997">
      <formula>$E$7&lt;&gt;"Yes"</formula>
    </cfRule>
  </conditionalFormatting>
  <conditionalFormatting sqref="M41 F41:J41 Q41">
    <cfRule type="expression" dxfId="7707" priority="9996">
      <formula>$E41&lt;&gt;"Yes"</formula>
    </cfRule>
  </conditionalFormatting>
  <conditionalFormatting sqref="W9">
    <cfRule type="expression" dxfId="7706" priority="10021">
      <formula>$E$7&lt;&gt;"Yes"</formula>
    </cfRule>
  </conditionalFormatting>
  <conditionalFormatting sqref="W9">
    <cfRule type="expression" dxfId="7705" priority="10020">
      <formula>$E9&lt;&gt;"Yes"</formula>
    </cfRule>
  </conditionalFormatting>
  <conditionalFormatting sqref="AE9">
    <cfRule type="expression" dxfId="7704" priority="10003">
      <formula>$E$7&lt;&gt;"Yes"</formula>
    </cfRule>
  </conditionalFormatting>
  <conditionalFormatting sqref="AE9">
    <cfRule type="expression" dxfId="7703" priority="10002">
      <formula>$E9&lt;&gt;"Yes"</formula>
    </cfRule>
  </conditionalFormatting>
  <conditionalFormatting sqref="N9">
    <cfRule type="expression" dxfId="7702" priority="9999">
      <formula>$E$7&lt;&gt;"Yes"</formula>
    </cfRule>
  </conditionalFormatting>
  <conditionalFormatting sqref="N9">
    <cfRule type="expression" dxfId="7701" priority="9998">
      <formula>$E9&lt;&gt;"Yes"</formula>
    </cfRule>
  </conditionalFormatting>
  <conditionalFormatting sqref="K41:L41">
    <cfRule type="expression" dxfId="7700" priority="9994">
      <formula>$E$7&lt;&gt;"Yes"</formula>
    </cfRule>
  </conditionalFormatting>
  <conditionalFormatting sqref="K41:L41">
    <cfRule type="expression" dxfId="7699" priority="9993">
      <formula>$E41&lt;&gt;"Yes"</formula>
    </cfRule>
  </conditionalFormatting>
  <conditionalFormatting sqref="M43 F43:J43 Q43">
    <cfRule type="expression" dxfId="7698" priority="9964">
      <formula>$E$7&lt;&gt;"Yes"</formula>
    </cfRule>
  </conditionalFormatting>
  <conditionalFormatting sqref="M43 F43:J43 Q43">
    <cfRule type="expression" dxfId="7697" priority="9963">
      <formula>$E43&lt;&gt;"Yes"</formula>
    </cfRule>
  </conditionalFormatting>
  <conditionalFormatting sqref="Q43">
    <cfRule type="expression" dxfId="7696" priority="9966">
      <formula>$E$7&lt;&gt;"Yes"</formula>
    </cfRule>
  </conditionalFormatting>
  <conditionalFormatting sqref="Q43">
    <cfRule type="expression" dxfId="7695" priority="9965">
      <formula>$E43&lt;&gt;"Yes"</formula>
    </cfRule>
  </conditionalFormatting>
  <conditionalFormatting sqref="W41">
    <cfRule type="expression" dxfId="7694" priority="9990">
      <formula>$E$7&lt;&gt;"Yes"</formula>
    </cfRule>
  </conditionalFormatting>
  <conditionalFormatting sqref="W41">
    <cfRule type="expression" dxfId="7693" priority="9989">
      <formula>$E41&lt;&gt;"Yes"</formula>
    </cfRule>
  </conditionalFormatting>
  <conditionalFormatting sqref="AE41">
    <cfRule type="expression" dxfId="7692" priority="9972">
      <formula>$E$7&lt;&gt;"Yes"</formula>
    </cfRule>
  </conditionalFormatting>
  <conditionalFormatting sqref="AE41">
    <cfRule type="expression" dxfId="7691" priority="9971">
      <formula>$E41&lt;&gt;"Yes"</formula>
    </cfRule>
  </conditionalFormatting>
  <conditionalFormatting sqref="N41">
    <cfRule type="expression" dxfId="7690" priority="9968">
      <formula>$E$7&lt;&gt;"Yes"</formula>
    </cfRule>
  </conditionalFormatting>
  <conditionalFormatting sqref="N41">
    <cfRule type="expression" dxfId="7689" priority="9967">
      <formula>$E41&lt;&gt;"Yes"</formula>
    </cfRule>
  </conditionalFormatting>
  <conditionalFormatting sqref="G43">
    <cfRule type="expression" dxfId="7688" priority="9962">
      <formula>$E$7&lt;&gt;"Yes"</formula>
    </cfRule>
  </conditionalFormatting>
  <conditionalFormatting sqref="K43:L43">
    <cfRule type="expression" dxfId="7687" priority="9961">
      <formula>$E$7&lt;&gt;"Yes"</formula>
    </cfRule>
  </conditionalFormatting>
  <conditionalFormatting sqref="K43:L43">
    <cfRule type="expression" dxfId="7686" priority="9960">
      <formula>$E43&lt;&gt;"Yes"</formula>
    </cfRule>
  </conditionalFormatting>
  <conditionalFormatting sqref="N159">
    <cfRule type="expression" dxfId="7685" priority="9931">
      <formula>$E$7&lt;&gt;"Yes"</formula>
    </cfRule>
  </conditionalFormatting>
  <conditionalFormatting sqref="N159">
    <cfRule type="expression" dxfId="7684" priority="9930">
      <formula>$E159&lt;&gt;"Yes"</formula>
    </cfRule>
  </conditionalFormatting>
  <conditionalFormatting sqref="W43">
    <cfRule type="expression" dxfId="7683" priority="9957">
      <formula>$E$7&lt;&gt;"Yes"</formula>
    </cfRule>
  </conditionalFormatting>
  <conditionalFormatting sqref="W43">
    <cfRule type="expression" dxfId="7682" priority="9956">
      <formula>$E43&lt;&gt;"Yes"</formula>
    </cfRule>
  </conditionalFormatting>
  <conditionalFormatting sqref="AE43">
    <cfRule type="expression" dxfId="7681" priority="9939">
      <formula>$E$7&lt;&gt;"Yes"</formula>
    </cfRule>
  </conditionalFormatting>
  <conditionalFormatting sqref="AE43">
    <cfRule type="expression" dxfId="7680" priority="9938">
      <formula>$E43&lt;&gt;"Yes"</formula>
    </cfRule>
  </conditionalFormatting>
  <conditionalFormatting sqref="N43">
    <cfRule type="expression" dxfId="7679" priority="9935">
      <formula>$E$7&lt;&gt;"Yes"</formula>
    </cfRule>
  </conditionalFormatting>
  <conditionalFormatting sqref="N43">
    <cfRule type="expression" dxfId="7678" priority="9934">
      <formula>$E43&lt;&gt;"Yes"</formula>
    </cfRule>
  </conditionalFormatting>
  <conditionalFormatting sqref="N241">
    <cfRule type="expression" dxfId="7677" priority="9929">
      <formula>$E$7&lt;&gt;"Yes"</formula>
    </cfRule>
  </conditionalFormatting>
  <conditionalFormatting sqref="N241">
    <cfRule type="expression" dxfId="7676" priority="9928">
      <formula>$E241&lt;&gt;"Yes"</formula>
    </cfRule>
  </conditionalFormatting>
  <conditionalFormatting sqref="N242:N245">
    <cfRule type="expression" dxfId="7675" priority="9927">
      <formula>$E$7&lt;&gt;"Yes"</formula>
    </cfRule>
  </conditionalFormatting>
  <conditionalFormatting sqref="N248">
    <cfRule type="expression" dxfId="7674" priority="9925">
      <formula>$E$7&lt;&gt;"Yes"</formula>
    </cfRule>
  </conditionalFormatting>
  <conditionalFormatting sqref="N248">
    <cfRule type="expression" dxfId="7673" priority="9924">
      <formula>$E248&lt;&gt;"Yes"</formula>
    </cfRule>
  </conditionalFormatting>
  <conditionalFormatting sqref="N251">
    <cfRule type="expression" dxfId="7672" priority="9923">
      <formula>$E$7&lt;&gt;"Yes"</formula>
    </cfRule>
  </conditionalFormatting>
  <conditionalFormatting sqref="N251">
    <cfRule type="expression" dxfId="7671" priority="9922">
      <formula>$E251&lt;&gt;"Yes"</formula>
    </cfRule>
  </conditionalFormatting>
  <conditionalFormatting sqref="N255">
    <cfRule type="expression" dxfId="7670" priority="9921">
      <formula>$E$7&lt;&gt;"Yes"</formula>
    </cfRule>
  </conditionalFormatting>
  <conditionalFormatting sqref="N255">
    <cfRule type="expression" dxfId="7669" priority="9920">
      <formula>$E255&lt;&gt;"Yes"</formula>
    </cfRule>
  </conditionalFormatting>
  <conditionalFormatting sqref="N263">
    <cfRule type="expression" dxfId="7668" priority="9919">
      <formula>$E$7&lt;&gt;"Yes"</formula>
    </cfRule>
  </conditionalFormatting>
  <conditionalFormatting sqref="N263">
    <cfRule type="expression" dxfId="7667" priority="9918">
      <formula>$E263&lt;&gt;"Yes"</formula>
    </cfRule>
  </conditionalFormatting>
  <conditionalFormatting sqref="N264">
    <cfRule type="expression" dxfId="7666" priority="9917">
      <formula>$E$7&lt;&gt;"Yes"</formula>
    </cfRule>
  </conditionalFormatting>
  <conditionalFormatting sqref="N264">
    <cfRule type="expression" dxfId="7665" priority="9916">
      <formula>$E264&lt;&gt;"Yes"</formula>
    </cfRule>
  </conditionalFormatting>
  <conditionalFormatting sqref="N265">
    <cfRule type="expression" dxfId="7664" priority="9915">
      <formula>$E$7&lt;&gt;"Yes"</formula>
    </cfRule>
  </conditionalFormatting>
  <conditionalFormatting sqref="N265">
    <cfRule type="expression" dxfId="7663" priority="9914">
      <formula>$E265&lt;&gt;"Yes"</formula>
    </cfRule>
  </conditionalFormatting>
  <conditionalFormatting sqref="N266">
    <cfRule type="expression" dxfId="7662" priority="9913">
      <formula>$E$7&lt;&gt;"Yes"</formula>
    </cfRule>
  </conditionalFormatting>
  <conditionalFormatting sqref="N266">
    <cfRule type="expression" dxfId="7661" priority="9912">
      <formula>$E266&lt;&gt;"Yes"</formula>
    </cfRule>
  </conditionalFormatting>
  <conditionalFormatting sqref="N269">
    <cfRule type="expression" dxfId="7660" priority="9911">
      <formula>$E$7&lt;&gt;"Yes"</formula>
    </cfRule>
  </conditionalFormatting>
  <conditionalFormatting sqref="N269">
    <cfRule type="expression" dxfId="7659" priority="9910">
      <formula>$E269&lt;&gt;"Yes"</formula>
    </cfRule>
  </conditionalFormatting>
  <conditionalFormatting sqref="N270">
    <cfRule type="expression" dxfId="7658" priority="9909">
      <formula>$E$7&lt;&gt;"Yes"</formula>
    </cfRule>
  </conditionalFormatting>
  <conditionalFormatting sqref="N270">
    <cfRule type="expression" dxfId="7657" priority="9908">
      <formula>$E270&lt;&gt;"Yes"</formula>
    </cfRule>
  </conditionalFormatting>
  <conditionalFormatting sqref="N286">
    <cfRule type="expression" dxfId="7656" priority="9907">
      <formula>$E$7&lt;&gt;"Yes"</formula>
    </cfRule>
  </conditionalFormatting>
  <conditionalFormatting sqref="N286">
    <cfRule type="expression" dxfId="7655" priority="9906">
      <formula>$E286&lt;&gt;"Yes"</formula>
    </cfRule>
  </conditionalFormatting>
  <conditionalFormatting sqref="N287">
    <cfRule type="expression" dxfId="7654" priority="9905">
      <formula>$E$7&lt;&gt;"Yes"</formula>
    </cfRule>
  </conditionalFormatting>
  <conditionalFormatting sqref="N287">
    <cfRule type="expression" dxfId="7653" priority="9904">
      <formula>$E287&lt;&gt;"Yes"</formula>
    </cfRule>
  </conditionalFormatting>
  <conditionalFormatting sqref="N290">
    <cfRule type="expression" dxfId="7652" priority="9903">
      <formula>$E$7&lt;&gt;"Yes"</formula>
    </cfRule>
  </conditionalFormatting>
  <conditionalFormatting sqref="N290">
    <cfRule type="expression" dxfId="7651" priority="9902">
      <formula>$E290&lt;&gt;"Yes"</formula>
    </cfRule>
  </conditionalFormatting>
  <conditionalFormatting sqref="N293">
    <cfRule type="expression" dxfId="7650" priority="9901">
      <formula>$E$7&lt;&gt;"Yes"</formula>
    </cfRule>
  </conditionalFormatting>
  <conditionalFormatting sqref="N293">
    <cfRule type="expression" dxfId="7649" priority="9900">
      <formula>$E293&lt;&gt;"Yes"</formula>
    </cfRule>
  </conditionalFormatting>
  <conditionalFormatting sqref="N297">
    <cfRule type="expression" dxfId="7648" priority="9899">
      <formula>$E$7&lt;&gt;"Yes"</formula>
    </cfRule>
  </conditionalFormatting>
  <conditionalFormatting sqref="N297">
    <cfRule type="expression" dxfId="7647" priority="9898">
      <formula>$E297&lt;&gt;"Yes"</formula>
    </cfRule>
  </conditionalFormatting>
  <conditionalFormatting sqref="N298">
    <cfRule type="expression" dxfId="7646" priority="9897">
      <formula>$E$7&lt;&gt;"Yes"</formula>
    </cfRule>
  </conditionalFormatting>
  <conditionalFormatting sqref="N298">
    <cfRule type="expression" dxfId="7645" priority="9896">
      <formula>$E298&lt;&gt;"Yes"</formula>
    </cfRule>
  </conditionalFormatting>
  <conditionalFormatting sqref="N301">
    <cfRule type="expression" dxfId="7644" priority="9895">
      <formula>$E$7&lt;&gt;"Yes"</formula>
    </cfRule>
  </conditionalFormatting>
  <conditionalFormatting sqref="N301">
    <cfRule type="expression" dxfId="7643" priority="9894">
      <formula>$E301&lt;&gt;"Yes"</formula>
    </cfRule>
  </conditionalFormatting>
  <conditionalFormatting sqref="N304">
    <cfRule type="expression" dxfId="7642" priority="9893">
      <formula>$E$7&lt;&gt;"Yes"</formula>
    </cfRule>
  </conditionalFormatting>
  <conditionalFormatting sqref="N304">
    <cfRule type="expression" dxfId="7641" priority="9892">
      <formula>$E304&lt;&gt;"Yes"</formula>
    </cfRule>
  </conditionalFormatting>
  <conditionalFormatting sqref="N312">
    <cfRule type="expression" dxfId="7640" priority="9891">
      <formula>$E$7&lt;&gt;"Yes"</formula>
    </cfRule>
  </conditionalFormatting>
  <conditionalFormatting sqref="N312">
    <cfRule type="expression" dxfId="7639" priority="9890">
      <formula>$E312&lt;&gt;"Yes"</formula>
    </cfRule>
  </conditionalFormatting>
  <conditionalFormatting sqref="N313">
    <cfRule type="expression" dxfId="7638" priority="9889">
      <formula>$E$7&lt;&gt;"Yes"</formula>
    </cfRule>
  </conditionalFormatting>
  <conditionalFormatting sqref="N313">
    <cfRule type="expression" dxfId="7637" priority="9888">
      <formula>$E313&lt;&gt;"Yes"</formula>
    </cfRule>
  </conditionalFormatting>
  <conditionalFormatting sqref="N316">
    <cfRule type="expression" dxfId="7636" priority="9887">
      <formula>$E$7&lt;&gt;"Yes"</formula>
    </cfRule>
  </conditionalFormatting>
  <conditionalFormatting sqref="N316">
    <cfRule type="expression" dxfId="7635" priority="9886">
      <formula>$E316&lt;&gt;"Yes"</formula>
    </cfRule>
  </conditionalFormatting>
  <conditionalFormatting sqref="N319">
    <cfRule type="expression" dxfId="7634" priority="9885">
      <formula>$E$7&lt;&gt;"Yes"</formula>
    </cfRule>
  </conditionalFormatting>
  <conditionalFormatting sqref="N319">
    <cfRule type="expression" dxfId="7633" priority="9884">
      <formula>$E319&lt;&gt;"Yes"</formula>
    </cfRule>
  </conditionalFormatting>
  <conditionalFormatting sqref="N322">
    <cfRule type="expression" dxfId="7632" priority="9883">
      <formula>$E$7&lt;&gt;"Yes"</formula>
    </cfRule>
  </conditionalFormatting>
  <conditionalFormatting sqref="N322">
    <cfRule type="expression" dxfId="7631" priority="9882">
      <formula>$E322&lt;&gt;"Yes"</formula>
    </cfRule>
  </conditionalFormatting>
  <conditionalFormatting sqref="N323">
    <cfRule type="expression" dxfId="7630" priority="9881">
      <formula>$E$7&lt;&gt;"Yes"</formula>
    </cfRule>
  </conditionalFormatting>
  <conditionalFormatting sqref="N323">
    <cfRule type="expression" dxfId="7629" priority="9880">
      <formula>$E323&lt;&gt;"Yes"</formula>
    </cfRule>
  </conditionalFormatting>
  <conditionalFormatting sqref="N326">
    <cfRule type="expression" dxfId="7628" priority="9879">
      <formula>$E$7&lt;&gt;"Yes"</formula>
    </cfRule>
  </conditionalFormatting>
  <conditionalFormatting sqref="N326">
    <cfRule type="expression" dxfId="7627" priority="9878">
      <formula>$E326&lt;&gt;"Yes"</formula>
    </cfRule>
  </conditionalFormatting>
  <conditionalFormatting sqref="N329">
    <cfRule type="expression" dxfId="7626" priority="9877">
      <formula>$E$7&lt;&gt;"Yes"</formula>
    </cfRule>
  </conditionalFormatting>
  <conditionalFormatting sqref="N329">
    <cfRule type="expression" dxfId="7625" priority="9876">
      <formula>$E329&lt;&gt;"Yes"</formula>
    </cfRule>
  </conditionalFormatting>
  <conditionalFormatting sqref="N380">
    <cfRule type="expression" dxfId="7624" priority="9875">
      <formula>$E$7&lt;&gt;"Yes"</formula>
    </cfRule>
  </conditionalFormatting>
  <conditionalFormatting sqref="N380">
    <cfRule type="expression" dxfId="7623" priority="9874">
      <formula>$E380&lt;&gt;"Yes"</formula>
    </cfRule>
  </conditionalFormatting>
  <conditionalFormatting sqref="N381">
    <cfRule type="expression" dxfId="7622" priority="9873">
      <formula>$E$7&lt;&gt;"Yes"</formula>
    </cfRule>
  </conditionalFormatting>
  <conditionalFormatting sqref="N381">
    <cfRule type="expression" dxfId="7621" priority="9872">
      <formula>$E381&lt;&gt;"Yes"</formula>
    </cfRule>
  </conditionalFormatting>
  <conditionalFormatting sqref="N382">
    <cfRule type="expression" dxfId="7620" priority="9871">
      <formula>$E$7&lt;&gt;"Yes"</formula>
    </cfRule>
  </conditionalFormatting>
  <conditionalFormatting sqref="N382">
    <cfRule type="expression" dxfId="7619" priority="9870">
      <formula>$E382&lt;&gt;"Yes"</formula>
    </cfRule>
  </conditionalFormatting>
  <conditionalFormatting sqref="N383">
    <cfRule type="expression" dxfId="7618" priority="9869">
      <formula>$E$7&lt;&gt;"Yes"</formula>
    </cfRule>
  </conditionalFormatting>
  <conditionalFormatting sqref="N383">
    <cfRule type="expression" dxfId="7617" priority="9868">
      <formula>$E383&lt;&gt;"Yes"</formula>
    </cfRule>
  </conditionalFormatting>
  <conditionalFormatting sqref="H290">
    <cfRule type="expression" dxfId="7616" priority="9867">
      <formula>$E$7&lt;&gt;"Yes"</formula>
    </cfRule>
  </conditionalFormatting>
  <conditionalFormatting sqref="H290">
    <cfRule type="expression" dxfId="7615" priority="9866">
      <formula>$E290&lt;&gt;"Yes"</formula>
    </cfRule>
  </conditionalFormatting>
  <conditionalFormatting sqref="AB8">
    <cfRule type="expression" dxfId="7614" priority="9853">
      <formula>$E$7&lt;&gt;"Yes"</formula>
    </cfRule>
  </conditionalFormatting>
  <conditionalFormatting sqref="AB8">
    <cfRule type="expression" dxfId="7613" priority="9852">
      <formula>$E8&lt;&gt;"Yes"</formula>
    </cfRule>
  </conditionalFormatting>
  <conditionalFormatting sqref="AB9:AB11 AB168:AB171 AB255 AB353:AB354 AB285:AB305 AB334:AB351 AB159:AB161 AB209:AB210 AB251 AB262:AB272 AB22:AB33 AB132:AB146 AB100:AB113 AB193:AB204 AB119 AB62:AB85 AB90 AB121:AB123 AB126:AB129 AB149:AB150 AB164:AB165 AB248 AB357:AB360 AB35:AB37 AB212:AB215 AB40:AB56 AB217:AB223 AB230:AB245 AB311:AB330 AB279:AB283 AB369:AB374 AB378:AB386">
    <cfRule type="expression" dxfId="7612" priority="9851">
      <formula>$E$7&lt;&gt;"Yes"</formula>
    </cfRule>
  </conditionalFormatting>
  <conditionalFormatting sqref="AB9:AB11 AB168:AB171 AB255 AB285:AB305 AB334:AB351 AB159:AB161 AB251 AB262:AB272 AB22:AB33 AB132:AB146 AB100:AB113 AB193:AB204 AB119 AB62:AB85 AB90 AB121:AB123 AB126:AB129 AB149:AB150 AB164:AB165 AB35:AB37 AB40:AB56 AB311:AB330 AB279:AB283">
    <cfRule type="expression" dxfId="7611" priority="9850">
      <formula>$E9&lt;&gt;"Yes"</formula>
    </cfRule>
  </conditionalFormatting>
  <conditionalFormatting sqref="AA8:AA11 AA168:AA171 AA255 AA353:AA354 AA285:AA305 AA334:AA351 AA159:AA161 AA209:AA210 AA251 AA262:AA272 AA22:AA33 AA132:AA146 AA100:AA113 AA193:AA204 AA119 AA62:AA85 AA90 AA121:AA123 AA126:AA129 AA149:AA150 AA164:AA165 AA248 AA357:AA360 AA35:AA37 AA212:AA215 AA40:AA56 AA217:AA223 AA230:AA245 AA311:AA330 AA279:AA283 AA369:AA374 AA378:AA386">
    <cfRule type="expression" dxfId="7610" priority="9849">
      <formula>$E$7&lt;&gt;"Yes"</formula>
    </cfRule>
  </conditionalFormatting>
  <conditionalFormatting sqref="AA8:AA11 AA168:AA171 AA255 AA285:AA305 AA334:AA351 AA159:AA161 AA251 AA262:AA272 AA22:AA33 AA132:AA146 AA100:AA113 AA193:AA204 AA119 AA62:AA85 AA90 AA121:AA123 AA126:AA129 AA149:AA150 AA164:AA165 AA35:AA37 AA40:AA56 AA311:AA330 AA279:AA283">
    <cfRule type="expression" dxfId="7609" priority="9848">
      <formula>$E8&lt;&gt;"Yes"</formula>
    </cfRule>
  </conditionalFormatting>
  <conditionalFormatting sqref="Y8:Y11 Y168:Y171 Y255 Y353:Y354 Y285:Y305 Y334:Y351 Y159:Y161 Y209:Y210 Y251 Y262:Y272 Y22:Y33 Y132:Y146 Y100:Y113 Y193:Y204 Y119 Y62:Y85 Y90 Y121:Y123 Y126:Y129 Y149:Y150 Y164:Y165 Y248 Y357:Y360 Y35:Y37 Y212:Y215 Y40:Y56 Y217:Y223 Y230:Y245 Y311:Y330 Y279:Y283 Y369:Y374 Y378:Y386">
    <cfRule type="expression" dxfId="7608" priority="9835">
      <formula>$E$7&lt;&gt;"Yes"</formula>
    </cfRule>
  </conditionalFormatting>
  <conditionalFormatting sqref="Y8:Y11 Y168:Y171 Y255 Y285:Y305 Y334:Y351 Y159:Y161 Y251 Y262:Y272 Y22:Y33 Y132:Y146 Y100:Y113 Y193:Y204 Y119 Y62:Y85 Y90 Y121:Y123 Y126:Y129 Y149:Y150 Y164:Y165 Y35:Y37 Y40:Y56 Y311:Y330 Y279:Y283">
    <cfRule type="expression" dxfId="7607" priority="9834">
      <formula>$E8&lt;&gt;"Yes"</formula>
    </cfRule>
  </conditionalFormatting>
  <conditionalFormatting sqref="O7:P7 O223:P223 O201:P204 O170:P171 O378:P378 O357:P358 O102:P113 O76:P85 O70:P70 O66:P67 O54:P56 O52:P52 O44:P46 O50:P50 O347:P351 O341:P345 O337:P339 O132:P146 O121:P121 O48:P48 O305:P305 O299:P300 O302:P303 O314:P315 O317:P318 O320:P321 O330:P330 O327:P328 O324:P325 O241:P245 O267:P268 O271:P272 O288:P289 O291:P292 O294:P296 O64:P64 O68 O27:P33 O255:P255 O285:P285 O334:P335 O209:P210 O251:P251 O262:P264 O100:P100 O193:P198 O62:P62 O90:P90 O149:P150 O248:P248 O35:P37 O212:P215 O40:P40 O230:P237 O311:P311 O279:P283">
    <cfRule type="expression" dxfId="7606" priority="9831">
      <formula>$E$7&lt;&gt;"Yes"</formula>
    </cfRule>
  </conditionalFormatting>
  <conditionalFormatting sqref="O7:P7 O223:P223 O201:P204 O170:P171 O378:P378 O357:P358 O102:P113 O76:P85 O70:P70 O66:P67 O54:P56 O52:P52 O44:P46 O50:P50 O347:P351 O341:P345 O337:P339 O132:P146 O121:P121 O48:P48 O305:P305 O299:P300 O302:P303 O314:P315 O317:P318 O320:P321 O330:P330 O327:P328 O324:P325 O267:P268 O271:P272 O288:P289 O291:P292 O294:P296 O64:P64 O68 O27:P33 O255:P255 O285:P285 O334:P335 O209:P210 O251:P251 O262:P264 O100:P100 O193:P198 O62:P62 O90:P90 O149:P150 O35:P37 O212:P215 O40:P40 O230:P237 O311:P311 O279:P283">
    <cfRule type="expression" dxfId="7605" priority="9830">
      <formula>$E7&lt;&gt;"Yes"</formula>
    </cfRule>
  </conditionalFormatting>
  <conditionalFormatting sqref="O47:P47">
    <cfRule type="expression" dxfId="7604" priority="9829">
      <formula>$E$7&lt;&gt;"Yes"</formula>
    </cfRule>
  </conditionalFormatting>
  <conditionalFormatting sqref="O47:P47">
    <cfRule type="expression" dxfId="7603" priority="9828">
      <formula>$E47&lt;&gt;"Yes"</formula>
    </cfRule>
  </conditionalFormatting>
  <conditionalFormatting sqref="O119:P119">
    <cfRule type="expression" dxfId="7602" priority="9827">
      <formula>$E$7&lt;&gt;"Yes"</formula>
    </cfRule>
  </conditionalFormatting>
  <conditionalFormatting sqref="O119:P119">
    <cfRule type="expression" dxfId="7601" priority="9826">
      <formula>$E119&lt;&gt;"Yes"</formula>
    </cfRule>
  </conditionalFormatting>
  <conditionalFormatting sqref="O123:P123">
    <cfRule type="expression" dxfId="7600" priority="9825">
      <formula>$E$7&lt;&gt;"Yes"</formula>
    </cfRule>
  </conditionalFormatting>
  <conditionalFormatting sqref="O123:P123">
    <cfRule type="expression" dxfId="7599" priority="9824">
      <formula>$E123&lt;&gt;"Yes"</formula>
    </cfRule>
  </conditionalFormatting>
  <conditionalFormatting sqref="O126:P126">
    <cfRule type="expression" dxfId="7598" priority="9823">
      <formula>$E$7&lt;&gt;"Yes"</formula>
    </cfRule>
  </conditionalFormatting>
  <conditionalFormatting sqref="O126:P126">
    <cfRule type="expression" dxfId="7597" priority="9822">
      <formula>$E126&lt;&gt;"Yes"</formula>
    </cfRule>
  </conditionalFormatting>
  <conditionalFormatting sqref="O127:P127">
    <cfRule type="expression" dxfId="7596" priority="9821">
      <formula>$E$7&lt;&gt;"Yes"</formula>
    </cfRule>
  </conditionalFormatting>
  <conditionalFormatting sqref="O127:P127">
    <cfRule type="expression" dxfId="7595" priority="9820">
      <formula>$E127&lt;&gt;"Yes"</formula>
    </cfRule>
  </conditionalFormatting>
  <conditionalFormatting sqref="O128:P128">
    <cfRule type="expression" dxfId="7594" priority="9819">
      <formula>$E$7&lt;&gt;"Yes"</formula>
    </cfRule>
  </conditionalFormatting>
  <conditionalFormatting sqref="O128:P128">
    <cfRule type="expression" dxfId="7593" priority="9818">
      <formula>$E128&lt;&gt;"Yes"</formula>
    </cfRule>
  </conditionalFormatting>
  <conditionalFormatting sqref="O49:P49">
    <cfRule type="expression" dxfId="7592" priority="9809">
      <formula>$E$7&lt;&gt;"Yes"</formula>
    </cfRule>
  </conditionalFormatting>
  <conditionalFormatting sqref="O49:P49">
    <cfRule type="expression" dxfId="7591" priority="9808">
      <formula>$E49&lt;&gt;"Yes"</formula>
    </cfRule>
  </conditionalFormatting>
  <conditionalFormatting sqref="O336:P336">
    <cfRule type="expression" dxfId="7590" priority="9815">
      <formula>$E$7&lt;&gt;"Yes"</formula>
    </cfRule>
  </conditionalFormatting>
  <conditionalFormatting sqref="O336:P336">
    <cfRule type="expression" dxfId="7589" priority="9814">
      <formula>$E336&lt;&gt;"Yes"</formula>
    </cfRule>
  </conditionalFormatting>
  <conditionalFormatting sqref="O340:P340">
    <cfRule type="expression" dxfId="7588" priority="9813">
      <formula>$E$7&lt;&gt;"Yes"</formula>
    </cfRule>
  </conditionalFormatting>
  <conditionalFormatting sqref="O340:P340">
    <cfRule type="expression" dxfId="7587" priority="9812">
      <formula>$E340&lt;&gt;"Yes"</formula>
    </cfRule>
  </conditionalFormatting>
  <conditionalFormatting sqref="O346:P346">
    <cfRule type="expression" dxfId="7586" priority="9811">
      <formula>$E$7&lt;&gt;"Yes"</formula>
    </cfRule>
  </conditionalFormatting>
  <conditionalFormatting sqref="O346:P346">
    <cfRule type="expression" dxfId="7585" priority="9810">
      <formula>$E346&lt;&gt;"Yes"</formula>
    </cfRule>
  </conditionalFormatting>
  <conditionalFormatting sqref="O8:P8">
    <cfRule type="expression" dxfId="7584" priority="9807">
      <formula>$E$7&lt;&gt;"Yes"</formula>
    </cfRule>
  </conditionalFormatting>
  <conditionalFormatting sqref="O8:P8">
    <cfRule type="expression" dxfId="7583" priority="9806">
      <formula>$E8&lt;&gt;"Yes"</formula>
    </cfRule>
  </conditionalFormatting>
  <conditionalFormatting sqref="O10:P10">
    <cfRule type="expression" dxfId="7582" priority="9805">
      <formula>$E$7&lt;&gt;"Yes"</formula>
    </cfRule>
  </conditionalFormatting>
  <conditionalFormatting sqref="O10:P10">
    <cfRule type="expression" dxfId="7581" priority="9804">
      <formula>$E10&lt;&gt;"Yes"</formula>
    </cfRule>
  </conditionalFormatting>
  <conditionalFormatting sqref="O42:P42">
    <cfRule type="expression" dxfId="7580" priority="9803">
      <formula>$E$7&lt;&gt;"Yes"</formula>
    </cfRule>
  </conditionalFormatting>
  <conditionalFormatting sqref="O42:P42">
    <cfRule type="expression" dxfId="7579" priority="9802">
      <formula>$E42&lt;&gt;"Yes"</formula>
    </cfRule>
  </conditionalFormatting>
  <conditionalFormatting sqref="O51:P51">
    <cfRule type="expression" dxfId="7578" priority="9801">
      <formula>$E$7&lt;&gt;"Yes"</formula>
    </cfRule>
  </conditionalFormatting>
  <conditionalFormatting sqref="O51:P51">
    <cfRule type="expression" dxfId="7577" priority="9800">
      <formula>$E51&lt;&gt;"Yes"</formula>
    </cfRule>
  </conditionalFormatting>
  <conditionalFormatting sqref="O53:P53">
    <cfRule type="expression" dxfId="7576" priority="9799">
      <formula>$E$7&lt;&gt;"Yes"</formula>
    </cfRule>
  </conditionalFormatting>
  <conditionalFormatting sqref="O53:P53">
    <cfRule type="expression" dxfId="7575" priority="9798">
      <formula>$E53&lt;&gt;"Yes"</formula>
    </cfRule>
  </conditionalFormatting>
  <conditionalFormatting sqref="O65:P65">
    <cfRule type="expression" dxfId="7574" priority="9797">
      <formula>$E$7&lt;&gt;"Yes"</formula>
    </cfRule>
  </conditionalFormatting>
  <conditionalFormatting sqref="O65:P65">
    <cfRule type="expression" dxfId="7573" priority="9796">
      <formula>$E65&lt;&gt;"Yes"</formula>
    </cfRule>
  </conditionalFormatting>
  <conditionalFormatting sqref="O69:P69">
    <cfRule type="expression" dxfId="7572" priority="9795">
      <formula>$E$7&lt;&gt;"Yes"</formula>
    </cfRule>
  </conditionalFormatting>
  <conditionalFormatting sqref="O69:P69">
    <cfRule type="expression" dxfId="7571" priority="9794">
      <formula>$E69&lt;&gt;"Yes"</formula>
    </cfRule>
  </conditionalFormatting>
  <conditionalFormatting sqref="O71">
    <cfRule type="expression" dxfId="7570" priority="9793">
      <formula>$E$7&lt;&gt;"Yes"</formula>
    </cfRule>
  </conditionalFormatting>
  <conditionalFormatting sqref="O71">
    <cfRule type="expression" dxfId="7569" priority="9792">
      <formula>$E71&lt;&gt;"Yes"</formula>
    </cfRule>
  </conditionalFormatting>
  <conditionalFormatting sqref="O101:P101">
    <cfRule type="expression" dxfId="7568" priority="9791">
      <formula>$E$7&lt;&gt;"Yes"</formula>
    </cfRule>
  </conditionalFormatting>
  <conditionalFormatting sqref="O101:P101">
    <cfRule type="expression" dxfId="7567" priority="9790">
      <formula>$E101&lt;&gt;"Yes"</formula>
    </cfRule>
  </conditionalFormatting>
  <conditionalFormatting sqref="O22:P22">
    <cfRule type="expression" dxfId="7566" priority="9789">
      <formula>$E$7&lt;&gt;"Yes"</formula>
    </cfRule>
  </conditionalFormatting>
  <conditionalFormatting sqref="O22:P22">
    <cfRule type="expression" dxfId="7565" priority="9788">
      <formula>$E22&lt;&gt;"Yes"</formula>
    </cfRule>
  </conditionalFormatting>
  <conditionalFormatting sqref="O23:P23">
    <cfRule type="expression" dxfId="7564" priority="9787">
      <formula>$E$7&lt;&gt;"Yes"</formula>
    </cfRule>
  </conditionalFormatting>
  <conditionalFormatting sqref="O23:P23">
    <cfRule type="expression" dxfId="7563" priority="9786">
      <formula>$E23&lt;&gt;"Yes"</formula>
    </cfRule>
  </conditionalFormatting>
  <conditionalFormatting sqref="O72">
    <cfRule type="expression" dxfId="7562" priority="9785">
      <formula>$E$7&lt;&gt;"Yes"</formula>
    </cfRule>
  </conditionalFormatting>
  <conditionalFormatting sqref="O72">
    <cfRule type="expression" dxfId="7561" priority="9784">
      <formula>$E72&lt;&gt;"Yes"</formula>
    </cfRule>
  </conditionalFormatting>
  <conditionalFormatting sqref="O73">
    <cfRule type="expression" dxfId="7560" priority="9783">
      <formula>$E$7&lt;&gt;"Yes"</formula>
    </cfRule>
  </conditionalFormatting>
  <conditionalFormatting sqref="O73">
    <cfRule type="expression" dxfId="7559" priority="9782">
      <formula>$E73&lt;&gt;"Yes"</formula>
    </cfRule>
  </conditionalFormatting>
  <conditionalFormatting sqref="O74">
    <cfRule type="expression" dxfId="7558" priority="9781">
      <formula>$E$7&lt;&gt;"Yes"</formula>
    </cfRule>
  </conditionalFormatting>
  <conditionalFormatting sqref="O74">
    <cfRule type="expression" dxfId="7557" priority="9780">
      <formula>$E74&lt;&gt;"Yes"</formula>
    </cfRule>
  </conditionalFormatting>
  <conditionalFormatting sqref="O353:P354">
    <cfRule type="expression" dxfId="7556" priority="9779">
      <formula>$E$7&lt;&gt;"Yes"</formula>
    </cfRule>
  </conditionalFormatting>
  <conditionalFormatting sqref="O353:P354">
    <cfRule type="expression" dxfId="7555" priority="9778">
      <formula>$E353&lt;&gt;"Yes"</formula>
    </cfRule>
  </conditionalFormatting>
  <conditionalFormatting sqref="O371:P372">
    <cfRule type="expression" dxfId="7554" priority="9777">
      <formula>$E$7&lt;&gt;"Yes"</formula>
    </cfRule>
  </conditionalFormatting>
  <conditionalFormatting sqref="O371:P372">
    <cfRule type="expression" dxfId="7553" priority="9776">
      <formula>$E371&lt;&gt;"Yes"</formula>
    </cfRule>
  </conditionalFormatting>
  <conditionalFormatting sqref="O369:P370">
    <cfRule type="expression" dxfId="7552" priority="9775">
      <formula>$E$7&lt;&gt;"Yes"</formula>
    </cfRule>
  </conditionalFormatting>
  <conditionalFormatting sqref="O369:P370">
    <cfRule type="expression" dxfId="7551" priority="9774">
      <formula>$E369&lt;&gt;"Yes"</formula>
    </cfRule>
  </conditionalFormatting>
  <conditionalFormatting sqref="O359:P360">
    <cfRule type="expression" dxfId="7550" priority="9773">
      <formula>$E$7&lt;&gt;"Yes"</formula>
    </cfRule>
  </conditionalFormatting>
  <conditionalFormatting sqref="O359:P360">
    <cfRule type="expression" dxfId="7549" priority="9772">
      <formula>$E359&lt;&gt;"Yes"</formula>
    </cfRule>
  </conditionalFormatting>
  <conditionalFormatting sqref="O373:P374">
    <cfRule type="expression" dxfId="7548" priority="9771">
      <formula>$E$7&lt;&gt;"Yes"</formula>
    </cfRule>
  </conditionalFormatting>
  <conditionalFormatting sqref="O373:P374">
    <cfRule type="expression" dxfId="7547" priority="9770">
      <formula>$E373&lt;&gt;"Yes"</formula>
    </cfRule>
  </conditionalFormatting>
  <conditionalFormatting sqref="O379:P379">
    <cfRule type="expression" dxfId="7546" priority="9769">
      <formula>$E$7&lt;&gt;"Yes"</formula>
    </cfRule>
  </conditionalFormatting>
  <conditionalFormatting sqref="O379:P379">
    <cfRule type="expression" dxfId="7545" priority="9768">
      <formula>$E379&lt;&gt;"Yes"</formula>
    </cfRule>
  </conditionalFormatting>
  <conditionalFormatting sqref="O122:P122">
    <cfRule type="expression" dxfId="7544" priority="9767">
      <formula>$E$7&lt;&gt;"Yes"</formula>
    </cfRule>
  </conditionalFormatting>
  <conditionalFormatting sqref="O122:P122">
    <cfRule type="expression" dxfId="7543" priority="9766">
      <formula>$E122&lt;&gt;"Yes"</formula>
    </cfRule>
  </conditionalFormatting>
  <conditionalFormatting sqref="O161:P161">
    <cfRule type="expression" dxfId="7542" priority="9765">
      <formula>$E$7&lt;&gt;"Yes"</formula>
    </cfRule>
  </conditionalFormatting>
  <conditionalFormatting sqref="O161:P161">
    <cfRule type="expression" dxfId="7541" priority="9764">
      <formula>$E161&lt;&gt;"Yes"</formula>
    </cfRule>
  </conditionalFormatting>
  <conditionalFormatting sqref="O164:P164">
    <cfRule type="expression" dxfId="7540" priority="9763">
      <formula>$E$7&lt;&gt;"Yes"</formula>
    </cfRule>
  </conditionalFormatting>
  <conditionalFormatting sqref="O164:P164">
    <cfRule type="expression" dxfId="7539" priority="9762">
      <formula>$E164&lt;&gt;"Yes"</formula>
    </cfRule>
  </conditionalFormatting>
  <conditionalFormatting sqref="O168:P168">
    <cfRule type="expression" dxfId="7538" priority="9761">
      <formula>$E$7&lt;&gt;"Yes"</formula>
    </cfRule>
  </conditionalFormatting>
  <conditionalFormatting sqref="O168:P168">
    <cfRule type="expression" dxfId="7537" priority="9760">
      <formula>$E168&lt;&gt;"Yes"</formula>
    </cfRule>
  </conditionalFormatting>
  <conditionalFormatting sqref="O169:P169">
    <cfRule type="expression" dxfId="7536" priority="9759">
      <formula>$E$7&lt;&gt;"Yes"</formula>
    </cfRule>
  </conditionalFormatting>
  <conditionalFormatting sqref="O169:P169">
    <cfRule type="expression" dxfId="7535" priority="9758">
      <formula>$E169&lt;&gt;"Yes"</formula>
    </cfRule>
  </conditionalFormatting>
  <conditionalFormatting sqref="O165:P165">
    <cfRule type="expression" dxfId="7534" priority="9757">
      <formula>$E$7&lt;&gt;"Yes"</formula>
    </cfRule>
  </conditionalFormatting>
  <conditionalFormatting sqref="O165:P165">
    <cfRule type="expression" dxfId="7533" priority="9756">
      <formula>$E165&lt;&gt;"Yes"</formula>
    </cfRule>
  </conditionalFormatting>
  <conditionalFormatting sqref="O199:P199">
    <cfRule type="expression" dxfId="7532" priority="9755">
      <formula>$E$7&lt;&gt;"Yes"</formula>
    </cfRule>
  </conditionalFormatting>
  <conditionalFormatting sqref="O199:P199">
    <cfRule type="expression" dxfId="7531" priority="9754">
      <formula>$E199&lt;&gt;"Yes"</formula>
    </cfRule>
  </conditionalFormatting>
  <conditionalFormatting sqref="O200:P200">
    <cfRule type="expression" dxfId="7530" priority="9753">
      <formula>$E$7&lt;&gt;"Yes"</formula>
    </cfRule>
  </conditionalFormatting>
  <conditionalFormatting sqref="O200:P200">
    <cfRule type="expression" dxfId="7529" priority="9752">
      <formula>$E200&lt;&gt;"Yes"</formula>
    </cfRule>
  </conditionalFormatting>
  <conditionalFormatting sqref="O217:P217">
    <cfRule type="expression" dxfId="7528" priority="9751">
      <formula>$E$7&lt;&gt;"Yes"</formula>
    </cfRule>
  </conditionalFormatting>
  <conditionalFormatting sqref="O217:P217">
    <cfRule type="expression" dxfId="7527" priority="9750">
      <formula>$E217&lt;&gt;"Yes"</formula>
    </cfRule>
  </conditionalFormatting>
  <conditionalFormatting sqref="O218:P218">
    <cfRule type="expression" dxfId="7526" priority="9749">
      <formula>$E$7&lt;&gt;"Yes"</formula>
    </cfRule>
  </conditionalFormatting>
  <conditionalFormatting sqref="O218:P218">
    <cfRule type="expression" dxfId="7525" priority="9748">
      <formula>$E218&lt;&gt;"Yes"</formula>
    </cfRule>
  </conditionalFormatting>
  <conditionalFormatting sqref="O221:P221">
    <cfRule type="expression" dxfId="7524" priority="9747">
      <formula>$E$7&lt;&gt;"Yes"</formula>
    </cfRule>
  </conditionalFormatting>
  <conditionalFormatting sqref="O221:P221">
    <cfRule type="expression" dxfId="7523" priority="9746">
      <formula>$E221&lt;&gt;"Yes"</formula>
    </cfRule>
  </conditionalFormatting>
  <conditionalFormatting sqref="O222:P222">
    <cfRule type="expression" dxfId="7522" priority="9745">
      <formula>$E$7&lt;&gt;"Yes"</formula>
    </cfRule>
  </conditionalFormatting>
  <conditionalFormatting sqref="O222:P222">
    <cfRule type="expression" dxfId="7521" priority="9744">
      <formula>$E222&lt;&gt;"Yes"</formula>
    </cfRule>
  </conditionalFormatting>
  <conditionalFormatting sqref="O304:P304">
    <cfRule type="expression" dxfId="7520" priority="9743">
      <formula>$E$7&lt;&gt;"Yes"</formula>
    </cfRule>
  </conditionalFormatting>
  <conditionalFormatting sqref="O304:P304">
    <cfRule type="expression" dxfId="7519" priority="9742">
      <formula>$E304&lt;&gt;"Yes"</formula>
    </cfRule>
  </conditionalFormatting>
  <conditionalFormatting sqref="O297:P297">
    <cfRule type="expression" dxfId="7518" priority="9741">
      <formula>$E$7&lt;&gt;"Yes"</formula>
    </cfRule>
  </conditionalFormatting>
  <conditionalFormatting sqref="O297:P297">
    <cfRule type="expression" dxfId="7517" priority="9740">
      <formula>$E297&lt;&gt;"Yes"</formula>
    </cfRule>
  </conditionalFormatting>
  <conditionalFormatting sqref="O301:P301">
    <cfRule type="expression" dxfId="7516" priority="9739">
      <formula>$E$7&lt;&gt;"Yes"</formula>
    </cfRule>
  </conditionalFormatting>
  <conditionalFormatting sqref="O301:P301">
    <cfRule type="expression" dxfId="7515" priority="9738">
      <formula>$E301&lt;&gt;"Yes"</formula>
    </cfRule>
  </conditionalFormatting>
  <conditionalFormatting sqref="O312:P312">
    <cfRule type="expression" dxfId="7514" priority="9737">
      <formula>$E$7&lt;&gt;"Yes"</formula>
    </cfRule>
  </conditionalFormatting>
  <conditionalFormatting sqref="O312:P312">
    <cfRule type="expression" dxfId="7513" priority="9736">
      <formula>$E312&lt;&gt;"Yes"</formula>
    </cfRule>
  </conditionalFormatting>
  <conditionalFormatting sqref="O316:P316">
    <cfRule type="expression" dxfId="7512" priority="9735">
      <formula>$E$7&lt;&gt;"Yes"</formula>
    </cfRule>
  </conditionalFormatting>
  <conditionalFormatting sqref="O316:P316">
    <cfRule type="expression" dxfId="7511" priority="9734">
      <formula>$E316&lt;&gt;"Yes"</formula>
    </cfRule>
  </conditionalFormatting>
  <conditionalFormatting sqref="O319:P319">
    <cfRule type="expression" dxfId="7510" priority="9733">
      <formula>$E$7&lt;&gt;"Yes"</formula>
    </cfRule>
  </conditionalFormatting>
  <conditionalFormatting sqref="O319:P319">
    <cfRule type="expression" dxfId="7509" priority="9732">
      <formula>$E319&lt;&gt;"Yes"</formula>
    </cfRule>
  </conditionalFormatting>
  <conditionalFormatting sqref="O329:P329">
    <cfRule type="expression" dxfId="7508" priority="9731">
      <formula>$E$7&lt;&gt;"Yes"</formula>
    </cfRule>
  </conditionalFormatting>
  <conditionalFormatting sqref="O329:P329">
    <cfRule type="expression" dxfId="7507" priority="9730">
      <formula>$E329&lt;&gt;"Yes"</formula>
    </cfRule>
  </conditionalFormatting>
  <conditionalFormatting sqref="O326:P326">
    <cfRule type="expression" dxfId="7506" priority="9729">
      <formula>$E$7&lt;&gt;"Yes"</formula>
    </cfRule>
  </conditionalFormatting>
  <conditionalFormatting sqref="O326:P326">
    <cfRule type="expression" dxfId="7505" priority="9728">
      <formula>$E326&lt;&gt;"Yes"</formula>
    </cfRule>
  </conditionalFormatting>
  <conditionalFormatting sqref="O322:P322">
    <cfRule type="expression" dxfId="7504" priority="9727">
      <formula>$E$7&lt;&gt;"Yes"</formula>
    </cfRule>
  </conditionalFormatting>
  <conditionalFormatting sqref="O322:P322">
    <cfRule type="expression" dxfId="7503" priority="9726">
      <formula>$E322&lt;&gt;"Yes"</formula>
    </cfRule>
  </conditionalFormatting>
  <conditionalFormatting sqref="O11:P11">
    <cfRule type="expression" dxfId="7502" priority="9725">
      <formula>$E$7&lt;&gt;"Yes"</formula>
    </cfRule>
  </conditionalFormatting>
  <conditionalFormatting sqref="O11:P11">
    <cfRule type="expression" dxfId="7501" priority="9724">
      <formula>$E11&lt;&gt;"Yes"</formula>
    </cfRule>
  </conditionalFormatting>
  <conditionalFormatting sqref="O24:P24">
    <cfRule type="expression" dxfId="7500" priority="9723">
      <formula>$E$7&lt;&gt;"Yes"</formula>
    </cfRule>
  </conditionalFormatting>
  <conditionalFormatting sqref="O24:P24">
    <cfRule type="expression" dxfId="7499" priority="9722">
      <formula>$E24&lt;&gt;"Yes"</formula>
    </cfRule>
  </conditionalFormatting>
  <conditionalFormatting sqref="O219:P219">
    <cfRule type="expression" dxfId="7498" priority="9721">
      <formula>$E$7&lt;&gt;"Yes"</formula>
    </cfRule>
  </conditionalFormatting>
  <conditionalFormatting sqref="O219:P219">
    <cfRule type="expression" dxfId="7497" priority="9720">
      <formula>$E219&lt;&gt;"Yes"</formula>
    </cfRule>
  </conditionalFormatting>
  <conditionalFormatting sqref="O220:P220">
    <cfRule type="expression" dxfId="7496" priority="9719">
      <formula>$E$7&lt;&gt;"Yes"</formula>
    </cfRule>
  </conditionalFormatting>
  <conditionalFormatting sqref="O220:P220">
    <cfRule type="expression" dxfId="7495" priority="9718">
      <formula>$E220&lt;&gt;"Yes"</formula>
    </cfRule>
  </conditionalFormatting>
  <conditionalFormatting sqref="O298:P298">
    <cfRule type="expression" dxfId="7494" priority="9717">
      <formula>$E$7&lt;&gt;"Yes"</formula>
    </cfRule>
  </conditionalFormatting>
  <conditionalFormatting sqref="O298:P298">
    <cfRule type="expression" dxfId="7493" priority="9716">
      <formula>$E298&lt;&gt;"Yes"</formula>
    </cfRule>
  </conditionalFormatting>
  <conditionalFormatting sqref="O313:P313">
    <cfRule type="expression" dxfId="7492" priority="9715">
      <formula>$E$7&lt;&gt;"Yes"</formula>
    </cfRule>
  </conditionalFormatting>
  <conditionalFormatting sqref="O313:P313">
    <cfRule type="expression" dxfId="7491" priority="9714">
      <formula>$E313&lt;&gt;"Yes"</formula>
    </cfRule>
  </conditionalFormatting>
  <conditionalFormatting sqref="O323:P323">
    <cfRule type="expression" dxfId="7490" priority="9713">
      <formula>$E$7&lt;&gt;"Yes"</formula>
    </cfRule>
  </conditionalFormatting>
  <conditionalFormatting sqref="O323:P323">
    <cfRule type="expression" dxfId="7489" priority="9712">
      <formula>$E323&lt;&gt;"Yes"</formula>
    </cfRule>
  </conditionalFormatting>
  <conditionalFormatting sqref="O238:P240">
    <cfRule type="expression" dxfId="7488" priority="9711">
      <formula>$E$7&lt;&gt;"Yes"</formula>
    </cfRule>
  </conditionalFormatting>
  <conditionalFormatting sqref="O238:P240">
    <cfRule type="expression" dxfId="7487" priority="9710">
      <formula>$E238&lt;&gt;"Yes"</formula>
    </cfRule>
  </conditionalFormatting>
  <conditionalFormatting sqref="O265:P266">
    <cfRule type="expression" dxfId="7486" priority="9709">
      <formula>$E$7&lt;&gt;"Yes"</formula>
    </cfRule>
  </conditionalFormatting>
  <conditionalFormatting sqref="O265:P266">
    <cfRule type="expression" dxfId="7485" priority="9708">
      <formula>$E265&lt;&gt;"Yes"</formula>
    </cfRule>
  </conditionalFormatting>
  <conditionalFormatting sqref="O269:P270">
    <cfRule type="expression" dxfId="7484" priority="9707">
      <formula>$E$7&lt;&gt;"Yes"</formula>
    </cfRule>
  </conditionalFormatting>
  <conditionalFormatting sqref="O269:P270">
    <cfRule type="expression" dxfId="7483" priority="9706">
      <formula>$E269&lt;&gt;"Yes"</formula>
    </cfRule>
  </conditionalFormatting>
  <conditionalFormatting sqref="O286:P286">
    <cfRule type="expression" dxfId="7482" priority="9705">
      <formula>$E$7&lt;&gt;"Yes"</formula>
    </cfRule>
  </conditionalFormatting>
  <conditionalFormatting sqref="O286:P286">
    <cfRule type="expression" dxfId="7481" priority="9704">
      <formula>$E286&lt;&gt;"Yes"</formula>
    </cfRule>
  </conditionalFormatting>
  <conditionalFormatting sqref="O290:P290">
    <cfRule type="expression" dxfId="7480" priority="9703">
      <formula>$E$7&lt;&gt;"Yes"</formula>
    </cfRule>
  </conditionalFormatting>
  <conditionalFormatting sqref="O290:P290">
    <cfRule type="expression" dxfId="7479" priority="9702">
      <formula>$E290&lt;&gt;"Yes"</formula>
    </cfRule>
  </conditionalFormatting>
  <conditionalFormatting sqref="O293:P293">
    <cfRule type="expression" dxfId="7478" priority="9701">
      <formula>$E$7&lt;&gt;"Yes"</formula>
    </cfRule>
  </conditionalFormatting>
  <conditionalFormatting sqref="O293:P293">
    <cfRule type="expression" dxfId="7477" priority="9700">
      <formula>$E293&lt;&gt;"Yes"</formula>
    </cfRule>
  </conditionalFormatting>
  <conditionalFormatting sqref="O287:P287">
    <cfRule type="expression" dxfId="7476" priority="9699">
      <formula>$E$7&lt;&gt;"Yes"</formula>
    </cfRule>
  </conditionalFormatting>
  <conditionalFormatting sqref="O287:P287">
    <cfRule type="expression" dxfId="7475" priority="9698">
      <formula>$E287&lt;&gt;"Yes"</formula>
    </cfRule>
  </conditionalFormatting>
  <conditionalFormatting sqref="O380:P380">
    <cfRule type="expression" dxfId="7474" priority="9697">
      <formula>$E$7&lt;&gt;"Yes"</formula>
    </cfRule>
  </conditionalFormatting>
  <conditionalFormatting sqref="O380:P380">
    <cfRule type="expression" dxfId="7473" priority="9696">
      <formula>$E380&lt;&gt;"Yes"</formula>
    </cfRule>
  </conditionalFormatting>
  <conditionalFormatting sqref="O381:P381">
    <cfRule type="expression" dxfId="7472" priority="9695">
      <formula>$E$7&lt;&gt;"Yes"</formula>
    </cfRule>
  </conditionalFormatting>
  <conditionalFormatting sqref="O381:P381">
    <cfRule type="expression" dxfId="7471" priority="9694">
      <formula>$E381&lt;&gt;"Yes"</formula>
    </cfRule>
  </conditionalFormatting>
  <conditionalFormatting sqref="O382:P382">
    <cfRule type="expression" dxfId="7470" priority="9693">
      <formula>$E$7&lt;&gt;"Yes"</formula>
    </cfRule>
  </conditionalFormatting>
  <conditionalFormatting sqref="O382:P382">
    <cfRule type="expression" dxfId="7469" priority="9692">
      <formula>$E382&lt;&gt;"Yes"</formula>
    </cfRule>
  </conditionalFormatting>
  <conditionalFormatting sqref="O63:P63">
    <cfRule type="expression" dxfId="7468" priority="9691">
      <formula>$E$7&lt;&gt;"Yes"</formula>
    </cfRule>
  </conditionalFormatting>
  <conditionalFormatting sqref="O63:P63">
    <cfRule type="expression" dxfId="7467" priority="9690">
      <formula>$E63&lt;&gt;"Yes"</formula>
    </cfRule>
  </conditionalFormatting>
  <conditionalFormatting sqref="O159:P159">
    <cfRule type="expression" dxfId="7466" priority="9689">
      <formula>$E$7&lt;&gt;"Yes"</formula>
    </cfRule>
  </conditionalFormatting>
  <conditionalFormatting sqref="O159:P159">
    <cfRule type="expression" dxfId="7465" priority="9688">
      <formula>$E159&lt;&gt;"Yes"</formula>
    </cfRule>
  </conditionalFormatting>
  <conditionalFormatting sqref="O160:P160">
    <cfRule type="expression" dxfId="7464" priority="9687">
      <formula>$E$7&lt;&gt;"Yes"</formula>
    </cfRule>
  </conditionalFormatting>
  <conditionalFormatting sqref="O160:P160">
    <cfRule type="expression" dxfId="7463" priority="9686">
      <formula>$E160&lt;&gt;"Yes"</formula>
    </cfRule>
  </conditionalFormatting>
  <conditionalFormatting sqref="P72:P74">
    <cfRule type="expression" dxfId="7462" priority="9685">
      <formula>$E$7&lt;&gt;"Yes"</formula>
    </cfRule>
  </conditionalFormatting>
  <conditionalFormatting sqref="P72:P74">
    <cfRule type="expression" dxfId="7461" priority="9684">
      <formula>$E72&lt;&gt;"Yes"</formula>
    </cfRule>
  </conditionalFormatting>
  <conditionalFormatting sqref="P71">
    <cfRule type="expression" dxfId="7460" priority="9683">
      <formula>$E$7&lt;&gt;"Yes"</formula>
    </cfRule>
  </conditionalFormatting>
  <conditionalFormatting sqref="P71">
    <cfRule type="expression" dxfId="7459" priority="9682">
      <formula>$E71&lt;&gt;"Yes"</formula>
    </cfRule>
  </conditionalFormatting>
  <conditionalFormatting sqref="P68">
    <cfRule type="expression" dxfId="7458" priority="9681">
      <formula>$E$7&lt;&gt;"Yes"</formula>
    </cfRule>
  </conditionalFormatting>
  <conditionalFormatting sqref="P68">
    <cfRule type="expression" dxfId="7457" priority="9680">
      <formula>$E68&lt;&gt;"Yes"</formula>
    </cfRule>
  </conditionalFormatting>
  <conditionalFormatting sqref="O75">
    <cfRule type="expression" dxfId="7456" priority="9679">
      <formula>$E$7&lt;&gt;"Yes"</formula>
    </cfRule>
  </conditionalFormatting>
  <conditionalFormatting sqref="O75">
    <cfRule type="expression" dxfId="7455" priority="9678">
      <formula>$E75&lt;&gt;"Yes"</formula>
    </cfRule>
  </conditionalFormatting>
  <conditionalFormatting sqref="P75">
    <cfRule type="expression" dxfId="7454" priority="9677">
      <formula>$E$7&lt;&gt;"Yes"</formula>
    </cfRule>
  </conditionalFormatting>
  <conditionalFormatting sqref="P75">
    <cfRule type="expression" dxfId="7453" priority="9676">
      <formula>$E75&lt;&gt;"Yes"</formula>
    </cfRule>
  </conditionalFormatting>
  <conditionalFormatting sqref="O25:P25">
    <cfRule type="expression" dxfId="7452" priority="9675">
      <formula>$E$7&lt;&gt;"Yes"</formula>
    </cfRule>
  </conditionalFormatting>
  <conditionalFormatting sqref="O25:P25">
    <cfRule type="expression" dxfId="7451" priority="9674">
      <formula>$E25&lt;&gt;"Yes"</formula>
    </cfRule>
  </conditionalFormatting>
  <conditionalFormatting sqref="O26:P26">
    <cfRule type="expression" dxfId="7450" priority="9673">
      <formula>$E$7&lt;&gt;"Yes"</formula>
    </cfRule>
  </conditionalFormatting>
  <conditionalFormatting sqref="O26:P26">
    <cfRule type="expression" dxfId="7449" priority="9672">
      <formula>$E26&lt;&gt;"Yes"</formula>
    </cfRule>
  </conditionalFormatting>
  <conditionalFormatting sqref="O383:P383">
    <cfRule type="expression" dxfId="7448" priority="9671">
      <formula>$E$7&lt;&gt;"Yes"</formula>
    </cfRule>
  </conditionalFormatting>
  <conditionalFormatting sqref="O383:P383">
    <cfRule type="expression" dxfId="7447" priority="9670">
      <formula>$E383&lt;&gt;"Yes"</formula>
    </cfRule>
  </conditionalFormatting>
  <conditionalFormatting sqref="O384:P384">
    <cfRule type="expression" dxfId="7446" priority="9669">
      <formula>$E$7&lt;&gt;"Yes"</formula>
    </cfRule>
  </conditionalFormatting>
  <conditionalFormatting sqref="O384:P384">
    <cfRule type="expression" dxfId="7445" priority="9668">
      <formula>$E384&lt;&gt;"Yes"</formula>
    </cfRule>
  </conditionalFormatting>
  <conditionalFormatting sqref="O385:P386">
    <cfRule type="expression" dxfId="7444" priority="9667">
      <formula>$E$7&lt;&gt;"Yes"</formula>
    </cfRule>
  </conditionalFormatting>
  <conditionalFormatting sqref="O9:P9">
    <cfRule type="expression" dxfId="7443" priority="9665">
      <formula>$E$7&lt;&gt;"Yes"</formula>
    </cfRule>
  </conditionalFormatting>
  <conditionalFormatting sqref="O9:P9">
    <cfRule type="expression" dxfId="7442" priority="9664">
      <formula>$E9&lt;&gt;"Yes"</formula>
    </cfRule>
  </conditionalFormatting>
  <conditionalFormatting sqref="O41:P41">
    <cfRule type="expression" dxfId="7441" priority="9663">
      <formula>$E$7&lt;&gt;"Yes"</formula>
    </cfRule>
  </conditionalFormatting>
  <conditionalFormatting sqref="O41:P41">
    <cfRule type="expression" dxfId="7440" priority="9662">
      <formula>$E41&lt;&gt;"Yes"</formula>
    </cfRule>
  </conditionalFormatting>
  <conditionalFormatting sqref="O43:P43">
    <cfRule type="expression" dxfId="7439" priority="9661">
      <formula>$E$7&lt;&gt;"Yes"</formula>
    </cfRule>
  </conditionalFormatting>
  <conditionalFormatting sqref="O43:P43">
    <cfRule type="expression" dxfId="7438" priority="9660">
      <formula>$E43&lt;&gt;"Yes"</formula>
    </cfRule>
  </conditionalFormatting>
  <conditionalFormatting sqref="X7">
    <cfRule type="expression" dxfId="7437" priority="9659">
      <formula>$E$7&lt;&gt;"Yes"</formula>
    </cfRule>
  </conditionalFormatting>
  <conditionalFormatting sqref="X7">
    <cfRule type="expression" dxfId="7436" priority="9658">
      <formula>$E7&lt;&gt;"Yes"</formula>
    </cfRule>
  </conditionalFormatting>
  <conditionalFormatting sqref="X25:X33 X44 X46:X56 X168:X171 X255 X353:X354 X285:X305 X334:X351 X159:X161 X209:X210 X251 X262:X272 X132:X146 X100:X113 X193:X204 X119 X62:X85 X90 X121:X123 X126:X129 X149:X150 X164:X165 X248 X357:X360 X35 X212:X215 X217:X223 X230:X245 X311:X330 X279:X283 X369:X374 X378:X386">
    <cfRule type="expression" dxfId="7435" priority="9657">
      <formula>$E$7&lt;&gt;"Yes"</formula>
    </cfRule>
  </conditionalFormatting>
  <conditionalFormatting sqref="X25:X33 X44 X46:X56 X168:X171 X255 X285:X305 X334:X351 X159:X161 X251 X262:X272 X132:X146 X100:X113 X193:X204 X119 X62:X85 X90 X121:X123 X126:X129 X149:X150 X164:X165 X35 X311:X330 X279:X283">
    <cfRule type="expression" dxfId="7434" priority="9656">
      <formula>$E25&lt;&gt;"Yes"</formula>
    </cfRule>
  </conditionalFormatting>
  <conditionalFormatting sqref="X8:X11 X22:X24">
    <cfRule type="expression" dxfId="7433" priority="9655">
      <formula>$E$7&lt;&gt;"Yes"</formula>
    </cfRule>
  </conditionalFormatting>
  <conditionalFormatting sqref="X8:X11 X22:X24">
    <cfRule type="expression" dxfId="7432" priority="9654">
      <formula>$E8&lt;&gt;"Yes"</formula>
    </cfRule>
  </conditionalFormatting>
  <conditionalFormatting sqref="X36:X37 X40:X43">
    <cfRule type="expression" dxfId="7431" priority="9653">
      <formula>$E$7&lt;&gt;"Yes"</formula>
    </cfRule>
  </conditionalFormatting>
  <conditionalFormatting sqref="X36:X37 X40:X43">
    <cfRule type="expression" dxfId="7430" priority="9652">
      <formula>$E36&lt;&gt;"Yes"</formula>
    </cfRule>
  </conditionalFormatting>
  <conditionalFormatting sqref="X45">
    <cfRule type="expression" dxfId="7429" priority="9651">
      <formula>$E$7&lt;&gt;"Yes"</formula>
    </cfRule>
  </conditionalFormatting>
  <conditionalFormatting sqref="X45">
    <cfRule type="expression" dxfId="7428" priority="9650">
      <formula>$E45&lt;&gt;"Yes"</formula>
    </cfRule>
  </conditionalFormatting>
  <conditionalFormatting sqref="AD8:AD11 AD168:AD171 AD255 AD353:AD354 AD285:AD305 AD334:AD351 AD159:AD161 AD209:AD210 AD251 AD262:AD272 AD22:AD33 AD132:AD146 AD100:AD113 AD193:AD204 AD119 AD62:AD85 AD90 AD121:AD123 AD126:AD129 AD149:AD150 AD164:AD165 AD248 AD357:AD360 AD35:AD37 AD212:AD215 AD40:AD56 AD217:AD223 AD230:AD245 AD311:AD330 AD279:AD283 AD369:AD374 AD378:AD386">
    <cfRule type="expression" dxfId="7427" priority="9473">
      <formula>$E$7&lt;&gt;"Yes"</formula>
    </cfRule>
  </conditionalFormatting>
  <conditionalFormatting sqref="AD8:AD11 AD168:AD171 AD255 AD285:AD305 AD334:AD351 AD159:AD161 AD251 AD262:AD272 AD22:AD33 AD132:AD146 AD100:AD113 AD193:AD204 AD119 AD62:AD85 AD90 AD121:AD123 AD126:AD129 AD149:AD150 AD164:AD165 AD35:AD37 AD40:AD56 AD311:AD330 AD279:AD283">
    <cfRule type="expression" dxfId="7426" priority="9472">
      <formula>$E8&lt;&gt;"Yes"</formula>
    </cfRule>
  </conditionalFormatting>
  <conditionalFormatting sqref="Y388 AF388:AH388 AJ388:AK388">
    <cfRule type="expression" dxfId="7425" priority="9467">
      <formula>$E$7&lt;&gt;"Yes"</formula>
    </cfRule>
  </conditionalFormatting>
  <conditionalFormatting sqref="Y388 AF388:AH388 AJ388:AK388">
    <cfRule type="expression" dxfId="7424" priority="9466">
      <formula>$E388&lt;&gt;"Yes"</formula>
    </cfRule>
  </conditionalFormatting>
  <conditionalFormatting sqref="Q388">
    <cfRule type="expression" dxfId="7423" priority="9465">
      <formula>$E$7&lt;&gt;"Yes"</formula>
    </cfRule>
  </conditionalFormatting>
  <conditionalFormatting sqref="Q388">
    <cfRule type="expression" dxfId="7422" priority="9464">
      <formula>$E388&lt;&gt;"Yes"</formula>
    </cfRule>
  </conditionalFormatting>
  <conditionalFormatting sqref="M388 F388:J388 Q388">
    <cfRule type="expression" dxfId="7421" priority="9463">
      <formula>$E$7&lt;&gt;"Yes"</formula>
    </cfRule>
  </conditionalFormatting>
  <conditionalFormatting sqref="M388 F388:J388 Q388">
    <cfRule type="expression" dxfId="7420" priority="9462">
      <formula>$E388&lt;&gt;"Yes"</formula>
    </cfRule>
  </conditionalFormatting>
  <conditionalFormatting sqref="G388">
    <cfRule type="expression" dxfId="7419" priority="9461">
      <formula>$E$7&lt;&gt;"Yes"</formula>
    </cfRule>
  </conditionalFormatting>
  <conditionalFormatting sqref="K388:L388">
    <cfRule type="expression" dxfId="7418" priority="9460">
      <formula>$E$7&lt;&gt;"Yes"</formula>
    </cfRule>
  </conditionalFormatting>
  <conditionalFormatting sqref="K388:L388">
    <cfRule type="expression" dxfId="7417" priority="9459">
      <formula>$E388&lt;&gt;"Yes"</formula>
    </cfRule>
  </conditionalFormatting>
  <conditionalFormatting sqref="N388">
    <cfRule type="expression" dxfId="7416" priority="9456">
      <formula>$E$7&lt;&gt;"Yes"</formula>
    </cfRule>
  </conditionalFormatting>
  <conditionalFormatting sqref="N388">
    <cfRule type="expression" dxfId="7415" priority="9455">
      <formula>$E388&lt;&gt;"Yes"</formula>
    </cfRule>
  </conditionalFormatting>
  <conditionalFormatting sqref="W388">
    <cfRule type="expression" dxfId="7414" priority="9458">
      <formula>$E$7&lt;&gt;"Yes"</formula>
    </cfRule>
  </conditionalFormatting>
  <conditionalFormatting sqref="W388">
    <cfRule type="expression" dxfId="7413" priority="9457">
      <formula>$E388&lt;&gt;"Yes"</formula>
    </cfRule>
  </conditionalFormatting>
  <conditionalFormatting sqref="AE388">
    <cfRule type="expression" dxfId="7412" priority="9454">
      <formula>$E$7&lt;&gt;"Yes"</formula>
    </cfRule>
  </conditionalFormatting>
  <conditionalFormatting sqref="AE388">
    <cfRule type="expression" dxfId="7411" priority="9453">
      <formula>$E388&lt;&gt;"Yes"</formula>
    </cfRule>
  </conditionalFormatting>
  <conditionalFormatting sqref="AB388">
    <cfRule type="expression" dxfId="7410" priority="9440">
      <formula>$E$7&lt;&gt;"Yes"</formula>
    </cfRule>
  </conditionalFormatting>
  <conditionalFormatting sqref="AB388">
    <cfRule type="expression" dxfId="7409" priority="9439">
      <formula>$E388&lt;&gt;"Yes"</formula>
    </cfRule>
  </conditionalFormatting>
  <conditionalFormatting sqref="AA388">
    <cfRule type="expression" dxfId="7408" priority="9438">
      <formula>$E$7&lt;&gt;"Yes"</formula>
    </cfRule>
  </conditionalFormatting>
  <conditionalFormatting sqref="AA388">
    <cfRule type="expression" dxfId="7407" priority="9437">
      <formula>$E388&lt;&gt;"Yes"</formula>
    </cfRule>
  </conditionalFormatting>
  <conditionalFormatting sqref="Y388">
    <cfRule type="expression" dxfId="7406" priority="9436">
      <formula>$E$7&lt;&gt;"Yes"</formula>
    </cfRule>
  </conditionalFormatting>
  <conditionalFormatting sqref="Y388">
    <cfRule type="expression" dxfId="7405" priority="9435">
      <formula>$E388&lt;&gt;"Yes"</formula>
    </cfRule>
  </conditionalFormatting>
  <conditionalFormatting sqref="O388:P388">
    <cfRule type="expression" dxfId="7404" priority="9434">
      <formula>$E$7&lt;&gt;"Yes"</formula>
    </cfRule>
  </conditionalFormatting>
  <conditionalFormatting sqref="O388:P388">
    <cfRule type="expression" dxfId="7403" priority="9433">
      <formula>$E388&lt;&gt;"Yes"</formula>
    </cfRule>
  </conditionalFormatting>
  <conditionalFormatting sqref="X388">
    <cfRule type="expression" dxfId="7402" priority="9432">
      <formula>$E$7&lt;&gt;"Yes"</formula>
    </cfRule>
  </conditionalFormatting>
  <conditionalFormatting sqref="X388">
    <cfRule type="expression" dxfId="7401" priority="9431">
      <formula>$E388&lt;&gt;"Yes"</formula>
    </cfRule>
  </conditionalFormatting>
  <conditionalFormatting sqref="AD388">
    <cfRule type="expression" dxfId="7400" priority="9428">
      <formula>$E$7&lt;&gt;"Yes"</formula>
    </cfRule>
  </conditionalFormatting>
  <conditionalFormatting sqref="AD388">
    <cfRule type="expression" dxfId="7399" priority="9427">
      <formula>$E388&lt;&gt;"Yes"</formula>
    </cfRule>
  </conditionalFormatting>
  <conditionalFormatting sqref="Y389 AF389:AH389 AJ389:AK389">
    <cfRule type="expression" dxfId="7398" priority="9424">
      <formula>$E$7&lt;&gt;"Yes"</formula>
    </cfRule>
  </conditionalFormatting>
  <conditionalFormatting sqref="Y389 AF389:AH389 AJ389:AK389">
    <cfRule type="expression" dxfId="7397" priority="9423">
      <formula>$E389&lt;&gt;"Yes"</formula>
    </cfRule>
  </conditionalFormatting>
  <conditionalFormatting sqref="Q389">
    <cfRule type="expression" dxfId="7396" priority="9422">
      <formula>$E$7&lt;&gt;"Yes"</formula>
    </cfRule>
  </conditionalFormatting>
  <conditionalFormatting sqref="Q389">
    <cfRule type="expression" dxfId="7395" priority="9421">
      <formula>$E389&lt;&gt;"Yes"</formula>
    </cfRule>
  </conditionalFormatting>
  <conditionalFormatting sqref="M389 F389:J389 Q389">
    <cfRule type="expression" dxfId="7394" priority="9420">
      <formula>$E$7&lt;&gt;"Yes"</formula>
    </cfRule>
  </conditionalFormatting>
  <conditionalFormatting sqref="M389 F389:J389 Q389">
    <cfRule type="expression" dxfId="7393" priority="9419">
      <formula>$E389&lt;&gt;"Yes"</formula>
    </cfRule>
  </conditionalFormatting>
  <conditionalFormatting sqref="G389">
    <cfRule type="expression" dxfId="7392" priority="9418">
      <formula>$E$7&lt;&gt;"Yes"</formula>
    </cfRule>
  </conditionalFormatting>
  <conditionalFormatting sqref="K389:L389">
    <cfRule type="expression" dxfId="7391" priority="9417">
      <formula>$E$7&lt;&gt;"Yes"</formula>
    </cfRule>
  </conditionalFormatting>
  <conditionalFormatting sqref="K389:L389">
    <cfRule type="expression" dxfId="7390" priority="9416">
      <formula>$E389&lt;&gt;"Yes"</formula>
    </cfRule>
  </conditionalFormatting>
  <conditionalFormatting sqref="N389">
    <cfRule type="expression" dxfId="7389" priority="9413">
      <formula>$E$7&lt;&gt;"Yes"</formula>
    </cfRule>
  </conditionalFormatting>
  <conditionalFormatting sqref="N389">
    <cfRule type="expression" dxfId="7388" priority="9412">
      <formula>$E389&lt;&gt;"Yes"</formula>
    </cfRule>
  </conditionalFormatting>
  <conditionalFormatting sqref="W389">
    <cfRule type="expression" dxfId="7387" priority="9415">
      <formula>$E$7&lt;&gt;"Yes"</formula>
    </cfRule>
  </conditionalFormatting>
  <conditionalFormatting sqref="W389">
    <cfRule type="expression" dxfId="7386" priority="9414">
      <formula>$E389&lt;&gt;"Yes"</formula>
    </cfRule>
  </conditionalFormatting>
  <conditionalFormatting sqref="AE389">
    <cfRule type="expression" dxfId="7385" priority="9411">
      <formula>$E$7&lt;&gt;"Yes"</formula>
    </cfRule>
  </conditionalFormatting>
  <conditionalFormatting sqref="AE389">
    <cfRule type="expression" dxfId="7384" priority="9410">
      <formula>$E389&lt;&gt;"Yes"</formula>
    </cfRule>
  </conditionalFormatting>
  <conditionalFormatting sqref="AB389">
    <cfRule type="expression" dxfId="7383" priority="9397">
      <formula>$E$7&lt;&gt;"Yes"</formula>
    </cfRule>
  </conditionalFormatting>
  <conditionalFormatting sqref="AB389">
    <cfRule type="expression" dxfId="7382" priority="9396">
      <formula>$E389&lt;&gt;"Yes"</formula>
    </cfRule>
  </conditionalFormatting>
  <conditionalFormatting sqref="AA389">
    <cfRule type="expression" dxfId="7381" priority="9395">
      <formula>$E$7&lt;&gt;"Yes"</formula>
    </cfRule>
  </conditionalFormatting>
  <conditionalFormatting sqref="AA389">
    <cfRule type="expression" dxfId="7380" priority="9394">
      <formula>$E389&lt;&gt;"Yes"</formula>
    </cfRule>
  </conditionalFormatting>
  <conditionalFormatting sqref="Y389">
    <cfRule type="expression" dxfId="7379" priority="9393">
      <formula>$E$7&lt;&gt;"Yes"</formula>
    </cfRule>
  </conditionalFormatting>
  <conditionalFormatting sqref="Y389">
    <cfRule type="expression" dxfId="7378" priority="9392">
      <formula>$E389&lt;&gt;"Yes"</formula>
    </cfRule>
  </conditionalFormatting>
  <conditionalFormatting sqref="O389:P389">
    <cfRule type="expression" dxfId="7377" priority="9391">
      <formula>$E$7&lt;&gt;"Yes"</formula>
    </cfRule>
  </conditionalFormatting>
  <conditionalFormatting sqref="O389:P389">
    <cfRule type="expression" dxfId="7376" priority="9390">
      <formula>$E389&lt;&gt;"Yes"</formula>
    </cfRule>
  </conditionalFormatting>
  <conditionalFormatting sqref="X389">
    <cfRule type="expression" dxfId="7375" priority="9389">
      <formula>$E$7&lt;&gt;"Yes"</formula>
    </cfRule>
  </conditionalFormatting>
  <conditionalFormatting sqref="X389">
    <cfRule type="expression" dxfId="7374" priority="9388">
      <formula>$E389&lt;&gt;"Yes"</formula>
    </cfRule>
  </conditionalFormatting>
  <conditionalFormatting sqref="AD389">
    <cfRule type="expression" dxfId="7373" priority="9385">
      <formula>$E$7&lt;&gt;"Yes"</formula>
    </cfRule>
  </conditionalFormatting>
  <conditionalFormatting sqref="AD389">
    <cfRule type="expression" dxfId="7372" priority="9384">
      <formula>$E389&lt;&gt;"Yes"</formula>
    </cfRule>
  </conditionalFormatting>
  <conditionalFormatting sqref="Y390 AF390:AH390 AJ390:AK390">
    <cfRule type="expression" dxfId="7371" priority="9381">
      <formula>$E$7&lt;&gt;"Yes"</formula>
    </cfRule>
  </conditionalFormatting>
  <conditionalFormatting sqref="Y390 AF390:AH390 AJ390:AK390">
    <cfRule type="expression" dxfId="7370" priority="9380">
      <formula>$E390&lt;&gt;"Yes"</formula>
    </cfRule>
  </conditionalFormatting>
  <conditionalFormatting sqref="Q390">
    <cfRule type="expression" dxfId="7369" priority="9379">
      <formula>$E$7&lt;&gt;"Yes"</formula>
    </cfRule>
  </conditionalFormatting>
  <conditionalFormatting sqref="Q390">
    <cfRule type="expression" dxfId="7368" priority="9378">
      <formula>$E390&lt;&gt;"Yes"</formula>
    </cfRule>
  </conditionalFormatting>
  <conditionalFormatting sqref="M390 F390:J390 Q390">
    <cfRule type="expression" dxfId="7367" priority="9377">
      <formula>$E$7&lt;&gt;"Yes"</formula>
    </cfRule>
  </conditionalFormatting>
  <conditionalFormatting sqref="M390 F390:J390 Q390">
    <cfRule type="expression" dxfId="7366" priority="9376">
      <formula>$E390&lt;&gt;"Yes"</formula>
    </cfRule>
  </conditionalFormatting>
  <conditionalFormatting sqref="G390">
    <cfRule type="expression" dxfId="7365" priority="9375">
      <formula>$E$7&lt;&gt;"Yes"</formula>
    </cfRule>
  </conditionalFormatting>
  <conditionalFormatting sqref="K390:L390">
    <cfRule type="expression" dxfId="7364" priority="9374">
      <formula>$E$7&lt;&gt;"Yes"</formula>
    </cfRule>
  </conditionalFormatting>
  <conditionalFormatting sqref="K390:L390">
    <cfRule type="expression" dxfId="7363" priority="9373">
      <formula>$E390&lt;&gt;"Yes"</formula>
    </cfRule>
  </conditionalFormatting>
  <conditionalFormatting sqref="N390">
    <cfRule type="expression" dxfId="7362" priority="9370">
      <formula>$E$7&lt;&gt;"Yes"</formula>
    </cfRule>
  </conditionalFormatting>
  <conditionalFormatting sqref="N390">
    <cfRule type="expression" dxfId="7361" priority="9369">
      <formula>$E390&lt;&gt;"Yes"</formula>
    </cfRule>
  </conditionalFormatting>
  <conditionalFormatting sqref="W390">
    <cfRule type="expression" dxfId="7360" priority="9372">
      <formula>$E$7&lt;&gt;"Yes"</formula>
    </cfRule>
  </conditionalFormatting>
  <conditionalFormatting sqref="W390">
    <cfRule type="expression" dxfId="7359" priority="9371">
      <formula>$E390&lt;&gt;"Yes"</formula>
    </cfRule>
  </conditionalFormatting>
  <conditionalFormatting sqref="AE390">
    <cfRule type="expression" dxfId="7358" priority="9368">
      <formula>$E$7&lt;&gt;"Yes"</formula>
    </cfRule>
  </conditionalFormatting>
  <conditionalFormatting sqref="AE390">
    <cfRule type="expression" dxfId="7357" priority="9367">
      <formula>$E390&lt;&gt;"Yes"</formula>
    </cfRule>
  </conditionalFormatting>
  <conditionalFormatting sqref="AB390">
    <cfRule type="expression" dxfId="7356" priority="9354">
      <formula>$E$7&lt;&gt;"Yes"</formula>
    </cfRule>
  </conditionalFormatting>
  <conditionalFormatting sqref="AB390">
    <cfRule type="expression" dxfId="7355" priority="9353">
      <formula>$E390&lt;&gt;"Yes"</formula>
    </cfRule>
  </conditionalFormatting>
  <conditionalFormatting sqref="AA390">
    <cfRule type="expression" dxfId="7354" priority="9352">
      <formula>$E$7&lt;&gt;"Yes"</formula>
    </cfRule>
  </conditionalFormatting>
  <conditionalFormatting sqref="AA390">
    <cfRule type="expression" dxfId="7353" priority="9351">
      <formula>$E390&lt;&gt;"Yes"</formula>
    </cfRule>
  </conditionalFormatting>
  <conditionalFormatting sqref="Y390">
    <cfRule type="expression" dxfId="7352" priority="9350">
      <formula>$E$7&lt;&gt;"Yes"</formula>
    </cfRule>
  </conditionalFormatting>
  <conditionalFormatting sqref="Y390">
    <cfRule type="expression" dxfId="7351" priority="9349">
      <formula>$E390&lt;&gt;"Yes"</formula>
    </cfRule>
  </conditionalFormatting>
  <conditionalFormatting sqref="O390:P390">
    <cfRule type="expression" dxfId="7350" priority="9348">
      <formula>$E$7&lt;&gt;"Yes"</formula>
    </cfRule>
  </conditionalFormatting>
  <conditionalFormatting sqref="O390:P390">
    <cfRule type="expression" dxfId="7349" priority="9347">
      <formula>$E390&lt;&gt;"Yes"</formula>
    </cfRule>
  </conditionalFormatting>
  <conditionalFormatting sqref="X390">
    <cfRule type="expression" dxfId="7348" priority="9346">
      <formula>$E$7&lt;&gt;"Yes"</formula>
    </cfRule>
  </conditionalFormatting>
  <conditionalFormatting sqref="X390">
    <cfRule type="expression" dxfId="7347" priority="9345">
      <formula>$E390&lt;&gt;"Yes"</formula>
    </cfRule>
  </conditionalFormatting>
  <conditionalFormatting sqref="AD390">
    <cfRule type="expression" dxfId="7346" priority="9342">
      <formula>$E$7&lt;&gt;"Yes"</formula>
    </cfRule>
  </conditionalFormatting>
  <conditionalFormatting sqref="AD390">
    <cfRule type="expression" dxfId="7345" priority="9341">
      <formula>$E390&lt;&gt;"Yes"</formula>
    </cfRule>
  </conditionalFormatting>
  <conditionalFormatting sqref="Y392 AF392:AH392 AJ392:AK392">
    <cfRule type="expression" dxfId="7344" priority="9338">
      <formula>$E$7&lt;&gt;"Yes"</formula>
    </cfRule>
  </conditionalFormatting>
  <conditionalFormatting sqref="Y392 AF392:AH392 AJ392:AK392">
    <cfRule type="expression" dxfId="7343" priority="9337">
      <formula>$E392&lt;&gt;"Yes"</formula>
    </cfRule>
  </conditionalFormatting>
  <conditionalFormatting sqref="Q392">
    <cfRule type="expression" dxfId="7342" priority="9336">
      <formula>$E$7&lt;&gt;"Yes"</formula>
    </cfRule>
  </conditionalFormatting>
  <conditionalFormatting sqref="Q392">
    <cfRule type="expression" dxfId="7341" priority="9335">
      <formula>$E392&lt;&gt;"Yes"</formula>
    </cfRule>
  </conditionalFormatting>
  <conditionalFormatting sqref="M392 F392:J392 Q392">
    <cfRule type="expression" dxfId="7340" priority="9334">
      <formula>$E$7&lt;&gt;"Yes"</formula>
    </cfRule>
  </conditionalFormatting>
  <conditionalFormatting sqref="M392 F392:J392 Q392">
    <cfRule type="expression" dxfId="7339" priority="9333">
      <formula>$E392&lt;&gt;"Yes"</formula>
    </cfRule>
  </conditionalFormatting>
  <conditionalFormatting sqref="G392">
    <cfRule type="expression" dxfId="7338" priority="9332">
      <formula>$E$7&lt;&gt;"Yes"</formula>
    </cfRule>
  </conditionalFormatting>
  <conditionalFormatting sqref="K392:L392">
    <cfRule type="expression" dxfId="7337" priority="9331">
      <formula>$E$7&lt;&gt;"Yes"</formula>
    </cfRule>
  </conditionalFormatting>
  <conditionalFormatting sqref="K392:L392">
    <cfRule type="expression" dxfId="7336" priority="9330">
      <formula>$E392&lt;&gt;"Yes"</formula>
    </cfRule>
  </conditionalFormatting>
  <conditionalFormatting sqref="N392">
    <cfRule type="expression" dxfId="7335" priority="9327">
      <formula>$E$7&lt;&gt;"Yes"</formula>
    </cfRule>
  </conditionalFormatting>
  <conditionalFormatting sqref="N392">
    <cfRule type="expression" dxfId="7334" priority="9326">
      <formula>$E392&lt;&gt;"Yes"</formula>
    </cfRule>
  </conditionalFormatting>
  <conditionalFormatting sqref="W392">
    <cfRule type="expression" dxfId="7333" priority="9329">
      <formula>$E$7&lt;&gt;"Yes"</formula>
    </cfRule>
  </conditionalFormatting>
  <conditionalFormatting sqref="W392">
    <cfRule type="expression" dxfId="7332" priority="9328">
      <formula>$E392&lt;&gt;"Yes"</formula>
    </cfRule>
  </conditionalFormatting>
  <conditionalFormatting sqref="AE392">
    <cfRule type="expression" dxfId="7331" priority="9325">
      <formula>$E$7&lt;&gt;"Yes"</formula>
    </cfRule>
  </conditionalFormatting>
  <conditionalFormatting sqref="AE392">
    <cfRule type="expression" dxfId="7330" priority="9324">
      <formula>$E392&lt;&gt;"Yes"</formula>
    </cfRule>
  </conditionalFormatting>
  <conditionalFormatting sqref="AB392">
    <cfRule type="expression" dxfId="7329" priority="9311">
      <formula>$E$7&lt;&gt;"Yes"</formula>
    </cfRule>
  </conditionalFormatting>
  <conditionalFormatting sqref="AB392">
    <cfRule type="expression" dxfId="7328" priority="9310">
      <formula>$E392&lt;&gt;"Yes"</formula>
    </cfRule>
  </conditionalFormatting>
  <conditionalFormatting sqref="AA392">
    <cfRule type="expression" dxfId="7327" priority="9309">
      <formula>$E$7&lt;&gt;"Yes"</formula>
    </cfRule>
  </conditionalFormatting>
  <conditionalFormatting sqref="AA392">
    <cfRule type="expression" dxfId="7326" priority="9308">
      <formula>$E392&lt;&gt;"Yes"</formula>
    </cfRule>
  </conditionalFormatting>
  <conditionalFormatting sqref="Y392">
    <cfRule type="expression" dxfId="7325" priority="9307">
      <formula>$E$7&lt;&gt;"Yes"</formula>
    </cfRule>
  </conditionalFormatting>
  <conditionalFormatting sqref="Y392">
    <cfRule type="expression" dxfId="7324" priority="9306">
      <formula>$E392&lt;&gt;"Yes"</formula>
    </cfRule>
  </conditionalFormatting>
  <conditionalFormatting sqref="O392:P392">
    <cfRule type="expression" dxfId="7323" priority="9305">
      <formula>$E$7&lt;&gt;"Yes"</formula>
    </cfRule>
  </conditionalFormatting>
  <conditionalFormatting sqref="O392:P392">
    <cfRule type="expression" dxfId="7322" priority="9304">
      <formula>$E392&lt;&gt;"Yes"</formula>
    </cfRule>
  </conditionalFormatting>
  <conditionalFormatting sqref="X392">
    <cfRule type="expression" dxfId="7321" priority="9303">
      <formula>$E$7&lt;&gt;"Yes"</formula>
    </cfRule>
  </conditionalFormatting>
  <conditionalFormatting sqref="X392">
    <cfRule type="expression" dxfId="7320" priority="9302">
      <formula>$E392&lt;&gt;"Yes"</formula>
    </cfRule>
  </conditionalFormatting>
  <conditionalFormatting sqref="M393 F393:J393 Q393">
    <cfRule type="expression" dxfId="7319" priority="9289">
      <formula>$E$7&lt;&gt;"Yes"</formula>
    </cfRule>
  </conditionalFormatting>
  <conditionalFormatting sqref="M393 F393:J393 Q393">
    <cfRule type="expression" dxfId="7318" priority="9288">
      <formula>$E393&lt;&gt;"Yes"</formula>
    </cfRule>
  </conditionalFormatting>
  <conditionalFormatting sqref="AD392">
    <cfRule type="expression" dxfId="7317" priority="9299">
      <formula>$E$7&lt;&gt;"Yes"</formula>
    </cfRule>
  </conditionalFormatting>
  <conditionalFormatting sqref="AD392">
    <cfRule type="expression" dxfId="7316" priority="9298">
      <formula>$E392&lt;&gt;"Yes"</formula>
    </cfRule>
  </conditionalFormatting>
  <conditionalFormatting sqref="Y393 AF393:AH393 AJ393:AK393">
    <cfRule type="expression" dxfId="7315" priority="9293">
      <formula>$E$7&lt;&gt;"Yes"</formula>
    </cfRule>
  </conditionalFormatting>
  <conditionalFormatting sqref="Y393 AF393:AH393 AJ393:AK393">
    <cfRule type="expression" dxfId="7314" priority="9292">
      <formula>$E393&lt;&gt;"Yes"</formula>
    </cfRule>
  </conditionalFormatting>
  <conditionalFormatting sqref="Q393">
    <cfRule type="expression" dxfId="7313" priority="9291">
      <formula>$E$7&lt;&gt;"Yes"</formula>
    </cfRule>
  </conditionalFormatting>
  <conditionalFormatting sqref="Q393">
    <cfRule type="expression" dxfId="7312" priority="9290">
      <formula>$E393&lt;&gt;"Yes"</formula>
    </cfRule>
  </conditionalFormatting>
  <conditionalFormatting sqref="G393">
    <cfRule type="expression" dxfId="7311" priority="9287">
      <formula>$E$7&lt;&gt;"Yes"</formula>
    </cfRule>
  </conditionalFormatting>
  <conditionalFormatting sqref="K393:L393">
    <cfRule type="expression" dxfId="7310" priority="9286">
      <formula>$E$7&lt;&gt;"Yes"</formula>
    </cfRule>
  </conditionalFormatting>
  <conditionalFormatting sqref="K393:L393">
    <cfRule type="expression" dxfId="7309" priority="9285">
      <formula>$E393&lt;&gt;"Yes"</formula>
    </cfRule>
  </conditionalFormatting>
  <conditionalFormatting sqref="N393">
    <cfRule type="expression" dxfId="7308" priority="9282">
      <formula>$E$7&lt;&gt;"Yes"</formula>
    </cfRule>
  </conditionalFormatting>
  <conditionalFormatting sqref="N393">
    <cfRule type="expression" dxfId="7307" priority="9281">
      <formula>$E393&lt;&gt;"Yes"</formula>
    </cfRule>
  </conditionalFormatting>
  <conditionalFormatting sqref="W393">
    <cfRule type="expression" dxfId="7306" priority="9284">
      <formula>$E$7&lt;&gt;"Yes"</formula>
    </cfRule>
  </conditionalFormatting>
  <conditionalFormatting sqref="W393">
    <cfRule type="expression" dxfId="7305" priority="9283">
      <formula>$E393&lt;&gt;"Yes"</formula>
    </cfRule>
  </conditionalFormatting>
  <conditionalFormatting sqref="AE393">
    <cfRule type="expression" dxfId="7304" priority="9280">
      <formula>$E$7&lt;&gt;"Yes"</formula>
    </cfRule>
  </conditionalFormatting>
  <conditionalFormatting sqref="AE393">
    <cfRule type="expression" dxfId="7303" priority="9279">
      <formula>$E393&lt;&gt;"Yes"</formula>
    </cfRule>
  </conditionalFormatting>
  <conditionalFormatting sqref="AB393">
    <cfRule type="expression" dxfId="7302" priority="9266">
      <formula>$E$7&lt;&gt;"Yes"</formula>
    </cfRule>
  </conditionalFormatting>
  <conditionalFormatting sqref="AB393">
    <cfRule type="expression" dxfId="7301" priority="9265">
      <formula>$E393&lt;&gt;"Yes"</formula>
    </cfRule>
  </conditionalFormatting>
  <conditionalFormatting sqref="AA393">
    <cfRule type="expression" dxfId="7300" priority="9264">
      <formula>$E$7&lt;&gt;"Yes"</formula>
    </cfRule>
  </conditionalFormatting>
  <conditionalFormatting sqref="AA393">
    <cfRule type="expression" dxfId="7299" priority="9263">
      <formula>$E393&lt;&gt;"Yes"</formula>
    </cfRule>
  </conditionalFormatting>
  <conditionalFormatting sqref="Y393">
    <cfRule type="expression" dxfId="7298" priority="9262">
      <formula>$E$7&lt;&gt;"Yes"</formula>
    </cfRule>
  </conditionalFormatting>
  <conditionalFormatting sqref="Y393">
    <cfRule type="expression" dxfId="7297" priority="9261">
      <formula>$E393&lt;&gt;"Yes"</formula>
    </cfRule>
  </conditionalFormatting>
  <conditionalFormatting sqref="O393:P393">
    <cfRule type="expression" dxfId="7296" priority="9260">
      <formula>$E$7&lt;&gt;"Yes"</formula>
    </cfRule>
  </conditionalFormatting>
  <conditionalFormatting sqref="O393:P393">
    <cfRule type="expression" dxfId="7295" priority="9259">
      <formula>$E393&lt;&gt;"Yes"</formula>
    </cfRule>
  </conditionalFormatting>
  <conditionalFormatting sqref="X393">
    <cfRule type="expression" dxfId="7294" priority="9258">
      <formula>$E$7&lt;&gt;"Yes"</formula>
    </cfRule>
  </conditionalFormatting>
  <conditionalFormatting sqref="X393">
    <cfRule type="expression" dxfId="7293" priority="9257">
      <formula>$E393&lt;&gt;"Yes"</formula>
    </cfRule>
  </conditionalFormatting>
  <conditionalFormatting sqref="M398 F398:J398 Q398">
    <cfRule type="expression" dxfId="7292" priority="9246">
      <formula>$E$7&lt;&gt;"Yes"</formula>
    </cfRule>
  </conditionalFormatting>
  <conditionalFormatting sqref="M398 F398:J398 Q398">
    <cfRule type="expression" dxfId="7291" priority="9245">
      <formula>$E398&lt;&gt;"Yes"</formula>
    </cfRule>
  </conditionalFormatting>
  <conditionalFormatting sqref="AD393">
    <cfRule type="expression" dxfId="7290" priority="9254">
      <formula>$E$7&lt;&gt;"Yes"</formula>
    </cfRule>
  </conditionalFormatting>
  <conditionalFormatting sqref="AD393">
    <cfRule type="expression" dxfId="7289" priority="9253">
      <formula>$E393&lt;&gt;"Yes"</formula>
    </cfRule>
  </conditionalFormatting>
  <conditionalFormatting sqref="Y398 AF398:AH398 AJ398:AK398">
    <cfRule type="expression" dxfId="7288" priority="9250">
      <formula>$E$7&lt;&gt;"Yes"</formula>
    </cfRule>
  </conditionalFormatting>
  <conditionalFormatting sqref="Y398 AF398:AH398 AJ398:AK398">
    <cfRule type="expression" dxfId="7287" priority="9249">
      <formula>$E398&lt;&gt;"Yes"</formula>
    </cfRule>
  </conditionalFormatting>
  <conditionalFormatting sqref="Q398">
    <cfRule type="expression" dxfId="7286" priority="9248">
      <formula>$E$7&lt;&gt;"Yes"</formula>
    </cfRule>
  </conditionalFormatting>
  <conditionalFormatting sqref="Q398">
    <cfRule type="expression" dxfId="7285" priority="9247">
      <formula>$E398&lt;&gt;"Yes"</formula>
    </cfRule>
  </conditionalFormatting>
  <conditionalFormatting sqref="G398">
    <cfRule type="expression" dxfId="7284" priority="9244">
      <formula>$E$7&lt;&gt;"Yes"</formula>
    </cfRule>
  </conditionalFormatting>
  <conditionalFormatting sqref="K398:L398">
    <cfRule type="expression" dxfId="7283" priority="9243">
      <formula>$E$7&lt;&gt;"Yes"</formula>
    </cfRule>
  </conditionalFormatting>
  <conditionalFormatting sqref="K398:L398">
    <cfRule type="expression" dxfId="7282" priority="9242">
      <formula>$E398&lt;&gt;"Yes"</formula>
    </cfRule>
  </conditionalFormatting>
  <conditionalFormatting sqref="N398">
    <cfRule type="expression" dxfId="7281" priority="9239">
      <formula>$E$7&lt;&gt;"Yes"</formula>
    </cfRule>
  </conditionalFormatting>
  <conditionalFormatting sqref="N398">
    <cfRule type="expression" dxfId="7280" priority="9238">
      <formula>$E398&lt;&gt;"Yes"</formula>
    </cfRule>
  </conditionalFormatting>
  <conditionalFormatting sqref="W398">
    <cfRule type="expression" dxfId="7279" priority="9241">
      <formula>$E$7&lt;&gt;"Yes"</formula>
    </cfRule>
  </conditionalFormatting>
  <conditionalFormatting sqref="W398">
    <cfRule type="expression" dxfId="7278" priority="9240">
      <formula>$E398&lt;&gt;"Yes"</formula>
    </cfRule>
  </conditionalFormatting>
  <conditionalFormatting sqref="AE398">
    <cfRule type="expression" dxfId="7277" priority="9237">
      <formula>$E$7&lt;&gt;"Yes"</formula>
    </cfRule>
  </conditionalFormatting>
  <conditionalFormatting sqref="AE398">
    <cfRule type="expression" dxfId="7276" priority="9236">
      <formula>$E398&lt;&gt;"Yes"</formula>
    </cfRule>
  </conditionalFormatting>
  <conditionalFormatting sqref="AB398">
    <cfRule type="expression" dxfId="7275" priority="9223">
      <formula>$E$7&lt;&gt;"Yes"</formula>
    </cfRule>
  </conditionalFormatting>
  <conditionalFormatting sqref="AB398">
    <cfRule type="expression" dxfId="7274" priority="9222">
      <formula>$E398&lt;&gt;"Yes"</formula>
    </cfRule>
  </conditionalFormatting>
  <conditionalFormatting sqref="AA398">
    <cfRule type="expression" dxfId="7273" priority="9221">
      <formula>$E$7&lt;&gt;"Yes"</formula>
    </cfRule>
  </conditionalFormatting>
  <conditionalFormatting sqref="AA398">
    <cfRule type="expression" dxfId="7272" priority="9220">
      <formula>$E398&lt;&gt;"Yes"</formula>
    </cfRule>
  </conditionalFormatting>
  <conditionalFormatting sqref="Y398">
    <cfRule type="expression" dxfId="7271" priority="9219">
      <formula>$E$7&lt;&gt;"Yes"</formula>
    </cfRule>
  </conditionalFormatting>
  <conditionalFormatting sqref="Y398">
    <cfRule type="expression" dxfId="7270" priority="9218">
      <formula>$E398&lt;&gt;"Yes"</formula>
    </cfRule>
  </conditionalFormatting>
  <conditionalFormatting sqref="O398:P398">
    <cfRule type="expression" dxfId="7269" priority="9217">
      <formula>$E$7&lt;&gt;"Yes"</formula>
    </cfRule>
  </conditionalFormatting>
  <conditionalFormatting sqref="O398:P398">
    <cfRule type="expression" dxfId="7268" priority="9216">
      <formula>$E398&lt;&gt;"Yes"</formula>
    </cfRule>
  </conditionalFormatting>
  <conditionalFormatting sqref="X398">
    <cfRule type="expression" dxfId="7267" priority="9215">
      <formula>$E$7&lt;&gt;"Yes"</formula>
    </cfRule>
  </conditionalFormatting>
  <conditionalFormatting sqref="X398">
    <cfRule type="expression" dxfId="7266" priority="9214">
      <formula>$E398&lt;&gt;"Yes"</formula>
    </cfRule>
  </conditionalFormatting>
  <conditionalFormatting sqref="Q405">
    <cfRule type="expression" dxfId="7265" priority="9205">
      <formula>$E$7&lt;&gt;"Yes"</formula>
    </cfRule>
  </conditionalFormatting>
  <conditionalFormatting sqref="Q405">
    <cfRule type="expression" dxfId="7264" priority="9204">
      <formula>$E405&lt;&gt;"Yes"</formula>
    </cfRule>
  </conditionalFormatting>
  <conditionalFormatting sqref="AD398">
    <cfRule type="expression" dxfId="7263" priority="9211">
      <formula>$E$7&lt;&gt;"Yes"</formula>
    </cfRule>
  </conditionalFormatting>
  <conditionalFormatting sqref="AD398">
    <cfRule type="expression" dxfId="7262" priority="9210">
      <formula>$E398&lt;&gt;"Yes"</formula>
    </cfRule>
  </conditionalFormatting>
  <conditionalFormatting sqref="Y405 AF405:AH405 AJ405:AK405">
    <cfRule type="expression" dxfId="7261" priority="9207">
      <formula>$E$7&lt;&gt;"Yes"</formula>
    </cfRule>
  </conditionalFormatting>
  <conditionalFormatting sqref="Y405 AF405:AH405 AJ405:AK405">
    <cfRule type="expression" dxfId="7260" priority="9206">
      <formula>$E405&lt;&gt;"Yes"</formula>
    </cfRule>
  </conditionalFormatting>
  <conditionalFormatting sqref="M405 F405:J405 Q405">
    <cfRule type="expression" dxfId="7259" priority="9203">
      <formula>$E$7&lt;&gt;"Yes"</formula>
    </cfRule>
  </conditionalFormatting>
  <conditionalFormatting sqref="M405 F405:J405 Q405">
    <cfRule type="expression" dxfId="7258" priority="9202">
      <formula>$E405&lt;&gt;"Yes"</formula>
    </cfRule>
  </conditionalFormatting>
  <conditionalFormatting sqref="G405">
    <cfRule type="expression" dxfId="7257" priority="9201">
      <formula>$E$7&lt;&gt;"Yes"</formula>
    </cfRule>
  </conditionalFormatting>
  <conditionalFormatting sqref="K405:L405">
    <cfRule type="expression" dxfId="7256" priority="9200">
      <formula>$E$7&lt;&gt;"Yes"</formula>
    </cfRule>
  </conditionalFormatting>
  <conditionalFormatting sqref="K405:L405">
    <cfRule type="expression" dxfId="7255" priority="9199">
      <formula>$E405&lt;&gt;"Yes"</formula>
    </cfRule>
  </conditionalFormatting>
  <conditionalFormatting sqref="N405">
    <cfRule type="expression" dxfId="7254" priority="9196">
      <formula>$E$7&lt;&gt;"Yes"</formula>
    </cfRule>
  </conditionalFormatting>
  <conditionalFormatting sqref="N405">
    <cfRule type="expression" dxfId="7253" priority="9195">
      <formula>$E405&lt;&gt;"Yes"</formula>
    </cfRule>
  </conditionalFormatting>
  <conditionalFormatting sqref="W405">
    <cfRule type="expression" dxfId="7252" priority="9198">
      <formula>$E$7&lt;&gt;"Yes"</formula>
    </cfRule>
  </conditionalFormatting>
  <conditionalFormatting sqref="W405">
    <cfRule type="expression" dxfId="7251" priority="9197">
      <formula>$E405&lt;&gt;"Yes"</formula>
    </cfRule>
  </conditionalFormatting>
  <conditionalFormatting sqref="AE405">
    <cfRule type="expression" dxfId="7250" priority="9194">
      <formula>$E$7&lt;&gt;"Yes"</formula>
    </cfRule>
  </conditionalFormatting>
  <conditionalFormatting sqref="AE405">
    <cfRule type="expression" dxfId="7249" priority="9193">
      <formula>$E405&lt;&gt;"Yes"</formula>
    </cfRule>
  </conditionalFormatting>
  <conditionalFormatting sqref="AB405">
    <cfRule type="expression" dxfId="7248" priority="9180">
      <formula>$E$7&lt;&gt;"Yes"</formula>
    </cfRule>
  </conditionalFormatting>
  <conditionalFormatting sqref="AB405">
    <cfRule type="expression" dxfId="7247" priority="9179">
      <formula>$E405&lt;&gt;"Yes"</formula>
    </cfRule>
  </conditionalFormatting>
  <conditionalFormatting sqref="AA405">
    <cfRule type="expression" dxfId="7246" priority="9178">
      <formula>$E$7&lt;&gt;"Yes"</formula>
    </cfRule>
  </conditionalFormatting>
  <conditionalFormatting sqref="AA405">
    <cfRule type="expression" dxfId="7245" priority="9177">
      <formula>$E405&lt;&gt;"Yes"</formula>
    </cfRule>
  </conditionalFormatting>
  <conditionalFormatting sqref="Y405">
    <cfRule type="expression" dxfId="7244" priority="9176">
      <formula>$E$7&lt;&gt;"Yes"</formula>
    </cfRule>
  </conditionalFormatting>
  <conditionalFormatting sqref="Y405">
    <cfRule type="expression" dxfId="7243" priority="9175">
      <formula>$E405&lt;&gt;"Yes"</formula>
    </cfRule>
  </conditionalFormatting>
  <conditionalFormatting sqref="O405:P405">
    <cfRule type="expression" dxfId="7242" priority="9174">
      <formula>$E$7&lt;&gt;"Yes"</formula>
    </cfRule>
  </conditionalFormatting>
  <conditionalFormatting sqref="O405:P405">
    <cfRule type="expression" dxfId="7241" priority="9173">
      <formula>$E405&lt;&gt;"Yes"</formula>
    </cfRule>
  </conditionalFormatting>
  <conditionalFormatting sqref="X405">
    <cfRule type="expression" dxfId="7240" priority="9172">
      <formula>$E$7&lt;&gt;"Yes"</formula>
    </cfRule>
  </conditionalFormatting>
  <conditionalFormatting sqref="X405">
    <cfRule type="expression" dxfId="7239" priority="9171">
      <formula>$E405&lt;&gt;"Yes"</formula>
    </cfRule>
  </conditionalFormatting>
  <conditionalFormatting sqref="AD405">
    <cfRule type="expression" dxfId="7238" priority="9168">
      <formula>$E$7&lt;&gt;"Yes"</formula>
    </cfRule>
  </conditionalFormatting>
  <conditionalFormatting sqref="AD405">
    <cfRule type="expression" dxfId="7237" priority="9167">
      <formula>$E405&lt;&gt;"Yes"</formula>
    </cfRule>
  </conditionalFormatting>
  <conditionalFormatting sqref="Y396 AF396:AH396 AJ396:AK396">
    <cfRule type="expression" dxfId="7236" priority="9164">
      <formula>$E$7&lt;&gt;"Yes"</formula>
    </cfRule>
  </conditionalFormatting>
  <conditionalFormatting sqref="Y396 AF396:AH396 AJ396:AK396">
    <cfRule type="expression" dxfId="7235" priority="9163">
      <formula>$E396&lt;&gt;"Yes"</formula>
    </cfRule>
  </conditionalFormatting>
  <conditionalFormatting sqref="Q396">
    <cfRule type="expression" dxfId="7234" priority="9162">
      <formula>$E$7&lt;&gt;"Yes"</formula>
    </cfRule>
  </conditionalFormatting>
  <conditionalFormatting sqref="Q396">
    <cfRule type="expression" dxfId="7233" priority="9161">
      <formula>$E396&lt;&gt;"Yes"</formula>
    </cfRule>
  </conditionalFormatting>
  <conditionalFormatting sqref="M396 F396:J396 Q396">
    <cfRule type="expression" dxfId="7232" priority="9160">
      <formula>$E$7&lt;&gt;"Yes"</formula>
    </cfRule>
  </conditionalFormatting>
  <conditionalFormatting sqref="M396 F396:J396 Q396">
    <cfRule type="expression" dxfId="7231" priority="9159">
      <formula>$E396&lt;&gt;"Yes"</formula>
    </cfRule>
  </conditionalFormatting>
  <conditionalFormatting sqref="G396">
    <cfRule type="expression" dxfId="7230" priority="9158">
      <formula>$E$7&lt;&gt;"Yes"</formula>
    </cfRule>
  </conditionalFormatting>
  <conditionalFormatting sqref="K396:L396">
    <cfRule type="expression" dxfId="7229" priority="9157">
      <formula>$E$7&lt;&gt;"Yes"</formula>
    </cfRule>
  </conditionalFormatting>
  <conditionalFormatting sqref="K396:L396">
    <cfRule type="expression" dxfId="7228" priority="9156">
      <formula>$E396&lt;&gt;"Yes"</formula>
    </cfRule>
  </conditionalFormatting>
  <conditionalFormatting sqref="N396">
    <cfRule type="expression" dxfId="7227" priority="9153">
      <formula>$E$7&lt;&gt;"Yes"</formula>
    </cfRule>
  </conditionalFormatting>
  <conditionalFormatting sqref="N396">
    <cfRule type="expression" dxfId="7226" priority="9152">
      <formula>$E396&lt;&gt;"Yes"</formula>
    </cfRule>
  </conditionalFormatting>
  <conditionalFormatting sqref="W396">
    <cfRule type="expression" dxfId="7225" priority="9155">
      <formula>$E$7&lt;&gt;"Yes"</formula>
    </cfRule>
  </conditionalFormatting>
  <conditionalFormatting sqref="W396">
    <cfRule type="expression" dxfId="7224" priority="9154">
      <formula>$E396&lt;&gt;"Yes"</formula>
    </cfRule>
  </conditionalFormatting>
  <conditionalFormatting sqref="AE396">
    <cfRule type="expression" dxfId="7223" priority="9151">
      <formula>$E$7&lt;&gt;"Yes"</formula>
    </cfRule>
  </conditionalFormatting>
  <conditionalFormatting sqref="AE396">
    <cfRule type="expression" dxfId="7222" priority="9150">
      <formula>$E396&lt;&gt;"Yes"</formula>
    </cfRule>
  </conditionalFormatting>
  <conditionalFormatting sqref="AB396">
    <cfRule type="expression" dxfId="7221" priority="9137">
      <formula>$E$7&lt;&gt;"Yes"</formula>
    </cfRule>
  </conditionalFormatting>
  <conditionalFormatting sqref="AB396">
    <cfRule type="expression" dxfId="7220" priority="9136">
      <formula>$E396&lt;&gt;"Yes"</formula>
    </cfRule>
  </conditionalFormatting>
  <conditionalFormatting sqref="AA396">
    <cfRule type="expression" dxfId="7219" priority="9135">
      <formula>$E$7&lt;&gt;"Yes"</formula>
    </cfRule>
  </conditionalFormatting>
  <conditionalFormatting sqref="AA396">
    <cfRule type="expression" dxfId="7218" priority="9134">
      <formula>$E396&lt;&gt;"Yes"</formula>
    </cfRule>
  </conditionalFormatting>
  <conditionalFormatting sqref="Y396">
    <cfRule type="expression" dxfId="7217" priority="9133">
      <formula>$E$7&lt;&gt;"Yes"</formula>
    </cfRule>
  </conditionalFormatting>
  <conditionalFormatting sqref="Y396">
    <cfRule type="expression" dxfId="7216" priority="9132">
      <formula>$E396&lt;&gt;"Yes"</formula>
    </cfRule>
  </conditionalFormatting>
  <conditionalFormatting sqref="O396:P396">
    <cfRule type="expression" dxfId="7215" priority="9131">
      <formula>$E$7&lt;&gt;"Yes"</formula>
    </cfRule>
  </conditionalFormatting>
  <conditionalFormatting sqref="O396:P396">
    <cfRule type="expression" dxfId="7214" priority="9130">
      <formula>$E396&lt;&gt;"Yes"</formula>
    </cfRule>
  </conditionalFormatting>
  <conditionalFormatting sqref="X396">
    <cfRule type="expression" dxfId="7213" priority="9129">
      <formula>$E$7&lt;&gt;"Yes"</formula>
    </cfRule>
  </conditionalFormatting>
  <conditionalFormatting sqref="X396">
    <cfRule type="expression" dxfId="7212" priority="9128">
      <formula>$E396&lt;&gt;"Yes"</formula>
    </cfRule>
  </conditionalFormatting>
  <conditionalFormatting sqref="Q397">
    <cfRule type="expression" dxfId="7211" priority="9119">
      <formula>$E$7&lt;&gt;"Yes"</formula>
    </cfRule>
  </conditionalFormatting>
  <conditionalFormatting sqref="Q397">
    <cfRule type="expression" dxfId="7210" priority="9118">
      <formula>$E397&lt;&gt;"Yes"</formula>
    </cfRule>
  </conditionalFormatting>
  <conditionalFormatting sqref="AD396">
    <cfRule type="expression" dxfId="7209" priority="9125">
      <formula>$E$7&lt;&gt;"Yes"</formula>
    </cfRule>
  </conditionalFormatting>
  <conditionalFormatting sqref="AD396">
    <cfRule type="expression" dxfId="7208" priority="9124">
      <formula>$E396&lt;&gt;"Yes"</formula>
    </cfRule>
  </conditionalFormatting>
  <conditionalFormatting sqref="Y397 AF397:AH397 AJ397:AK397">
    <cfRule type="expression" dxfId="7207" priority="9121">
      <formula>$E$7&lt;&gt;"Yes"</formula>
    </cfRule>
  </conditionalFormatting>
  <conditionalFormatting sqref="Y397 AF397:AH397 AJ397:AK397">
    <cfRule type="expression" dxfId="7206" priority="9120">
      <formula>$E397&lt;&gt;"Yes"</formula>
    </cfRule>
  </conditionalFormatting>
  <conditionalFormatting sqref="M397 F397:J397 Q397">
    <cfRule type="expression" dxfId="7205" priority="9117">
      <formula>$E$7&lt;&gt;"Yes"</formula>
    </cfRule>
  </conditionalFormatting>
  <conditionalFormatting sqref="M397 F397:J397 Q397">
    <cfRule type="expression" dxfId="7204" priority="9116">
      <formula>$E397&lt;&gt;"Yes"</formula>
    </cfRule>
  </conditionalFormatting>
  <conditionalFormatting sqref="G397">
    <cfRule type="expression" dxfId="7203" priority="9115">
      <formula>$E$7&lt;&gt;"Yes"</formula>
    </cfRule>
  </conditionalFormatting>
  <conditionalFormatting sqref="K397:L397">
    <cfRule type="expression" dxfId="7202" priority="9114">
      <formula>$E$7&lt;&gt;"Yes"</formula>
    </cfRule>
  </conditionalFormatting>
  <conditionalFormatting sqref="K397:L397">
    <cfRule type="expression" dxfId="7201" priority="9113">
      <formula>$E397&lt;&gt;"Yes"</formula>
    </cfRule>
  </conditionalFormatting>
  <conditionalFormatting sqref="N397">
    <cfRule type="expression" dxfId="7200" priority="9110">
      <formula>$E$7&lt;&gt;"Yes"</formula>
    </cfRule>
  </conditionalFormatting>
  <conditionalFormatting sqref="N397">
    <cfRule type="expression" dxfId="7199" priority="9109">
      <formula>$E397&lt;&gt;"Yes"</formula>
    </cfRule>
  </conditionalFormatting>
  <conditionalFormatting sqref="W397">
    <cfRule type="expression" dxfId="7198" priority="9112">
      <formula>$E$7&lt;&gt;"Yes"</formula>
    </cfRule>
  </conditionalFormatting>
  <conditionalFormatting sqref="W397">
    <cfRule type="expression" dxfId="7197" priority="9111">
      <formula>$E397&lt;&gt;"Yes"</formula>
    </cfRule>
  </conditionalFormatting>
  <conditionalFormatting sqref="AE397">
    <cfRule type="expression" dxfId="7196" priority="9108">
      <formula>$E$7&lt;&gt;"Yes"</formula>
    </cfRule>
  </conditionalFormatting>
  <conditionalFormatting sqref="AE397">
    <cfRule type="expression" dxfId="7195" priority="9107">
      <formula>$E397&lt;&gt;"Yes"</formula>
    </cfRule>
  </conditionalFormatting>
  <conditionalFormatting sqref="AB397">
    <cfRule type="expression" dxfId="7194" priority="9094">
      <formula>$E$7&lt;&gt;"Yes"</formula>
    </cfRule>
  </conditionalFormatting>
  <conditionalFormatting sqref="AB397">
    <cfRule type="expression" dxfId="7193" priority="9093">
      <formula>$E397&lt;&gt;"Yes"</formula>
    </cfRule>
  </conditionalFormatting>
  <conditionalFormatting sqref="AA397">
    <cfRule type="expression" dxfId="7192" priority="9092">
      <formula>$E$7&lt;&gt;"Yes"</formula>
    </cfRule>
  </conditionalFormatting>
  <conditionalFormatting sqref="AA397">
    <cfRule type="expression" dxfId="7191" priority="9091">
      <formula>$E397&lt;&gt;"Yes"</formula>
    </cfRule>
  </conditionalFormatting>
  <conditionalFormatting sqref="Y397">
    <cfRule type="expression" dxfId="7190" priority="9090">
      <formula>$E$7&lt;&gt;"Yes"</formula>
    </cfRule>
  </conditionalFormatting>
  <conditionalFormatting sqref="Y397">
    <cfRule type="expression" dxfId="7189" priority="9089">
      <formula>$E397&lt;&gt;"Yes"</formula>
    </cfRule>
  </conditionalFormatting>
  <conditionalFormatting sqref="O397:P397">
    <cfRule type="expression" dxfId="7188" priority="9088">
      <formula>$E$7&lt;&gt;"Yes"</formula>
    </cfRule>
  </conditionalFormatting>
  <conditionalFormatting sqref="O397:P397">
    <cfRule type="expression" dxfId="7187" priority="9087">
      <formula>$E397&lt;&gt;"Yes"</formula>
    </cfRule>
  </conditionalFormatting>
  <conditionalFormatting sqref="X397">
    <cfRule type="expression" dxfId="7186" priority="9086">
      <formula>$E$7&lt;&gt;"Yes"</formula>
    </cfRule>
  </conditionalFormatting>
  <conditionalFormatting sqref="X397">
    <cfRule type="expression" dxfId="7185" priority="9085">
      <formula>$E397&lt;&gt;"Yes"</formula>
    </cfRule>
  </conditionalFormatting>
  <conditionalFormatting sqref="Q394">
    <cfRule type="expression" dxfId="7184" priority="9076">
      <formula>$E$7&lt;&gt;"Yes"</formula>
    </cfRule>
  </conditionalFormatting>
  <conditionalFormatting sqref="Q394">
    <cfRule type="expression" dxfId="7183" priority="9075">
      <formula>$E394&lt;&gt;"Yes"</formula>
    </cfRule>
  </conditionalFormatting>
  <conditionalFormatting sqref="AD397">
    <cfRule type="expression" dxfId="7182" priority="9082">
      <formula>$E$7&lt;&gt;"Yes"</formula>
    </cfRule>
  </conditionalFormatting>
  <conditionalFormatting sqref="AD397">
    <cfRule type="expression" dxfId="7181" priority="9081">
      <formula>$E397&lt;&gt;"Yes"</formula>
    </cfRule>
  </conditionalFormatting>
  <conditionalFormatting sqref="Y394 AF394:AH394 AJ394:AK394">
    <cfRule type="expression" dxfId="7180" priority="9078">
      <formula>$E$7&lt;&gt;"Yes"</formula>
    </cfRule>
  </conditionalFormatting>
  <conditionalFormatting sqref="Y394 AF394:AH394 AJ394:AK394">
    <cfRule type="expression" dxfId="7179" priority="9077">
      <formula>$E394&lt;&gt;"Yes"</formula>
    </cfRule>
  </conditionalFormatting>
  <conditionalFormatting sqref="M394 F394:J394 Q394">
    <cfRule type="expression" dxfId="7178" priority="9074">
      <formula>$E$7&lt;&gt;"Yes"</formula>
    </cfRule>
  </conditionalFormatting>
  <conditionalFormatting sqref="M394 F394:J394 Q394">
    <cfRule type="expression" dxfId="7177" priority="9073">
      <formula>$E394&lt;&gt;"Yes"</formula>
    </cfRule>
  </conditionalFormatting>
  <conditionalFormatting sqref="G394">
    <cfRule type="expression" dxfId="7176" priority="9072">
      <formula>$E$7&lt;&gt;"Yes"</formula>
    </cfRule>
  </conditionalFormatting>
  <conditionalFormatting sqref="K394:L394">
    <cfRule type="expression" dxfId="7175" priority="9071">
      <formula>$E$7&lt;&gt;"Yes"</formula>
    </cfRule>
  </conditionalFormatting>
  <conditionalFormatting sqref="K394:L394">
    <cfRule type="expression" dxfId="7174" priority="9070">
      <formula>$E394&lt;&gt;"Yes"</formula>
    </cfRule>
  </conditionalFormatting>
  <conditionalFormatting sqref="N394">
    <cfRule type="expression" dxfId="7173" priority="9067">
      <formula>$E$7&lt;&gt;"Yes"</formula>
    </cfRule>
  </conditionalFormatting>
  <conditionalFormatting sqref="N394">
    <cfRule type="expression" dxfId="7172" priority="9066">
      <formula>$E394&lt;&gt;"Yes"</formula>
    </cfRule>
  </conditionalFormatting>
  <conditionalFormatting sqref="W394">
    <cfRule type="expression" dxfId="7171" priority="9069">
      <formula>$E$7&lt;&gt;"Yes"</formula>
    </cfRule>
  </conditionalFormatting>
  <conditionalFormatting sqref="W394">
    <cfRule type="expression" dxfId="7170" priority="9068">
      <formula>$E394&lt;&gt;"Yes"</formula>
    </cfRule>
  </conditionalFormatting>
  <conditionalFormatting sqref="AE394">
    <cfRule type="expression" dxfId="7169" priority="9065">
      <formula>$E$7&lt;&gt;"Yes"</formula>
    </cfRule>
  </conditionalFormatting>
  <conditionalFormatting sqref="AE394">
    <cfRule type="expression" dxfId="7168" priority="9064">
      <formula>$E394&lt;&gt;"Yes"</formula>
    </cfRule>
  </conditionalFormatting>
  <conditionalFormatting sqref="AB394">
    <cfRule type="expression" dxfId="7167" priority="9051">
      <formula>$E$7&lt;&gt;"Yes"</formula>
    </cfRule>
  </conditionalFormatting>
  <conditionalFormatting sqref="AB394">
    <cfRule type="expression" dxfId="7166" priority="9050">
      <formula>$E394&lt;&gt;"Yes"</formula>
    </cfRule>
  </conditionalFormatting>
  <conditionalFormatting sqref="AA394">
    <cfRule type="expression" dxfId="7165" priority="9049">
      <formula>$E$7&lt;&gt;"Yes"</formula>
    </cfRule>
  </conditionalFormatting>
  <conditionalFormatting sqref="AA394">
    <cfRule type="expression" dxfId="7164" priority="9048">
      <formula>$E394&lt;&gt;"Yes"</formula>
    </cfRule>
  </conditionalFormatting>
  <conditionalFormatting sqref="Y394">
    <cfRule type="expression" dxfId="7163" priority="9047">
      <formula>$E$7&lt;&gt;"Yes"</formula>
    </cfRule>
  </conditionalFormatting>
  <conditionalFormatting sqref="Y394">
    <cfRule type="expression" dxfId="7162" priority="9046">
      <formula>$E394&lt;&gt;"Yes"</formula>
    </cfRule>
  </conditionalFormatting>
  <conditionalFormatting sqref="O394:P394">
    <cfRule type="expression" dxfId="7161" priority="9045">
      <formula>$E$7&lt;&gt;"Yes"</formula>
    </cfRule>
  </conditionalFormatting>
  <conditionalFormatting sqref="O394:P394">
    <cfRule type="expression" dxfId="7160" priority="9044">
      <formula>$E394&lt;&gt;"Yes"</formula>
    </cfRule>
  </conditionalFormatting>
  <conditionalFormatting sqref="X394">
    <cfRule type="expression" dxfId="7159" priority="9043">
      <formula>$E$7&lt;&gt;"Yes"</formula>
    </cfRule>
  </conditionalFormatting>
  <conditionalFormatting sqref="X394">
    <cfRule type="expression" dxfId="7158" priority="9042">
      <formula>$E394&lt;&gt;"Yes"</formula>
    </cfRule>
  </conditionalFormatting>
  <conditionalFormatting sqref="Q395">
    <cfRule type="expression" dxfId="7157" priority="9033">
      <formula>$E$7&lt;&gt;"Yes"</formula>
    </cfRule>
  </conditionalFormatting>
  <conditionalFormatting sqref="Q395">
    <cfRule type="expression" dxfId="7156" priority="9032">
      <formula>$E395&lt;&gt;"Yes"</formula>
    </cfRule>
  </conditionalFormatting>
  <conditionalFormatting sqref="AD394">
    <cfRule type="expression" dxfId="7155" priority="9039">
      <formula>$E$7&lt;&gt;"Yes"</formula>
    </cfRule>
  </conditionalFormatting>
  <conditionalFormatting sqref="AD394">
    <cfRule type="expression" dxfId="7154" priority="9038">
      <formula>$E394&lt;&gt;"Yes"</formula>
    </cfRule>
  </conditionalFormatting>
  <conditionalFormatting sqref="Y395 AF395:AH395 AJ395:AK395">
    <cfRule type="expression" dxfId="7153" priority="9035">
      <formula>$E$7&lt;&gt;"Yes"</formula>
    </cfRule>
  </conditionalFormatting>
  <conditionalFormatting sqref="Y395 AF395:AH395 AJ395:AK395">
    <cfRule type="expression" dxfId="7152" priority="9034">
      <formula>$E395&lt;&gt;"Yes"</formula>
    </cfRule>
  </conditionalFormatting>
  <conditionalFormatting sqref="M395 F395:J395 Q395">
    <cfRule type="expression" dxfId="7151" priority="9031">
      <formula>$E$7&lt;&gt;"Yes"</formula>
    </cfRule>
  </conditionalFormatting>
  <conditionalFormatting sqref="M395 F395:J395 Q395">
    <cfRule type="expression" dxfId="7150" priority="9030">
      <formula>$E395&lt;&gt;"Yes"</formula>
    </cfRule>
  </conditionalFormatting>
  <conditionalFormatting sqref="G395">
    <cfRule type="expression" dxfId="7149" priority="9029">
      <formula>$E$7&lt;&gt;"Yes"</formula>
    </cfRule>
  </conditionalFormatting>
  <conditionalFormatting sqref="K395:L395">
    <cfRule type="expression" dxfId="7148" priority="9028">
      <formula>$E$7&lt;&gt;"Yes"</formula>
    </cfRule>
  </conditionalFormatting>
  <conditionalFormatting sqref="K395:L395">
    <cfRule type="expression" dxfId="7147" priority="9027">
      <formula>$E395&lt;&gt;"Yes"</formula>
    </cfRule>
  </conditionalFormatting>
  <conditionalFormatting sqref="N395">
    <cfRule type="expression" dxfId="7146" priority="9024">
      <formula>$E$7&lt;&gt;"Yes"</formula>
    </cfRule>
  </conditionalFormatting>
  <conditionalFormatting sqref="N395">
    <cfRule type="expression" dxfId="7145" priority="9023">
      <formula>$E395&lt;&gt;"Yes"</formula>
    </cfRule>
  </conditionalFormatting>
  <conditionalFormatting sqref="W395">
    <cfRule type="expression" dxfId="7144" priority="9026">
      <formula>$E$7&lt;&gt;"Yes"</formula>
    </cfRule>
  </conditionalFormatting>
  <conditionalFormatting sqref="W395">
    <cfRule type="expression" dxfId="7143" priority="9025">
      <formula>$E395&lt;&gt;"Yes"</formula>
    </cfRule>
  </conditionalFormatting>
  <conditionalFormatting sqref="AE395">
    <cfRule type="expression" dxfId="7142" priority="9022">
      <formula>$E$7&lt;&gt;"Yes"</formula>
    </cfRule>
  </conditionalFormatting>
  <conditionalFormatting sqref="AE395">
    <cfRule type="expression" dxfId="7141" priority="9021">
      <formula>$E395&lt;&gt;"Yes"</formula>
    </cfRule>
  </conditionalFormatting>
  <conditionalFormatting sqref="AB395">
    <cfRule type="expression" dxfId="7140" priority="9008">
      <formula>$E$7&lt;&gt;"Yes"</formula>
    </cfRule>
  </conditionalFormatting>
  <conditionalFormatting sqref="AB395">
    <cfRule type="expression" dxfId="7139" priority="9007">
      <formula>$E395&lt;&gt;"Yes"</formula>
    </cfRule>
  </conditionalFormatting>
  <conditionalFormatting sqref="AA395">
    <cfRule type="expression" dxfId="7138" priority="9006">
      <formula>$E$7&lt;&gt;"Yes"</formula>
    </cfRule>
  </conditionalFormatting>
  <conditionalFormatting sqref="AA395">
    <cfRule type="expression" dxfId="7137" priority="9005">
      <formula>$E395&lt;&gt;"Yes"</formula>
    </cfRule>
  </conditionalFormatting>
  <conditionalFormatting sqref="Y395">
    <cfRule type="expression" dxfId="7136" priority="9004">
      <formula>$E$7&lt;&gt;"Yes"</formula>
    </cfRule>
  </conditionalFormatting>
  <conditionalFormatting sqref="Y395">
    <cfRule type="expression" dxfId="7135" priority="9003">
      <formula>$E395&lt;&gt;"Yes"</formula>
    </cfRule>
  </conditionalFormatting>
  <conditionalFormatting sqref="O395:P395">
    <cfRule type="expression" dxfId="7134" priority="9002">
      <formula>$E$7&lt;&gt;"Yes"</formula>
    </cfRule>
  </conditionalFormatting>
  <conditionalFormatting sqref="O395:P395">
    <cfRule type="expression" dxfId="7133" priority="9001">
      <formula>$E395&lt;&gt;"Yes"</formula>
    </cfRule>
  </conditionalFormatting>
  <conditionalFormatting sqref="X395">
    <cfRule type="expression" dxfId="7132" priority="9000">
      <formula>$E$7&lt;&gt;"Yes"</formula>
    </cfRule>
  </conditionalFormatting>
  <conditionalFormatting sqref="X395">
    <cfRule type="expression" dxfId="7131" priority="8999">
      <formula>$E395&lt;&gt;"Yes"</formula>
    </cfRule>
  </conditionalFormatting>
  <conditionalFormatting sqref="Q399">
    <cfRule type="expression" dxfId="7130" priority="8990">
      <formula>$E$7&lt;&gt;"Yes"</formula>
    </cfRule>
  </conditionalFormatting>
  <conditionalFormatting sqref="Q399">
    <cfRule type="expression" dxfId="7129" priority="8989">
      <formula>$E399&lt;&gt;"Yes"</formula>
    </cfRule>
  </conditionalFormatting>
  <conditionalFormatting sqref="AD395">
    <cfRule type="expression" dxfId="7128" priority="8996">
      <formula>$E$7&lt;&gt;"Yes"</formula>
    </cfRule>
  </conditionalFormatting>
  <conditionalFormatting sqref="AD395">
    <cfRule type="expression" dxfId="7127" priority="8995">
      <formula>$E395&lt;&gt;"Yes"</formula>
    </cfRule>
  </conditionalFormatting>
  <conditionalFormatting sqref="Y399 AF399:AH399 AJ399:AK399">
    <cfRule type="expression" dxfId="7126" priority="8992">
      <formula>$E$7&lt;&gt;"Yes"</formula>
    </cfRule>
  </conditionalFormatting>
  <conditionalFormatting sqref="Y399 AF399:AH399 AJ399:AK399">
    <cfRule type="expression" dxfId="7125" priority="8991">
      <formula>$E399&lt;&gt;"Yes"</formula>
    </cfRule>
  </conditionalFormatting>
  <conditionalFormatting sqref="M399 F399:J399 Q399">
    <cfRule type="expression" dxfId="7124" priority="8988">
      <formula>$E$7&lt;&gt;"Yes"</formula>
    </cfRule>
  </conditionalFormatting>
  <conditionalFormatting sqref="M399 F399:J399 Q399">
    <cfRule type="expression" dxfId="7123" priority="8987">
      <formula>$E399&lt;&gt;"Yes"</formula>
    </cfRule>
  </conditionalFormatting>
  <conditionalFormatting sqref="G399">
    <cfRule type="expression" dxfId="7122" priority="8986">
      <formula>$E$7&lt;&gt;"Yes"</formula>
    </cfRule>
  </conditionalFormatting>
  <conditionalFormatting sqref="K399:L399">
    <cfRule type="expression" dxfId="7121" priority="8985">
      <formula>$E$7&lt;&gt;"Yes"</formula>
    </cfRule>
  </conditionalFormatting>
  <conditionalFormatting sqref="K399:L399">
    <cfRule type="expression" dxfId="7120" priority="8984">
      <formula>$E399&lt;&gt;"Yes"</formula>
    </cfRule>
  </conditionalFormatting>
  <conditionalFormatting sqref="N399">
    <cfRule type="expression" dxfId="7119" priority="8981">
      <formula>$E$7&lt;&gt;"Yes"</formula>
    </cfRule>
  </conditionalFormatting>
  <conditionalFormatting sqref="N399">
    <cfRule type="expression" dxfId="7118" priority="8980">
      <formula>$E399&lt;&gt;"Yes"</formula>
    </cfRule>
  </conditionalFormatting>
  <conditionalFormatting sqref="W399">
    <cfRule type="expression" dxfId="7117" priority="8983">
      <formula>$E$7&lt;&gt;"Yes"</formula>
    </cfRule>
  </conditionalFormatting>
  <conditionalFormatting sqref="W399">
    <cfRule type="expression" dxfId="7116" priority="8982">
      <formula>$E399&lt;&gt;"Yes"</formula>
    </cfRule>
  </conditionalFormatting>
  <conditionalFormatting sqref="AE399">
    <cfRule type="expression" dxfId="7115" priority="8979">
      <formula>$E$7&lt;&gt;"Yes"</formula>
    </cfRule>
  </conditionalFormatting>
  <conditionalFormatting sqref="AE399">
    <cfRule type="expression" dxfId="7114" priority="8978">
      <formula>$E399&lt;&gt;"Yes"</formula>
    </cfRule>
  </conditionalFormatting>
  <conditionalFormatting sqref="AB399">
    <cfRule type="expression" dxfId="7113" priority="8965">
      <formula>$E$7&lt;&gt;"Yes"</formula>
    </cfRule>
  </conditionalFormatting>
  <conditionalFormatting sqref="AB399">
    <cfRule type="expression" dxfId="7112" priority="8964">
      <formula>$E399&lt;&gt;"Yes"</formula>
    </cfRule>
  </conditionalFormatting>
  <conditionalFormatting sqref="AA399">
    <cfRule type="expression" dxfId="7111" priority="8963">
      <formula>$E$7&lt;&gt;"Yes"</formula>
    </cfRule>
  </conditionalFormatting>
  <conditionalFormatting sqref="AA399">
    <cfRule type="expression" dxfId="7110" priority="8962">
      <formula>$E399&lt;&gt;"Yes"</formula>
    </cfRule>
  </conditionalFormatting>
  <conditionalFormatting sqref="Y399">
    <cfRule type="expression" dxfId="7109" priority="8961">
      <formula>$E$7&lt;&gt;"Yes"</formula>
    </cfRule>
  </conditionalFormatting>
  <conditionalFormatting sqref="Y399">
    <cfRule type="expression" dxfId="7108" priority="8960">
      <formula>$E399&lt;&gt;"Yes"</formula>
    </cfRule>
  </conditionalFormatting>
  <conditionalFormatting sqref="O399:P399">
    <cfRule type="expression" dxfId="7107" priority="8959">
      <formula>$E$7&lt;&gt;"Yes"</formula>
    </cfRule>
  </conditionalFormatting>
  <conditionalFormatting sqref="O399:P399">
    <cfRule type="expression" dxfId="7106" priority="8958">
      <formula>$E399&lt;&gt;"Yes"</formula>
    </cfRule>
  </conditionalFormatting>
  <conditionalFormatting sqref="X399">
    <cfRule type="expression" dxfId="7105" priority="8957">
      <formula>$E$7&lt;&gt;"Yes"</formula>
    </cfRule>
  </conditionalFormatting>
  <conditionalFormatting sqref="X399">
    <cfRule type="expression" dxfId="7104" priority="8956">
      <formula>$E399&lt;&gt;"Yes"</formula>
    </cfRule>
  </conditionalFormatting>
  <conditionalFormatting sqref="Q407">
    <cfRule type="expression" dxfId="7103" priority="8947">
      <formula>$E$7&lt;&gt;"Yes"</formula>
    </cfRule>
  </conditionalFormatting>
  <conditionalFormatting sqref="Q407">
    <cfRule type="expression" dxfId="7102" priority="8946">
      <formula>$E407&lt;&gt;"Yes"</formula>
    </cfRule>
  </conditionalFormatting>
  <conditionalFormatting sqref="AD399">
    <cfRule type="expression" dxfId="7101" priority="8953">
      <formula>$E$7&lt;&gt;"Yes"</formula>
    </cfRule>
  </conditionalFormatting>
  <conditionalFormatting sqref="AD399">
    <cfRule type="expression" dxfId="7100" priority="8952">
      <formula>$E399&lt;&gt;"Yes"</formula>
    </cfRule>
  </conditionalFormatting>
  <conditionalFormatting sqref="Y407 AF407:AH407 AJ407:AK407">
    <cfRule type="expression" dxfId="7099" priority="8949">
      <formula>$E$7&lt;&gt;"Yes"</formula>
    </cfRule>
  </conditionalFormatting>
  <conditionalFormatting sqref="Y407 AF407:AH407 AJ407:AK407">
    <cfRule type="expression" dxfId="7098" priority="8948">
      <formula>$E407&lt;&gt;"Yes"</formula>
    </cfRule>
  </conditionalFormatting>
  <conditionalFormatting sqref="M407 F407:J407 Q407">
    <cfRule type="expression" dxfId="7097" priority="8945">
      <formula>$E$7&lt;&gt;"Yes"</formula>
    </cfRule>
  </conditionalFormatting>
  <conditionalFormatting sqref="M407 F407:J407 Q407">
    <cfRule type="expression" dxfId="7096" priority="8944">
      <formula>$E407&lt;&gt;"Yes"</formula>
    </cfRule>
  </conditionalFormatting>
  <conditionalFormatting sqref="G407">
    <cfRule type="expression" dxfId="7095" priority="8943">
      <formula>$E$7&lt;&gt;"Yes"</formula>
    </cfRule>
  </conditionalFormatting>
  <conditionalFormatting sqref="K407:L407">
    <cfRule type="expression" dxfId="7094" priority="8942">
      <formula>$E$7&lt;&gt;"Yes"</formula>
    </cfRule>
  </conditionalFormatting>
  <conditionalFormatting sqref="K407:L407">
    <cfRule type="expression" dxfId="7093" priority="8941">
      <formula>$E407&lt;&gt;"Yes"</formula>
    </cfRule>
  </conditionalFormatting>
  <conditionalFormatting sqref="N407">
    <cfRule type="expression" dxfId="7092" priority="8938">
      <formula>$E$7&lt;&gt;"Yes"</formula>
    </cfRule>
  </conditionalFormatting>
  <conditionalFormatting sqref="N407">
    <cfRule type="expression" dxfId="7091" priority="8937">
      <formula>$E407&lt;&gt;"Yes"</formula>
    </cfRule>
  </conditionalFormatting>
  <conditionalFormatting sqref="W407">
    <cfRule type="expression" dxfId="7090" priority="8940">
      <formula>$E$7&lt;&gt;"Yes"</formula>
    </cfRule>
  </conditionalFormatting>
  <conditionalFormatting sqref="W407">
    <cfRule type="expression" dxfId="7089" priority="8939">
      <formula>$E407&lt;&gt;"Yes"</formula>
    </cfRule>
  </conditionalFormatting>
  <conditionalFormatting sqref="AE407">
    <cfRule type="expression" dxfId="7088" priority="8936">
      <formula>$E$7&lt;&gt;"Yes"</formula>
    </cfRule>
  </conditionalFormatting>
  <conditionalFormatting sqref="AE407">
    <cfRule type="expression" dxfId="7087" priority="8935">
      <formula>$E407&lt;&gt;"Yes"</formula>
    </cfRule>
  </conditionalFormatting>
  <conditionalFormatting sqref="AB407">
    <cfRule type="expression" dxfId="7086" priority="8922">
      <formula>$E$7&lt;&gt;"Yes"</formula>
    </cfRule>
  </conditionalFormatting>
  <conditionalFormatting sqref="AB407">
    <cfRule type="expression" dxfId="7085" priority="8921">
      <formula>$E407&lt;&gt;"Yes"</formula>
    </cfRule>
  </conditionalFormatting>
  <conditionalFormatting sqref="AA407">
    <cfRule type="expression" dxfId="7084" priority="8920">
      <formula>$E$7&lt;&gt;"Yes"</formula>
    </cfRule>
  </conditionalFormatting>
  <conditionalFormatting sqref="AA407">
    <cfRule type="expression" dxfId="7083" priority="8919">
      <formula>$E407&lt;&gt;"Yes"</formula>
    </cfRule>
  </conditionalFormatting>
  <conditionalFormatting sqref="Y407">
    <cfRule type="expression" dxfId="7082" priority="8918">
      <formula>$E$7&lt;&gt;"Yes"</formula>
    </cfRule>
  </conditionalFormatting>
  <conditionalFormatting sqref="Y407">
    <cfRule type="expression" dxfId="7081" priority="8917">
      <formula>$E407&lt;&gt;"Yes"</formula>
    </cfRule>
  </conditionalFormatting>
  <conditionalFormatting sqref="O407:P407">
    <cfRule type="expression" dxfId="7080" priority="8916">
      <formula>$E$7&lt;&gt;"Yes"</formula>
    </cfRule>
  </conditionalFormatting>
  <conditionalFormatting sqref="O407:P407">
    <cfRule type="expression" dxfId="7079" priority="8915">
      <formula>$E407&lt;&gt;"Yes"</formula>
    </cfRule>
  </conditionalFormatting>
  <conditionalFormatting sqref="X407">
    <cfRule type="expression" dxfId="7078" priority="8914">
      <formula>$E$7&lt;&gt;"Yes"</formula>
    </cfRule>
  </conditionalFormatting>
  <conditionalFormatting sqref="X407">
    <cfRule type="expression" dxfId="7077" priority="8913">
      <formula>$E407&lt;&gt;"Yes"</formula>
    </cfRule>
  </conditionalFormatting>
  <conditionalFormatting sqref="Y410 AF410:AH410 AJ410:AK410">
    <cfRule type="expression" dxfId="7076" priority="8906">
      <formula>$E$7&lt;&gt;"Yes"</formula>
    </cfRule>
  </conditionalFormatting>
  <conditionalFormatting sqref="Y410 AF410:AH410 AJ410:AK410">
    <cfRule type="expression" dxfId="7075" priority="8905">
      <formula>$E410&lt;&gt;"Yes"</formula>
    </cfRule>
  </conditionalFormatting>
  <conditionalFormatting sqref="AD407">
    <cfRule type="expression" dxfId="7074" priority="8910">
      <formula>$E$7&lt;&gt;"Yes"</formula>
    </cfRule>
  </conditionalFormatting>
  <conditionalFormatting sqref="AD407">
    <cfRule type="expression" dxfId="7073" priority="8909">
      <formula>$E407&lt;&gt;"Yes"</formula>
    </cfRule>
  </conditionalFormatting>
  <conditionalFormatting sqref="Q410">
    <cfRule type="expression" dxfId="7072" priority="8904">
      <formula>$E$7&lt;&gt;"Yes"</formula>
    </cfRule>
  </conditionalFormatting>
  <conditionalFormatting sqref="Q410">
    <cfRule type="expression" dxfId="7071" priority="8903">
      <formula>$E410&lt;&gt;"Yes"</formula>
    </cfRule>
  </conditionalFormatting>
  <conditionalFormatting sqref="M410 F410:J410 Q410">
    <cfRule type="expression" dxfId="7070" priority="8902">
      <formula>$E$7&lt;&gt;"Yes"</formula>
    </cfRule>
  </conditionalFormatting>
  <conditionalFormatting sqref="M410 F410:J410 Q410">
    <cfRule type="expression" dxfId="7069" priority="8901">
      <formula>$E410&lt;&gt;"Yes"</formula>
    </cfRule>
  </conditionalFormatting>
  <conditionalFormatting sqref="G410">
    <cfRule type="expression" dxfId="7068" priority="8900">
      <formula>$E$7&lt;&gt;"Yes"</formula>
    </cfRule>
  </conditionalFormatting>
  <conditionalFormatting sqref="K410:L410">
    <cfRule type="expression" dxfId="7067" priority="8899">
      <formula>$E$7&lt;&gt;"Yes"</formula>
    </cfRule>
  </conditionalFormatting>
  <conditionalFormatting sqref="K410:L410">
    <cfRule type="expression" dxfId="7066" priority="8898">
      <formula>$E410&lt;&gt;"Yes"</formula>
    </cfRule>
  </conditionalFormatting>
  <conditionalFormatting sqref="N410">
    <cfRule type="expression" dxfId="7065" priority="8895">
      <formula>$E$7&lt;&gt;"Yes"</formula>
    </cfRule>
  </conditionalFormatting>
  <conditionalFormatting sqref="N410">
    <cfRule type="expression" dxfId="7064" priority="8894">
      <formula>$E410&lt;&gt;"Yes"</formula>
    </cfRule>
  </conditionalFormatting>
  <conditionalFormatting sqref="W410">
    <cfRule type="expression" dxfId="7063" priority="8897">
      <formula>$E$7&lt;&gt;"Yes"</formula>
    </cfRule>
  </conditionalFormatting>
  <conditionalFormatting sqref="W410">
    <cfRule type="expression" dxfId="7062" priority="8896">
      <formula>$E410&lt;&gt;"Yes"</formula>
    </cfRule>
  </conditionalFormatting>
  <conditionalFormatting sqref="AE410">
    <cfRule type="expression" dxfId="7061" priority="8893">
      <formula>$E$7&lt;&gt;"Yes"</formula>
    </cfRule>
  </conditionalFormatting>
  <conditionalFormatting sqref="AE410">
    <cfRule type="expression" dxfId="7060" priority="8892">
      <formula>$E410&lt;&gt;"Yes"</formula>
    </cfRule>
  </conditionalFormatting>
  <conditionalFormatting sqref="AB410">
    <cfRule type="expression" dxfId="7059" priority="8879">
      <formula>$E$7&lt;&gt;"Yes"</formula>
    </cfRule>
  </conditionalFormatting>
  <conditionalFormatting sqref="AB410">
    <cfRule type="expression" dxfId="7058" priority="8878">
      <formula>$E410&lt;&gt;"Yes"</formula>
    </cfRule>
  </conditionalFormatting>
  <conditionalFormatting sqref="AA410">
    <cfRule type="expression" dxfId="7057" priority="8877">
      <formula>$E$7&lt;&gt;"Yes"</formula>
    </cfRule>
  </conditionalFormatting>
  <conditionalFormatting sqref="AA410">
    <cfRule type="expression" dxfId="7056" priority="8876">
      <formula>$E410&lt;&gt;"Yes"</formula>
    </cfRule>
  </conditionalFormatting>
  <conditionalFormatting sqref="Y410">
    <cfRule type="expression" dxfId="7055" priority="8875">
      <formula>$E$7&lt;&gt;"Yes"</formula>
    </cfRule>
  </conditionalFormatting>
  <conditionalFormatting sqref="Y410">
    <cfRule type="expression" dxfId="7054" priority="8874">
      <formula>$E410&lt;&gt;"Yes"</formula>
    </cfRule>
  </conditionalFormatting>
  <conditionalFormatting sqref="O410:P410">
    <cfRule type="expression" dxfId="7053" priority="8873">
      <formula>$E$7&lt;&gt;"Yes"</formula>
    </cfRule>
  </conditionalFormatting>
  <conditionalFormatting sqref="O410:P410">
    <cfRule type="expression" dxfId="7052" priority="8872">
      <formula>$E410&lt;&gt;"Yes"</formula>
    </cfRule>
  </conditionalFormatting>
  <conditionalFormatting sqref="X410">
    <cfRule type="expression" dxfId="7051" priority="8871">
      <formula>$E$7&lt;&gt;"Yes"</formula>
    </cfRule>
  </conditionalFormatting>
  <conditionalFormatting sqref="X410">
    <cfRule type="expression" dxfId="7050" priority="8870">
      <formula>$E410&lt;&gt;"Yes"</formula>
    </cfRule>
  </conditionalFormatting>
  <conditionalFormatting sqref="AD410">
    <cfRule type="expression" dxfId="7049" priority="8867">
      <formula>$E$7&lt;&gt;"Yes"</formula>
    </cfRule>
  </conditionalFormatting>
  <conditionalFormatting sqref="AD410">
    <cfRule type="expression" dxfId="7048" priority="8866">
      <formula>$E410&lt;&gt;"Yes"</formula>
    </cfRule>
  </conditionalFormatting>
  <conditionalFormatting sqref="Y409 AF409:AH409 AJ409:AK409">
    <cfRule type="expression" dxfId="7047" priority="8863">
      <formula>$E$7&lt;&gt;"Yes"</formula>
    </cfRule>
  </conditionalFormatting>
  <conditionalFormatting sqref="Y409 AF409:AH409 AJ409:AK409">
    <cfRule type="expression" dxfId="7046" priority="8862">
      <formula>$E409&lt;&gt;"Yes"</formula>
    </cfRule>
  </conditionalFormatting>
  <conditionalFormatting sqref="Q409">
    <cfRule type="expression" dxfId="7045" priority="8861">
      <formula>$E$7&lt;&gt;"Yes"</formula>
    </cfRule>
  </conditionalFormatting>
  <conditionalFormatting sqref="Q409">
    <cfRule type="expression" dxfId="7044" priority="8860">
      <formula>$E409&lt;&gt;"Yes"</formula>
    </cfRule>
  </conditionalFormatting>
  <conditionalFormatting sqref="M409 F409:J409 Q409">
    <cfRule type="expression" dxfId="7043" priority="8859">
      <formula>$E$7&lt;&gt;"Yes"</formula>
    </cfRule>
  </conditionalFormatting>
  <conditionalFormatting sqref="M409 F409:J409 Q409">
    <cfRule type="expression" dxfId="7042" priority="8858">
      <formula>$E409&lt;&gt;"Yes"</formula>
    </cfRule>
  </conditionalFormatting>
  <conditionalFormatting sqref="G409">
    <cfRule type="expression" dxfId="7041" priority="8857">
      <formula>$E$7&lt;&gt;"Yes"</formula>
    </cfRule>
  </conditionalFormatting>
  <conditionalFormatting sqref="K409:L409">
    <cfRule type="expression" dxfId="7040" priority="8856">
      <formula>$E$7&lt;&gt;"Yes"</formula>
    </cfRule>
  </conditionalFormatting>
  <conditionalFormatting sqref="K409:L409">
    <cfRule type="expression" dxfId="7039" priority="8855">
      <formula>$E409&lt;&gt;"Yes"</formula>
    </cfRule>
  </conditionalFormatting>
  <conditionalFormatting sqref="N409">
    <cfRule type="expression" dxfId="7038" priority="8852">
      <formula>$E$7&lt;&gt;"Yes"</formula>
    </cfRule>
  </conditionalFormatting>
  <conditionalFormatting sqref="N409">
    <cfRule type="expression" dxfId="7037" priority="8851">
      <formula>$E409&lt;&gt;"Yes"</formula>
    </cfRule>
  </conditionalFormatting>
  <conditionalFormatting sqref="W409">
    <cfRule type="expression" dxfId="7036" priority="8854">
      <formula>$E$7&lt;&gt;"Yes"</formula>
    </cfRule>
  </conditionalFormatting>
  <conditionalFormatting sqref="W409">
    <cfRule type="expression" dxfId="7035" priority="8853">
      <formula>$E409&lt;&gt;"Yes"</formula>
    </cfRule>
  </conditionalFormatting>
  <conditionalFormatting sqref="AE409">
    <cfRule type="expression" dxfId="7034" priority="8850">
      <formula>$E$7&lt;&gt;"Yes"</formula>
    </cfRule>
  </conditionalFormatting>
  <conditionalFormatting sqref="AE409">
    <cfRule type="expression" dxfId="7033" priority="8849">
      <formula>$E409&lt;&gt;"Yes"</formula>
    </cfRule>
  </conditionalFormatting>
  <conditionalFormatting sqref="AB409">
    <cfRule type="expression" dxfId="7032" priority="8836">
      <formula>$E$7&lt;&gt;"Yes"</formula>
    </cfRule>
  </conditionalFormatting>
  <conditionalFormatting sqref="AB409">
    <cfRule type="expression" dxfId="7031" priority="8835">
      <formula>$E409&lt;&gt;"Yes"</formula>
    </cfRule>
  </conditionalFormatting>
  <conditionalFormatting sqref="AA409">
    <cfRule type="expression" dxfId="7030" priority="8834">
      <formula>$E$7&lt;&gt;"Yes"</formula>
    </cfRule>
  </conditionalFormatting>
  <conditionalFormatting sqref="AA409">
    <cfRule type="expression" dxfId="7029" priority="8833">
      <formula>$E409&lt;&gt;"Yes"</formula>
    </cfRule>
  </conditionalFormatting>
  <conditionalFormatting sqref="Y409">
    <cfRule type="expression" dxfId="7028" priority="8832">
      <formula>$E$7&lt;&gt;"Yes"</formula>
    </cfRule>
  </conditionalFormatting>
  <conditionalFormatting sqref="Y409">
    <cfRule type="expression" dxfId="7027" priority="8831">
      <formula>$E409&lt;&gt;"Yes"</formula>
    </cfRule>
  </conditionalFormatting>
  <conditionalFormatting sqref="O409:P409">
    <cfRule type="expression" dxfId="7026" priority="8830">
      <formula>$E$7&lt;&gt;"Yes"</formula>
    </cfRule>
  </conditionalFormatting>
  <conditionalFormatting sqref="O409:P409">
    <cfRule type="expression" dxfId="7025" priority="8829">
      <formula>$E409&lt;&gt;"Yes"</formula>
    </cfRule>
  </conditionalFormatting>
  <conditionalFormatting sqref="X409">
    <cfRule type="expression" dxfId="7024" priority="8828">
      <formula>$E$7&lt;&gt;"Yes"</formula>
    </cfRule>
  </conditionalFormatting>
  <conditionalFormatting sqref="X409">
    <cfRule type="expression" dxfId="7023" priority="8827">
      <formula>$E409&lt;&gt;"Yes"</formula>
    </cfRule>
  </conditionalFormatting>
  <conditionalFormatting sqref="Y406 AF406:AH406 AJ406:AK406">
    <cfRule type="expression" dxfId="7022" priority="8820">
      <formula>$E$7&lt;&gt;"Yes"</formula>
    </cfRule>
  </conditionalFormatting>
  <conditionalFormatting sqref="Y406 AF406:AH406 AJ406:AK406">
    <cfRule type="expression" dxfId="7021" priority="8819">
      <formula>$E406&lt;&gt;"Yes"</formula>
    </cfRule>
  </conditionalFormatting>
  <conditionalFormatting sqref="AD409">
    <cfRule type="expression" dxfId="7020" priority="8824">
      <formula>$E$7&lt;&gt;"Yes"</formula>
    </cfRule>
  </conditionalFormatting>
  <conditionalFormatting sqref="AD409">
    <cfRule type="expression" dxfId="7019" priority="8823">
      <formula>$E409&lt;&gt;"Yes"</formula>
    </cfRule>
  </conditionalFormatting>
  <conditionalFormatting sqref="Q406">
    <cfRule type="expression" dxfId="7018" priority="8818">
      <formula>$E$7&lt;&gt;"Yes"</formula>
    </cfRule>
  </conditionalFormatting>
  <conditionalFormatting sqref="Q406">
    <cfRule type="expression" dxfId="7017" priority="8817">
      <formula>$E406&lt;&gt;"Yes"</formula>
    </cfRule>
  </conditionalFormatting>
  <conditionalFormatting sqref="M406 F406:J406 Q406">
    <cfRule type="expression" dxfId="7016" priority="8816">
      <formula>$E$7&lt;&gt;"Yes"</formula>
    </cfRule>
  </conditionalFormatting>
  <conditionalFormatting sqref="M406 F406:J406 Q406">
    <cfRule type="expression" dxfId="7015" priority="8815">
      <formula>$E406&lt;&gt;"Yes"</formula>
    </cfRule>
  </conditionalFormatting>
  <conditionalFormatting sqref="G406">
    <cfRule type="expression" dxfId="7014" priority="8814">
      <formula>$E$7&lt;&gt;"Yes"</formula>
    </cfRule>
  </conditionalFormatting>
  <conditionalFormatting sqref="K406:L406">
    <cfRule type="expression" dxfId="7013" priority="8813">
      <formula>$E$7&lt;&gt;"Yes"</formula>
    </cfRule>
  </conditionalFormatting>
  <conditionalFormatting sqref="K406:L406">
    <cfRule type="expression" dxfId="7012" priority="8812">
      <formula>$E406&lt;&gt;"Yes"</formula>
    </cfRule>
  </conditionalFormatting>
  <conditionalFormatting sqref="N406">
    <cfRule type="expression" dxfId="7011" priority="8809">
      <formula>$E$7&lt;&gt;"Yes"</formula>
    </cfRule>
  </conditionalFormatting>
  <conditionalFormatting sqref="N406">
    <cfRule type="expression" dxfId="7010" priority="8808">
      <formula>$E406&lt;&gt;"Yes"</formula>
    </cfRule>
  </conditionalFormatting>
  <conditionalFormatting sqref="W406">
    <cfRule type="expression" dxfId="7009" priority="8811">
      <formula>$E$7&lt;&gt;"Yes"</formula>
    </cfRule>
  </conditionalFormatting>
  <conditionalFormatting sqref="W406">
    <cfRule type="expression" dxfId="7008" priority="8810">
      <formula>$E406&lt;&gt;"Yes"</formula>
    </cfRule>
  </conditionalFormatting>
  <conditionalFormatting sqref="AE406">
    <cfRule type="expression" dxfId="7007" priority="8807">
      <formula>$E$7&lt;&gt;"Yes"</formula>
    </cfRule>
  </conditionalFormatting>
  <conditionalFormatting sqref="AE406">
    <cfRule type="expression" dxfId="7006" priority="8806">
      <formula>$E406&lt;&gt;"Yes"</formula>
    </cfRule>
  </conditionalFormatting>
  <conditionalFormatting sqref="AB406">
    <cfRule type="expression" dxfId="7005" priority="8793">
      <formula>$E$7&lt;&gt;"Yes"</formula>
    </cfRule>
  </conditionalFormatting>
  <conditionalFormatting sqref="AB406">
    <cfRule type="expression" dxfId="7004" priority="8792">
      <formula>$E406&lt;&gt;"Yes"</formula>
    </cfRule>
  </conditionalFormatting>
  <conditionalFormatting sqref="AA406">
    <cfRule type="expression" dxfId="7003" priority="8791">
      <formula>$E$7&lt;&gt;"Yes"</formula>
    </cfRule>
  </conditionalFormatting>
  <conditionalFormatting sqref="AA406">
    <cfRule type="expression" dxfId="7002" priority="8790">
      <formula>$E406&lt;&gt;"Yes"</formula>
    </cfRule>
  </conditionalFormatting>
  <conditionalFormatting sqref="Y406">
    <cfRule type="expression" dxfId="7001" priority="8789">
      <formula>$E$7&lt;&gt;"Yes"</formula>
    </cfRule>
  </conditionalFormatting>
  <conditionalFormatting sqref="Y406">
    <cfRule type="expression" dxfId="7000" priority="8788">
      <formula>$E406&lt;&gt;"Yes"</formula>
    </cfRule>
  </conditionalFormatting>
  <conditionalFormatting sqref="O406:P406">
    <cfRule type="expression" dxfId="6999" priority="8787">
      <formula>$E$7&lt;&gt;"Yes"</formula>
    </cfRule>
  </conditionalFormatting>
  <conditionalFormatting sqref="O406:P406">
    <cfRule type="expression" dxfId="6998" priority="8786">
      <formula>$E406&lt;&gt;"Yes"</formula>
    </cfRule>
  </conditionalFormatting>
  <conditionalFormatting sqref="X406">
    <cfRule type="expression" dxfId="6997" priority="8785">
      <formula>$E$7&lt;&gt;"Yes"</formula>
    </cfRule>
  </conditionalFormatting>
  <conditionalFormatting sqref="X406">
    <cfRule type="expression" dxfId="6996" priority="8784">
      <formula>$E406&lt;&gt;"Yes"</formula>
    </cfRule>
  </conditionalFormatting>
  <conditionalFormatting sqref="AD406">
    <cfRule type="expression" dxfId="6995" priority="8781">
      <formula>$E$7&lt;&gt;"Yes"</formula>
    </cfRule>
  </conditionalFormatting>
  <conditionalFormatting sqref="AD406">
    <cfRule type="expression" dxfId="6994" priority="8780">
      <formula>$E406&lt;&gt;"Yes"</formula>
    </cfRule>
  </conditionalFormatting>
  <conditionalFormatting sqref="Y408 AF408:AH408 AJ408:AK408">
    <cfRule type="expression" dxfId="6993" priority="8777">
      <formula>$E$7&lt;&gt;"Yes"</formula>
    </cfRule>
  </conditionalFormatting>
  <conditionalFormatting sqref="Y408 AF408:AH408 AJ408:AK408">
    <cfRule type="expression" dxfId="6992" priority="8776">
      <formula>$E408&lt;&gt;"Yes"</formula>
    </cfRule>
  </conditionalFormatting>
  <conditionalFormatting sqref="Q408">
    <cfRule type="expression" dxfId="6991" priority="8775">
      <formula>$E$7&lt;&gt;"Yes"</formula>
    </cfRule>
  </conditionalFormatting>
  <conditionalFormatting sqref="Q408">
    <cfRule type="expression" dxfId="6990" priority="8774">
      <formula>$E408&lt;&gt;"Yes"</formula>
    </cfRule>
  </conditionalFormatting>
  <conditionalFormatting sqref="M408 F408:J408 Q408">
    <cfRule type="expression" dxfId="6989" priority="8773">
      <formula>$E$7&lt;&gt;"Yes"</formula>
    </cfRule>
  </conditionalFormatting>
  <conditionalFormatting sqref="M408 F408:J408 Q408">
    <cfRule type="expression" dxfId="6988" priority="8772">
      <formula>$E408&lt;&gt;"Yes"</formula>
    </cfRule>
  </conditionalFormatting>
  <conditionalFormatting sqref="G408">
    <cfRule type="expression" dxfId="6987" priority="8771">
      <formula>$E$7&lt;&gt;"Yes"</formula>
    </cfRule>
  </conditionalFormatting>
  <conditionalFormatting sqref="K408:L408">
    <cfRule type="expression" dxfId="6986" priority="8770">
      <formula>$E$7&lt;&gt;"Yes"</formula>
    </cfRule>
  </conditionalFormatting>
  <conditionalFormatting sqref="K408:L408">
    <cfRule type="expression" dxfId="6985" priority="8769">
      <formula>$E408&lt;&gt;"Yes"</formula>
    </cfRule>
  </conditionalFormatting>
  <conditionalFormatting sqref="N408">
    <cfRule type="expression" dxfId="6984" priority="8766">
      <formula>$E$7&lt;&gt;"Yes"</formula>
    </cfRule>
  </conditionalFormatting>
  <conditionalFormatting sqref="N408">
    <cfRule type="expression" dxfId="6983" priority="8765">
      <formula>$E408&lt;&gt;"Yes"</formula>
    </cfRule>
  </conditionalFormatting>
  <conditionalFormatting sqref="W408">
    <cfRule type="expression" dxfId="6982" priority="8768">
      <formula>$E$7&lt;&gt;"Yes"</formula>
    </cfRule>
  </conditionalFormatting>
  <conditionalFormatting sqref="W408">
    <cfRule type="expression" dxfId="6981" priority="8767">
      <formula>$E408&lt;&gt;"Yes"</formula>
    </cfRule>
  </conditionalFormatting>
  <conditionalFormatting sqref="AE408">
    <cfRule type="expression" dxfId="6980" priority="8764">
      <formula>$E$7&lt;&gt;"Yes"</formula>
    </cfRule>
  </conditionalFormatting>
  <conditionalFormatting sqref="AE408">
    <cfRule type="expression" dxfId="6979" priority="8763">
      <formula>$E408&lt;&gt;"Yes"</formula>
    </cfRule>
  </conditionalFormatting>
  <conditionalFormatting sqref="AB408">
    <cfRule type="expression" dxfId="6978" priority="8750">
      <formula>$E$7&lt;&gt;"Yes"</formula>
    </cfRule>
  </conditionalFormatting>
  <conditionalFormatting sqref="AB408">
    <cfRule type="expression" dxfId="6977" priority="8749">
      <formula>$E408&lt;&gt;"Yes"</formula>
    </cfRule>
  </conditionalFormatting>
  <conditionalFormatting sqref="AA408">
    <cfRule type="expression" dxfId="6976" priority="8748">
      <formula>$E$7&lt;&gt;"Yes"</formula>
    </cfRule>
  </conditionalFormatting>
  <conditionalFormatting sqref="AA408">
    <cfRule type="expression" dxfId="6975" priority="8747">
      <formula>$E408&lt;&gt;"Yes"</formula>
    </cfRule>
  </conditionalFormatting>
  <conditionalFormatting sqref="Y408">
    <cfRule type="expression" dxfId="6974" priority="8746">
      <formula>$E$7&lt;&gt;"Yes"</formula>
    </cfRule>
  </conditionalFormatting>
  <conditionalFormatting sqref="Y408">
    <cfRule type="expression" dxfId="6973" priority="8745">
      <formula>$E408&lt;&gt;"Yes"</formula>
    </cfRule>
  </conditionalFormatting>
  <conditionalFormatting sqref="O408:P408">
    <cfRule type="expression" dxfId="6972" priority="8744">
      <formula>$E$7&lt;&gt;"Yes"</formula>
    </cfRule>
  </conditionalFormatting>
  <conditionalFormatting sqref="O408:P408">
    <cfRule type="expression" dxfId="6971" priority="8743">
      <formula>$E408&lt;&gt;"Yes"</formula>
    </cfRule>
  </conditionalFormatting>
  <conditionalFormatting sqref="X408">
    <cfRule type="expression" dxfId="6970" priority="8742">
      <formula>$E$7&lt;&gt;"Yes"</formula>
    </cfRule>
  </conditionalFormatting>
  <conditionalFormatting sqref="X408">
    <cfRule type="expression" dxfId="6969" priority="8741">
      <formula>$E408&lt;&gt;"Yes"</formula>
    </cfRule>
  </conditionalFormatting>
  <conditionalFormatting sqref="Y411 AF411:AH411 AJ411:AK411">
    <cfRule type="expression" dxfId="6968" priority="8734">
      <formula>$E$7&lt;&gt;"Yes"</formula>
    </cfRule>
  </conditionalFormatting>
  <conditionalFormatting sqref="Y411 AF411:AH411 AJ411:AK411">
    <cfRule type="expression" dxfId="6967" priority="8733">
      <formula>$E411&lt;&gt;"Yes"</formula>
    </cfRule>
  </conditionalFormatting>
  <conditionalFormatting sqref="AD408">
    <cfRule type="expression" dxfId="6966" priority="8738">
      <formula>$E$7&lt;&gt;"Yes"</formula>
    </cfRule>
  </conditionalFormatting>
  <conditionalFormatting sqref="AD408">
    <cfRule type="expression" dxfId="6965" priority="8737">
      <formula>$E408&lt;&gt;"Yes"</formula>
    </cfRule>
  </conditionalFormatting>
  <conditionalFormatting sqref="Q411">
    <cfRule type="expression" dxfId="6964" priority="8732">
      <formula>$E$7&lt;&gt;"Yes"</formula>
    </cfRule>
  </conditionalFormatting>
  <conditionalFormatting sqref="Q411">
    <cfRule type="expression" dxfId="6963" priority="8731">
      <formula>$E411&lt;&gt;"Yes"</formula>
    </cfRule>
  </conditionalFormatting>
  <conditionalFormatting sqref="M411 F411:J411 Q411">
    <cfRule type="expression" dxfId="6962" priority="8730">
      <formula>$E$7&lt;&gt;"Yes"</formula>
    </cfRule>
  </conditionalFormatting>
  <conditionalFormatting sqref="M411 F411:J411 Q411">
    <cfRule type="expression" dxfId="6961" priority="8729">
      <formula>$E411&lt;&gt;"Yes"</formula>
    </cfRule>
  </conditionalFormatting>
  <conditionalFormatting sqref="G411">
    <cfRule type="expression" dxfId="6960" priority="8728">
      <formula>$E$7&lt;&gt;"Yes"</formula>
    </cfRule>
  </conditionalFormatting>
  <conditionalFormatting sqref="K411:L411">
    <cfRule type="expression" dxfId="6959" priority="8727">
      <formula>$E$7&lt;&gt;"Yes"</formula>
    </cfRule>
  </conditionalFormatting>
  <conditionalFormatting sqref="K411:L411">
    <cfRule type="expression" dxfId="6958" priority="8726">
      <formula>$E411&lt;&gt;"Yes"</formula>
    </cfRule>
  </conditionalFormatting>
  <conditionalFormatting sqref="N411">
    <cfRule type="expression" dxfId="6957" priority="8723">
      <formula>$E$7&lt;&gt;"Yes"</formula>
    </cfRule>
  </conditionalFormatting>
  <conditionalFormatting sqref="N411">
    <cfRule type="expression" dxfId="6956" priority="8722">
      <formula>$E411&lt;&gt;"Yes"</formula>
    </cfRule>
  </conditionalFormatting>
  <conditionalFormatting sqref="W411">
    <cfRule type="expression" dxfId="6955" priority="8725">
      <formula>$E$7&lt;&gt;"Yes"</formula>
    </cfRule>
  </conditionalFormatting>
  <conditionalFormatting sqref="W411">
    <cfRule type="expression" dxfId="6954" priority="8724">
      <formula>$E411&lt;&gt;"Yes"</formula>
    </cfRule>
  </conditionalFormatting>
  <conditionalFormatting sqref="AE411">
    <cfRule type="expression" dxfId="6953" priority="8721">
      <formula>$E$7&lt;&gt;"Yes"</formula>
    </cfRule>
  </conditionalFormatting>
  <conditionalFormatting sqref="AE411">
    <cfRule type="expression" dxfId="6952" priority="8720">
      <formula>$E411&lt;&gt;"Yes"</formula>
    </cfRule>
  </conditionalFormatting>
  <conditionalFormatting sqref="AB411">
    <cfRule type="expression" dxfId="6951" priority="8707">
      <formula>$E$7&lt;&gt;"Yes"</formula>
    </cfRule>
  </conditionalFormatting>
  <conditionalFormatting sqref="AB411">
    <cfRule type="expression" dxfId="6950" priority="8706">
      <formula>$E411&lt;&gt;"Yes"</formula>
    </cfRule>
  </conditionalFormatting>
  <conditionalFormatting sqref="AA411">
    <cfRule type="expression" dxfId="6949" priority="8705">
      <formula>$E$7&lt;&gt;"Yes"</formula>
    </cfRule>
  </conditionalFormatting>
  <conditionalFormatting sqref="AA411">
    <cfRule type="expression" dxfId="6948" priority="8704">
      <formula>$E411&lt;&gt;"Yes"</formula>
    </cfRule>
  </conditionalFormatting>
  <conditionalFormatting sqref="Y411">
    <cfRule type="expression" dxfId="6947" priority="8703">
      <formula>$E$7&lt;&gt;"Yes"</formula>
    </cfRule>
  </conditionalFormatting>
  <conditionalFormatting sqref="Y411">
    <cfRule type="expression" dxfId="6946" priority="8702">
      <formula>$E411&lt;&gt;"Yes"</formula>
    </cfRule>
  </conditionalFormatting>
  <conditionalFormatting sqref="O411:P411">
    <cfRule type="expression" dxfId="6945" priority="8701">
      <formula>$E$7&lt;&gt;"Yes"</formula>
    </cfRule>
  </conditionalFormatting>
  <conditionalFormatting sqref="O411:P411">
    <cfRule type="expression" dxfId="6944" priority="8700">
      <formula>$E411&lt;&gt;"Yes"</formula>
    </cfRule>
  </conditionalFormatting>
  <conditionalFormatting sqref="X411">
    <cfRule type="expression" dxfId="6943" priority="8699">
      <formula>$E$7&lt;&gt;"Yes"</formula>
    </cfRule>
  </conditionalFormatting>
  <conditionalFormatting sqref="X411">
    <cfRule type="expression" dxfId="6942" priority="8698">
      <formula>$E411&lt;&gt;"Yes"</formula>
    </cfRule>
  </conditionalFormatting>
  <conditionalFormatting sqref="AD411">
    <cfRule type="expression" dxfId="6941" priority="8695">
      <formula>$E$7&lt;&gt;"Yes"</formula>
    </cfRule>
  </conditionalFormatting>
  <conditionalFormatting sqref="AD411">
    <cfRule type="expression" dxfId="6940" priority="8694">
      <formula>$E411&lt;&gt;"Yes"</formula>
    </cfRule>
  </conditionalFormatting>
  <conditionalFormatting sqref="Y400 AF400:AH400 AJ400:AK400">
    <cfRule type="expression" dxfId="6939" priority="8691">
      <formula>$E$7&lt;&gt;"Yes"</formula>
    </cfRule>
  </conditionalFormatting>
  <conditionalFormatting sqref="Y400 AF400:AH400 AJ400:AK400">
    <cfRule type="expression" dxfId="6938" priority="8690">
      <formula>$E400&lt;&gt;"Yes"</formula>
    </cfRule>
  </conditionalFormatting>
  <conditionalFormatting sqref="Q400">
    <cfRule type="expression" dxfId="6937" priority="8689">
      <formula>$E$7&lt;&gt;"Yes"</formula>
    </cfRule>
  </conditionalFormatting>
  <conditionalFormatting sqref="Q400">
    <cfRule type="expression" dxfId="6936" priority="8688">
      <formula>$E400&lt;&gt;"Yes"</formula>
    </cfRule>
  </conditionalFormatting>
  <conditionalFormatting sqref="M400 F400:J400 Q400">
    <cfRule type="expression" dxfId="6935" priority="8687">
      <formula>$E$7&lt;&gt;"Yes"</formula>
    </cfRule>
  </conditionalFormatting>
  <conditionalFormatting sqref="M400 F400:J400 Q400">
    <cfRule type="expression" dxfId="6934" priority="8686">
      <formula>$E400&lt;&gt;"Yes"</formula>
    </cfRule>
  </conditionalFormatting>
  <conditionalFormatting sqref="G400">
    <cfRule type="expression" dxfId="6933" priority="8685">
      <formula>$E$7&lt;&gt;"Yes"</formula>
    </cfRule>
  </conditionalFormatting>
  <conditionalFormatting sqref="K400:L400">
    <cfRule type="expression" dxfId="6932" priority="8684">
      <formula>$E$7&lt;&gt;"Yes"</formula>
    </cfRule>
  </conditionalFormatting>
  <conditionalFormatting sqref="K400:L400">
    <cfRule type="expression" dxfId="6931" priority="8683">
      <formula>$E400&lt;&gt;"Yes"</formula>
    </cfRule>
  </conditionalFormatting>
  <conditionalFormatting sqref="N400">
    <cfRule type="expression" dxfId="6930" priority="8680">
      <formula>$E$7&lt;&gt;"Yes"</formula>
    </cfRule>
  </conditionalFormatting>
  <conditionalFormatting sqref="N400">
    <cfRule type="expression" dxfId="6929" priority="8679">
      <formula>$E400&lt;&gt;"Yes"</formula>
    </cfRule>
  </conditionalFormatting>
  <conditionalFormatting sqref="W400">
    <cfRule type="expression" dxfId="6928" priority="8682">
      <formula>$E$7&lt;&gt;"Yes"</formula>
    </cfRule>
  </conditionalFormatting>
  <conditionalFormatting sqref="W400">
    <cfRule type="expression" dxfId="6927" priority="8681">
      <formula>$E400&lt;&gt;"Yes"</formula>
    </cfRule>
  </conditionalFormatting>
  <conditionalFormatting sqref="AE400">
    <cfRule type="expression" dxfId="6926" priority="8678">
      <formula>$E$7&lt;&gt;"Yes"</formula>
    </cfRule>
  </conditionalFormatting>
  <conditionalFormatting sqref="AE400">
    <cfRule type="expression" dxfId="6925" priority="8677">
      <formula>$E400&lt;&gt;"Yes"</formula>
    </cfRule>
  </conditionalFormatting>
  <conditionalFormatting sqref="AB400">
    <cfRule type="expression" dxfId="6924" priority="8664">
      <formula>$E$7&lt;&gt;"Yes"</formula>
    </cfRule>
  </conditionalFormatting>
  <conditionalFormatting sqref="AB400">
    <cfRule type="expression" dxfId="6923" priority="8663">
      <formula>$E400&lt;&gt;"Yes"</formula>
    </cfRule>
  </conditionalFormatting>
  <conditionalFormatting sqref="AA400">
    <cfRule type="expression" dxfId="6922" priority="8662">
      <formula>$E$7&lt;&gt;"Yes"</formula>
    </cfRule>
  </conditionalFormatting>
  <conditionalFormatting sqref="AA400">
    <cfRule type="expression" dxfId="6921" priority="8661">
      <formula>$E400&lt;&gt;"Yes"</formula>
    </cfRule>
  </conditionalFormatting>
  <conditionalFormatting sqref="Y400">
    <cfRule type="expression" dxfId="6920" priority="8660">
      <formula>$E$7&lt;&gt;"Yes"</formula>
    </cfRule>
  </conditionalFormatting>
  <conditionalFormatting sqref="Y400">
    <cfRule type="expression" dxfId="6919" priority="8659">
      <formula>$E400&lt;&gt;"Yes"</formula>
    </cfRule>
  </conditionalFormatting>
  <conditionalFormatting sqref="O400:P400">
    <cfRule type="expression" dxfId="6918" priority="8658">
      <formula>$E$7&lt;&gt;"Yes"</formula>
    </cfRule>
  </conditionalFormatting>
  <conditionalFormatting sqref="O400:P400">
    <cfRule type="expression" dxfId="6917" priority="8657">
      <formula>$E400&lt;&gt;"Yes"</formula>
    </cfRule>
  </conditionalFormatting>
  <conditionalFormatting sqref="X400">
    <cfRule type="expression" dxfId="6916" priority="8656">
      <formula>$E$7&lt;&gt;"Yes"</formula>
    </cfRule>
  </conditionalFormatting>
  <conditionalFormatting sqref="X400">
    <cfRule type="expression" dxfId="6915" priority="8655">
      <formula>$E400&lt;&gt;"Yes"</formula>
    </cfRule>
  </conditionalFormatting>
  <conditionalFormatting sqref="Q401">
    <cfRule type="expression" dxfId="6914" priority="8646">
      <formula>$E$7&lt;&gt;"Yes"</formula>
    </cfRule>
  </conditionalFormatting>
  <conditionalFormatting sqref="Q401">
    <cfRule type="expression" dxfId="6913" priority="8645">
      <formula>$E401&lt;&gt;"Yes"</formula>
    </cfRule>
  </conditionalFormatting>
  <conditionalFormatting sqref="AD400">
    <cfRule type="expression" dxfId="6912" priority="8652">
      <formula>$E$7&lt;&gt;"Yes"</formula>
    </cfRule>
  </conditionalFormatting>
  <conditionalFormatting sqref="AD400">
    <cfRule type="expression" dxfId="6911" priority="8651">
      <formula>$E400&lt;&gt;"Yes"</formula>
    </cfRule>
  </conditionalFormatting>
  <conditionalFormatting sqref="Y401 AF401:AH401 AJ401:AK401">
    <cfRule type="expression" dxfId="6910" priority="8648">
      <formula>$E$7&lt;&gt;"Yes"</formula>
    </cfRule>
  </conditionalFormatting>
  <conditionalFormatting sqref="Y401 AF401:AH401 AJ401:AK401">
    <cfRule type="expression" dxfId="6909" priority="8647">
      <formula>$E401&lt;&gt;"Yes"</formula>
    </cfRule>
  </conditionalFormatting>
  <conditionalFormatting sqref="M401 F401:J401 Q401">
    <cfRule type="expression" dxfId="6908" priority="8644">
      <formula>$E$7&lt;&gt;"Yes"</formula>
    </cfRule>
  </conditionalFormatting>
  <conditionalFormatting sqref="M401 F401:J401 Q401">
    <cfRule type="expression" dxfId="6907" priority="8643">
      <formula>$E401&lt;&gt;"Yes"</formula>
    </cfRule>
  </conditionalFormatting>
  <conditionalFormatting sqref="G401">
    <cfRule type="expression" dxfId="6906" priority="8642">
      <formula>$E$7&lt;&gt;"Yes"</formula>
    </cfRule>
  </conditionalFormatting>
  <conditionalFormatting sqref="K401:L401">
    <cfRule type="expression" dxfId="6905" priority="8641">
      <formula>$E$7&lt;&gt;"Yes"</formula>
    </cfRule>
  </conditionalFormatting>
  <conditionalFormatting sqref="K401:L401">
    <cfRule type="expression" dxfId="6904" priority="8640">
      <formula>$E401&lt;&gt;"Yes"</formula>
    </cfRule>
  </conditionalFormatting>
  <conditionalFormatting sqref="N401">
    <cfRule type="expression" dxfId="6903" priority="8637">
      <formula>$E$7&lt;&gt;"Yes"</formula>
    </cfRule>
  </conditionalFormatting>
  <conditionalFormatting sqref="N401">
    <cfRule type="expression" dxfId="6902" priority="8636">
      <formula>$E401&lt;&gt;"Yes"</formula>
    </cfRule>
  </conditionalFormatting>
  <conditionalFormatting sqref="W401">
    <cfRule type="expression" dxfId="6901" priority="8639">
      <formula>$E$7&lt;&gt;"Yes"</formula>
    </cfRule>
  </conditionalFormatting>
  <conditionalFormatting sqref="W401">
    <cfRule type="expression" dxfId="6900" priority="8638">
      <formula>$E401&lt;&gt;"Yes"</formula>
    </cfRule>
  </conditionalFormatting>
  <conditionalFormatting sqref="AE401">
    <cfRule type="expression" dxfId="6899" priority="8635">
      <formula>$E$7&lt;&gt;"Yes"</formula>
    </cfRule>
  </conditionalFormatting>
  <conditionalFormatting sqref="AE401">
    <cfRule type="expression" dxfId="6898" priority="8634">
      <formula>$E401&lt;&gt;"Yes"</formula>
    </cfRule>
  </conditionalFormatting>
  <conditionalFormatting sqref="AB401">
    <cfRule type="expression" dxfId="6897" priority="8621">
      <formula>$E$7&lt;&gt;"Yes"</formula>
    </cfRule>
  </conditionalFormatting>
  <conditionalFormatting sqref="AB401">
    <cfRule type="expression" dxfId="6896" priority="8620">
      <formula>$E401&lt;&gt;"Yes"</formula>
    </cfRule>
  </conditionalFormatting>
  <conditionalFormatting sqref="AA401">
    <cfRule type="expression" dxfId="6895" priority="8619">
      <formula>$E$7&lt;&gt;"Yes"</formula>
    </cfRule>
  </conditionalFormatting>
  <conditionalFormatting sqref="AA401">
    <cfRule type="expression" dxfId="6894" priority="8618">
      <formula>$E401&lt;&gt;"Yes"</formula>
    </cfRule>
  </conditionalFormatting>
  <conditionalFormatting sqref="Y401">
    <cfRule type="expression" dxfId="6893" priority="8617">
      <formula>$E$7&lt;&gt;"Yes"</formula>
    </cfRule>
  </conditionalFormatting>
  <conditionalFormatting sqref="Y401">
    <cfRule type="expression" dxfId="6892" priority="8616">
      <formula>$E401&lt;&gt;"Yes"</formula>
    </cfRule>
  </conditionalFormatting>
  <conditionalFormatting sqref="O401:P401">
    <cfRule type="expression" dxfId="6891" priority="8615">
      <formula>$E$7&lt;&gt;"Yes"</formula>
    </cfRule>
  </conditionalFormatting>
  <conditionalFormatting sqref="O401:P401">
    <cfRule type="expression" dxfId="6890" priority="8614">
      <formula>$E401&lt;&gt;"Yes"</formula>
    </cfRule>
  </conditionalFormatting>
  <conditionalFormatting sqref="X401">
    <cfRule type="expression" dxfId="6889" priority="8613">
      <formula>$E$7&lt;&gt;"Yes"</formula>
    </cfRule>
  </conditionalFormatting>
  <conditionalFormatting sqref="X401">
    <cfRule type="expression" dxfId="6888" priority="8612">
      <formula>$E401&lt;&gt;"Yes"</formula>
    </cfRule>
  </conditionalFormatting>
  <conditionalFormatting sqref="M166 F166:J166 Q166">
    <cfRule type="expression" dxfId="6887" priority="8603">
      <formula>$E$7&lt;&gt;"Yes"</formula>
    </cfRule>
  </conditionalFormatting>
  <conditionalFormatting sqref="M166 F166:J166 Q166">
    <cfRule type="expression" dxfId="6886" priority="8602">
      <formula>$E166&lt;&gt;"Yes"</formula>
    </cfRule>
  </conditionalFormatting>
  <conditionalFormatting sqref="AD401">
    <cfRule type="expression" dxfId="6885" priority="8609">
      <formula>$E$7&lt;&gt;"Yes"</formula>
    </cfRule>
  </conditionalFormatting>
  <conditionalFormatting sqref="AD401">
    <cfRule type="expression" dxfId="6884" priority="8608">
      <formula>$E401&lt;&gt;"Yes"</formula>
    </cfRule>
  </conditionalFormatting>
  <conditionalFormatting sqref="Q166:Q167 N166:N167 Y166:Y167 AF166:AH167 AJ166:AK167">
    <cfRule type="expression" dxfId="6883" priority="8605">
      <formula>$E$7&lt;&gt;"Yes"</formula>
    </cfRule>
  </conditionalFormatting>
  <conditionalFormatting sqref="Q166:Q167 N166:N167 Y166:Y167 AF166:AH167 AJ166:AK167">
    <cfRule type="expression" dxfId="6882" priority="8604">
      <formula>$E166&lt;&gt;"Yes"</formula>
    </cfRule>
  </conditionalFormatting>
  <conditionalFormatting sqref="G166">
    <cfRule type="expression" dxfId="6881" priority="8601">
      <formula>$E$7&lt;&gt;"Yes"</formula>
    </cfRule>
  </conditionalFormatting>
  <conditionalFormatting sqref="K166:L166">
    <cfRule type="expression" dxfId="6880" priority="8600">
      <formula>$E$7&lt;&gt;"Yes"</formula>
    </cfRule>
  </conditionalFormatting>
  <conditionalFormatting sqref="K166:L166">
    <cfRule type="expression" dxfId="6879" priority="8599">
      <formula>$E166&lt;&gt;"Yes"</formula>
    </cfRule>
  </conditionalFormatting>
  <conditionalFormatting sqref="W166">
    <cfRule type="expression" dxfId="6878" priority="8598">
      <formula>$E$7&lt;&gt;"Yes"</formula>
    </cfRule>
  </conditionalFormatting>
  <conditionalFormatting sqref="W166">
    <cfRule type="expression" dxfId="6877" priority="8597">
      <formula>$E166&lt;&gt;"Yes"</formula>
    </cfRule>
  </conditionalFormatting>
  <conditionalFormatting sqref="G167">
    <cfRule type="expression" dxfId="6876" priority="8594">
      <formula>$E$7&lt;&gt;"Yes"</formula>
    </cfRule>
  </conditionalFormatting>
  <conditionalFormatting sqref="M167 F167:J167 Q167">
    <cfRule type="expression" dxfId="6875" priority="8596">
      <formula>$E$7&lt;&gt;"Yes"</formula>
    </cfRule>
  </conditionalFormatting>
  <conditionalFormatting sqref="M167 F167:J167 Q167">
    <cfRule type="expression" dxfId="6874" priority="8595">
      <formula>$E167&lt;&gt;"Yes"</formula>
    </cfRule>
  </conditionalFormatting>
  <conditionalFormatting sqref="K167:L167">
    <cfRule type="expression" dxfId="6873" priority="8593">
      <formula>$E$7&lt;&gt;"Yes"</formula>
    </cfRule>
  </conditionalFormatting>
  <conditionalFormatting sqref="K167:L167">
    <cfRule type="expression" dxfId="6872" priority="8592">
      <formula>$E167&lt;&gt;"Yes"</formula>
    </cfRule>
  </conditionalFormatting>
  <conditionalFormatting sqref="W167">
    <cfRule type="expression" dxfId="6871" priority="8591">
      <formula>$E$7&lt;&gt;"Yes"</formula>
    </cfRule>
  </conditionalFormatting>
  <conditionalFormatting sqref="W167">
    <cfRule type="expression" dxfId="6870" priority="8590">
      <formula>$E167&lt;&gt;"Yes"</formula>
    </cfRule>
  </conditionalFormatting>
  <conditionalFormatting sqref="AE167">
    <cfRule type="expression" dxfId="6869" priority="8589">
      <formula>$E$7&lt;&gt;"Yes"</formula>
    </cfRule>
  </conditionalFormatting>
  <conditionalFormatting sqref="AE167">
    <cfRule type="expression" dxfId="6868" priority="8588">
      <formula>$E167&lt;&gt;"Yes"</formula>
    </cfRule>
  </conditionalFormatting>
  <conditionalFormatting sqref="AE166">
    <cfRule type="expression" dxfId="6867" priority="8587">
      <formula>$E$7&lt;&gt;"Yes"</formula>
    </cfRule>
  </conditionalFormatting>
  <conditionalFormatting sqref="AE166">
    <cfRule type="expression" dxfId="6866" priority="8586">
      <formula>$E166&lt;&gt;"Yes"</formula>
    </cfRule>
  </conditionalFormatting>
  <conditionalFormatting sqref="AB166:AB167">
    <cfRule type="expression" dxfId="6865" priority="8573">
      <formula>$E$7&lt;&gt;"Yes"</formula>
    </cfRule>
  </conditionalFormatting>
  <conditionalFormatting sqref="AB166:AB167">
    <cfRule type="expression" dxfId="6864" priority="8572">
      <formula>$E166&lt;&gt;"Yes"</formula>
    </cfRule>
  </conditionalFormatting>
  <conditionalFormatting sqref="AA166:AA167">
    <cfRule type="expression" dxfId="6863" priority="8571">
      <formula>$E$7&lt;&gt;"Yes"</formula>
    </cfRule>
  </conditionalFormatting>
  <conditionalFormatting sqref="AA166:AA167">
    <cfRule type="expression" dxfId="6862" priority="8570">
      <formula>$E166&lt;&gt;"Yes"</formula>
    </cfRule>
  </conditionalFormatting>
  <conditionalFormatting sqref="Y166:Y167">
    <cfRule type="expression" dxfId="6861" priority="8569">
      <formula>$E$7&lt;&gt;"Yes"</formula>
    </cfRule>
  </conditionalFormatting>
  <conditionalFormatting sqref="Y166:Y167">
    <cfRule type="expression" dxfId="6860" priority="8568">
      <formula>$E166&lt;&gt;"Yes"</formula>
    </cfRule>
  </conditionalFormatting>
  <conditionalFormatting sqref="O166:P166">
    <cfRule type="expression" dxfId="6859" priority="8567">
      <formula>$E$7&lt;&gt;"Yes"</formula>
    </cfRule>
  </conditionalFormatting>
  <conditionalFormatting sqref="O166:P166">
    <cfRule type="expression" dxfId="6858" priority="8566">
      <formula>$E166&lt;&gt;"Yes"</formula>
    </cfRule>
  </conditionalFormatting>
  <conditionalFormatting sqref="O167:P167">
    <cfRule type="expression" dxfId="6857" priority="8565">
      <formula>$E$7&lt;&gt;"Yes"</formula>
    </cfRule>
  </conditionalFormatting>
  <conditionalFormatting sqref="O167:P167">
    <cfRule type="expression" dxfId="6856" priority="8564">
      <formula>$E167&lt;&gt;"Yes"</formula>
    </cfRule>
  </conditionalFormatting>
  <conditionalFormatting sqref="X166:X167">
    <cfRule type="expression" dxfId="6855" priority="8563">
      <formula>$E$7&lt;&gt;"Yes"</formula>
    </cfRule>
  </conditionalFormatting>
  <conditionalFormatting sqref="X166:X167">
    <cfRule type="expression" dxfId="6854" priority="8562">
      <formula>$E166&lt;&gt;"Yes"</formula>
    </cfRule>
  </conditionalFormatting>
  <conditionalFormatting sqref="AD166:AD167">
    <cfRule type="expression" dxfId="6853" priority="8559">
      <formula>$E$7&lt;&gt;"Yes"</formula>
    </cfRule>
  </conditionalFormatting>
  <conditionalFormatting sqref="AD166:AD167">
    <cfRule type="expression" dxfId="6852" priority="8558">
      <formula>$E166&lt;&gt;"Yes"</formula>
    </cfRule>
  </conditionalFormatting>
  <conditionalFormatting sqref="Y441 AF441:AH441 AJ441:AK441">
    <cfRule type="expression" dxfId="6851" priority="8555">
      <formula>$E$7&lt;&gt;"Yes"</formula>
    </cfRule>
  </conditionalFormatting>
  <conditionalFormatting sqref="Y441 AF441:AH441 AJ441:AK441">
    <cfRule type="expression" dxfId="6850" priority="8554">
      <formula>$E441&lt;&gt;"Yes"</formula>
    </cfRule>
  </conditionalFormatting>
  <conditionalFormatting sqref="Q441">
    <cfRule type="expression" dxfId="6849" priority="8553">
      <formula>$E$7&lt;&gt;"Yes"</formula>
    </cfRule>
  </conditionalFormatting>
  <conditionalFormatting sqref="Q441">
    <cfRule type="expression" dxfId="6848" priority="8552">
      <formula>$E441&lt;&gt;"Yes"</formula>
    </cfRule>
  </conditionalFormatting>
  <conditionalFormatting sqref="M441 F441:J441 Q441">
    <cfRule type="expression" dxfId="6847" priority="8551">
      <formula>$E$7&lt;&gt;"Yes"</formula>
    </cfRule>
  </conditionalFormatting>
  <conditionalFormatting sqref="M441 F441:J441 Q441">
    <cfRule type="expression" dxfId="6846" priority="8550">
      <formula>$E441&lt;&gt;"Yes"</formula>
    </cfRule>
  </conditionalFormatting>
  <conditionalFormatting sqref="G441">
    <cfRule type="expression" dxfId="6845" priority="8549">
      <formula>$E$7&lt;&gt;"Yes"</formula>
    </cfRule>
  </conditionalFormatting>
  <conditionalFormatting sqref="K441:L441">
    <cfRule type="expression" dxfId="6844" priority="8548">
      <formula>$E$7&lt;&gt;"Yes"</formula>
    </cfRule>
  </conditionalFormatting>
  <conditionalFormatting sqref="K441:L441">
    <cfRule type="expression" dxfId="6843" priority="8547">
      <formula>$E441&lt;&gt;"Yes"</formula>
    </cfRule>
  </conditionalFormatting>
  <conditionalFormatting sqref="N441">
    <cfRule type="expression" dxfId="6842" priority="8544">
      <formula>$E$7&lt;&gt;"Yes"</formula>
    </cfRule>
  </conditionalFormatting>
  <conditionalFormatting sqref="N441">
    <cfRule type="expression" dxfId="6841" priority="8543">
      <formula>$E441&lt;&gt;"Yes"</formula>
    </cfRule>
  </conditionalFormatting>
  <conditionalFormatting sqref="W441">
    <cfRule type="expression" dxfId="6840" priority="8546">
      <formula>$E$7&lt;&gt;"Yes"</formula>
    </cfRule>
  </conditionalFormatting>
  <conditionalFormatting sqref="W441">
    <cfRule type="expression" dxfId="6839" priority="8545">
      <formula>$E441&lt;&gt;"Yes"</formula>
    </cfRule>
  </conditionalFormatting>
  <conditionalFormatting sqref="AE441">
    <cfRule type="expression" dxfId="6838" priority="8542">
      <formula>$E$7&lt;&gt;"Yes"</formula>
    </cfRule>
  </conditionalFormatting>
  <conditionalFormatting sqref="AE441">
    <cfRule type="expression" dxfId="6837" priority="8541">
      <formula>$E441&lt;&gt;"Yes"</formula>
    </cfRule>
  </conditionalFormatting>
  <conditionalFormatting sqref="AB441">
    <cfRule type="expression" dxfId="6836" priority="8528">
      <formula>$E$7&lt;&gt;"Yes"</formula>
    </cfRule>
  </conditionalFormatting>
  <conditionalFormatting sqref="AB441">
    <cfRule type="expression" dxfId="6835" priority="8527">
      <formula>$E441&lt;&gt;"Yes"</formula>
    </cfRule>
  </conditionalFormatting>
  <conditionalFormatting sqref="AA441">
    <cfRule type="expression" dxfId="6834" priority="8526">
      <formula>$E$7&lt;&gt;"Yes"</formula>
    </cfRule>
  </conditionalFormatting>
  <conditionalFormatting sqref="AA441">
    <cfRule type="expression" dxfId="6833" priority="8525">
      <formula>$E441&lt;&gt;"Yes"</formula>
    </cfRule>
  </conditionalFormatting>
  <conditionalFormatting sqref="Y441">
    <cfRule type="expression" dxfId="6832" priority="8524">
      <formula>$E$7&lt;&gt;"Yes"</formula>
    </cfRule>
  </conditionalFormatting>
  <conditionalFormatting sqref="Y441">
    <cfRule type="expression" dxfId="6831" priority="8523">
      <formula>$E441&lt;&gt;"Yes"</formula>
    </cfRule>
  </conditionalFormatting>
  <conditionalFormatting sqref="O441:P441">
    <cfRule type="expression" dxfId="6830" priority="8522">
      <formula>$E$7&lt;&gt;"Yes"</formula>
    </cfRule>
  </conditionalFormatting>
  <conditionalFormatting sqref="O441:P441">
    <cfRule type="expression" dxfId="6829" priority="8521">
      <formula>$E441&lt;&gt;"Yes"</formula>
    </cfRule>
  </conditionalFormatting>
  <conditionalFormatting sqref="X441">
    <cfRule type="expression" dxfId="6828" priority="8520">
      <formula>$E$7&lt;&gt;"Yes"</formula>
    </cfRule>
  </conditionalFormatting>
  <conditionalFormatting sqref="X441">
    <cfRule type="expression" dxfId="6827" priority="8519">
      <formula>$E441&lt;&gt;"Yes"</formula>
    </cfRule>
  </conditionalFormatting>
  <conditionalFormatting sqref="AD441">
    <cfRule type="expression" dxfId="6826" priority="8516">
      <formula>$E$7&lt;&gt;"Yes"</formula>
    </cfRule>
  </conditionalFormatting>
  <conditionalFormatting sqref="AD441">
    <cfRule type="expression" dxfId="6825" priority="8515">
      <formula>$E441&lt;&gt;"Yes"</formula>
    </cfRule>
  </conditionalFormatting>
  <conditionalFormatting sqref="Y442 AF442:AH442 AJ442:AK442">
    <cfRule type="expression" dxfId="6824" priority="8514">
      <formula>$E$7&lt;&gt;"Yes"</formula>
    </cfRule>
  </conditionalFormatting>
  <conditionalFormatting sqref="Y442 AF442:AH442 AJ442:AK442">
    <cfRule type="expression" dxfId="6823" priority="8513">
      <formula>$E442&lt;&gt;"Yes"</formula>
    </cfRule>
  </conditionalFormatting>
  <conditionalFormatting sqref="Q442">
    <cfRule type="expression" dxfId="6822" priority="8512">
      <formula>$E$7&lt;&gt;"Yes"</formula>
    </cfRule>
  </conditionalFormatting>
  <conditionalFormatting sqref="Q442">
    <cfRule type="expression" dxfId="6821" priority="8511">
      <formula>$E442&lt;&gt;"Yes"</formula>
    </cfRule>
  </conditionalFormatting>
  <conditionalFormatting sqref="M442 F442:J442 Q442">
    <cfRule type="expression" dxfId="6820" priority="8510">
      <formula>$E$7&lt;&gt;"Yes"</formula>
    </cfRule>
  </conditionalFormatting>
  <conditionalFormatting sqref="M442 F442:J442 Q442">
    <cfRule type="expression" dxfId="6819" priority="8509">
      <formula>$E442&lt;&gt;"Yes"</formula>
    </cfRule>
  </conditionalFormatting>
  <conditionalFormatting sqref="G442">
    <cfRule type="expression" dxfId="6818" priority="8508">
      <formula>$E$7&lt;&gt;"Yes"</formula>
    </cfRule>
  </conditionalFormatting>
  <conditionalFormatting sqref="K442:L442">
    <cfRule type="expression" dxfId="6817" priority="8507">
      <formula>$E$7&lt;&gt;"Yes"</formula>
    </cfRule>
  </conditionalFormatting>
  <conditionalFormatting sqref="K442:L442">
    <cfRule type="expression" dxfId="6816" priority="8506">
      <formula>$E442&lt;&gt;"Yes"</formula>
    </cfRule>
  </conditionalFormatting>
  <conditionalFormatting sqref="N442">
    <cfRule type="expression" dxfId="6815" priority="8503">
      <formula>$E$7&lt;&gt;"Yes"</formula>
    </cfRule>
  </conditionalFormatting>
  <conditionalFormatting sqref="N442">
    <cfRule type="expression" dxfId="6814" priority="8502">
      <formula>$E442&lt;&gt;"Yes"</formula>
    </cfRule>
  </conditionalFormatting>
  <conditionalFormatting sqref="W442">
    <cfRule type="expression" dxfId="6813" priority="8505">
      <formula>$E$7&lt;&gt;"Yes"</formula>
    </cfRule>
  </conditionalFormatting>
  <conditionalFormatting sqref="W442">
    <cfRule type="expression" dxfId="6812" priority="8504">
      <formula>$E442&lt;&gt;"Yes"</formula>
    </cfRule>
  </conditionalFormatting>
  <conditionalFormatting sqref="AE442">
    <cfRule type="expression" dxfId="6811" priority="8501">
      <formula>$E$7&lt;&gt;"Yes"</formula>
    </cfRule>
  </conditionalFormatting>
  <conditionalFormatting sqref="AE442">
    <cfRule type="expression" dxfId="6810" priority="8500">
      <formula>$E442&lt;&gt;"Yes"</formula>
    </cfRule>
  </conditionalFormatting>
  <conditionalFormatting sqref="AB442">
    <cfRule type="expression" dxfId="6809" priority="8487">
      <formula>$E$7&lt;&gt;"Yes"</formula>
    </cfRule>
  </conditionalFormatting>
  <conditionalFormatting sqref="AB442">
    <cfRule type="expression" dxfId="6808" priority="8486">
      <formula>$E442&lt;&gt;"Yes"</formula>
    </cfRule>
  </conditionalFormatting>
  <conditionalFormatting sqref="AA442">
    <cfRule type="expression" dxfId="6807" priority="8485">
      <formula>$E$7&lt;&gt;"Yes"</formula>
    </cfRule>
  </conditionalFormatting>
  <conditionalFormatting sqref="AA442">
    <cfRule type="expression" dxfId="6806" priority="8484">
      <formula>$E442&lt;&gt;"Yes"</formula>
    </cfRule>
  </conditionalFormatting>
  <conditionalFormatting sqref="Y442">
    <cfRule type="expression" dxfId="6805" priority="8483">
      <formula>$E$7&lt;&gt;"Yes"</formula>
    </cfRule>
  </conditionalFormatting>
  <conditionalFormatting sqref="Y442">
    <cfRule type="expression" dxfId="6804" priority="8482">
      <formula>$E442&lt;&gt;"Yes"</formula>
    </cfRule>
  </conditionalFormatting>
  <conditionalFormatting sqref="O442:P442">
    <cfRule type="expression" dxfId="6803" priority="8481">
      <formula>$E$7&lt;&gt;"Yes"</formula>
    </cfRule>
  </conditionalFormatting>
  <conditionalFormatting sqref="O442:P442">
    <cfRule type="expression" dxfId="6802" priority="8480">
      <formula>$E442&lt;&gt;"Yes"</formula>
    </cfRule>
  </conditionalFormatting>
  <conditionalFormatting sqref="X442">
    <cfRule type="expression" dxfId="6801" priority="8479">
      <formula>$E$7&lt;&gt;"Yes"</formula>
    </cfRule>
  </conditionalFormatting>
  <conditionalFormatting sqref="X442">
    <cfRule type="expression" dxfId="6800" priority="8478">
      <formula>$E442&lt;&gt;"Yes"</formula>
    </cfRule>
  </conditionalFormatting>
  <conditionalFormatting sqref="Y444 AF444:AH444 AJ444:AK444">
    <cfRule type="expression" dxfId="6799" priority="8473">
      <formula>$E$7&lt;&gt;"Yes"</formula>
    </cfRule>
  </conditionalFormatting>
  <conditionalFormatting sqref="Y444 AF444:AH444 AJ444:AK444">
    <cfRule type="expression" dxfId="6798" priority="8472">
      <formula>$E444&lt;&gt;"Yes"</formula>
    </cfRule>
  </conditionalFormatting>
  <conditionalFormatting sqref="AD442">
    <cfRule type="expression" dxfId="6797" priority="8475">
      <formula>$E$7&lt;&gt;"Yes"</formula>
    </cfRule>
  </conditionalFormatting>
  <conditionalFormatting sqref="AD442">
    <cfRule type="expression" dxfId="6796" priority="8474">
      <formula>$E442&lt;&gt;"Yes"</formula>
    </cfRule>
  </conditionalFormatting>
  <conditionalFormatting sqref="Q444">
    <cfRule type="expression" dxfId="6795" priority="8471">
      <formula>$E$7&lt;&gt;"Yes"</formula>
    </cfRule>
  </conditionalFormatting>
  <conditionalFormatting sqref="Q444">
    <cfRule type="expression" dxfId="6794" priority="8470">
      <formula>$E444&lt;&gt;"Yes"</formula>
    </cfRule>
  </conditionalFormatting>
  <conditionalFormatting sqref="M444 F444:J444 Q444">
    <cfRule type="expression" dxfId="6793" priority="8469">
      <formula>$E$7&lt;&gt;"Yes"</formula>
    </cfRule>
  </conditionalFormatting>
  <conditionalFormatting sqref="M444 F444:J444 Q444">
    <cfRule type="expression" dxfId="6792" priority="8468">
      <formula>$E444&lt;&gt;"Yes"</formula>
    </cfRule>
  </conditionalFormatting>
  <conditionalFormatting sqref="G444">
    <cfRule type="expression" dxfId="6791" priority="8467">
      <formula>$E$7&lt;&gt;"Yes"</formula>
    </cfRule>
  </conditionalFormatting>
  <conditionalFormatting sqref="K444:L444">
    <cfRule type="expression" dxfId="6790" priority="8466">
      <formula>$E$7&lt;&gt;"Yes"</formula>
    </cfRule>
  </conditionalFormatting>
  <conditionalFormatting sqref="K444:L444">
    <cfRule type="expression" dxfId="6789" priority="8465">
      <formula>$E444&lt;&gt;"Yes"</formula>
    </cfRule>
  </conditionalFormatting>
  <conditionalFormatting sqref="N444">
    <cfRule type="expression" dxfId="6788" priority="8462">
      <formula>$E$7&lt;&gt;"Yes"</formula>
    </cfRule>
  </conditionalFormatting>
  <conditionalFormatting sqref="N444">
    <cfRule type="expression" dxfId="6787" priority="8461">
      <formula>$E444&lt;&gt;"Yes"</formula>
    </cfRule>
  </conditionalFormatting>
  <conditionalFormatting sqref="W444">
    <cfRule type="expression" dxfId="6786" priority="8464">
      <formula>$E$7&lt;&gt;"Yes"</formula>
    </cfRule>
  </conditionalFormatting>
  <conditionalFormatting sqref="W444">
    <cfRule type="expression" dxfId="6785" priority="8463">
      <formula>$E444&lt;&gt;"Yes"</formula>
    </cfRule>
  </conditionalFormatting>
  <conditionalFormatting sqref="AE444">
    <cfRule type="expression" dxfId="6784" priority="8460">
      <formula>$E$7&lt;&gt;"Yes"</formula>
    </cfRule>
  </conditionalFormatting>
  <conditionalFormatting sqref="AE444">
    <cfRule type="expression" dxfId="6783" priority="8459">
      <formula>$E444&lt;&gt;"Yes"</formula>
    </cfRule>
  </conditionalFormatting>
  <conditionalFormatting sqref="AB444">
    <cfRule type="expression" dxfId="6782" priority="8446">
      <formula>$E$7&lt;&gt;"Yes"</formula>
    </cfRule>
  </conditionalFormatting>
  <conditionalFormatting sqref="AB444">
    <cfRule type="expression" dxfId="6781" priority="8445">
      <formula>$E444&lt;&gt;"Yes"</formula>
    </cfRule>
  </conditionalFormatting>
  <conditionalFormatting sqref="AA444">
    <cfRule type="expression" dxfId="6780" priority="8444">
      <formula>$E$7&lt;&gt;"Yes"</formula>
    </cfRule>
  </conditionalFormatting>
  <conditionalFormatting sqref="AA444">
    <cfRule type="expression" dxfId="6779" priority="8443">
      <formula>$E444&lt;&gt;"Yes"</formula>
    </cfRule>
  </conditionalFormatting>
  <conditionalFormatting sqref="Y444">
    <cfRule type="expression" dxfId="6778" priority="8442">
      <formula>$E$7&lt;&gt;"Yes"</formula>
    </cfRule>
  </conditionalFormatting>
  <conditionalFormatting sqref="Y444">
    <cfRule type="expression" dxfId="6777" priority="8441">
      <formula>$E444&lt;&gt;"Yes"</formula>
    </cfRule>
  </conditionalFormatting>
  <conditionalFormatting sqref="O444:P444">
    <cfRule type="expression" dxfId="6776" priority="8440">
      <formula>$E$7&lt;&gt;"Yes"</formula>
    </cfRule>
  </conditionalFormatting>
  <conditionalFormatting sqref="O444:P444">
    <cfRule type="expression" dxfId="6775" priority="8439">
      <formula>$E444&lt;&gt;"Yes"</formula>
    </cfRule>
  </conditionalFormatting>
  <conditionalFormatting sqref="X444">
    <cfRule type="expression" dxfId="6774" priority="8438">
      <formula>$E$7&lt;&gt;"Yes"</formula>
    </cfRule>
  </conditionalFormatting>
  <conditionalFormatting sqref="X444">
    <cfRule type="expression" dxfId="6773" priority="8437">
      <formula>$E444&lt;&gt;"Yes"</formula>
    </cfRule>
  </conditionalFormatting>
  <conditionalFormatting sqref="Y445 AF445:AH445 AJ445:AK445">
    <cfRule type="expression" dxfId="6772" priority="8432">
      <formula>$E$7&lt;&gt;"Yes"</formula>
    </cfRule>
  </conditionalFormatting>
  <conditionalFormatting sqref="Y445 AF445:AH445 AJ445:AK445">
    <cfRule type="expression" dxfId="6771" priority="8431">
      <formula>$E445&lt;&gt;"Yes"</formula>
    </cfRule>
  </conditionalFormatting>
  <conditionalFormatting sqref="AD444">
    <cfRule type="expression" dxfId="6770" priority="8434">
      <formula>$E$7&lt;&gt;"Yes"</formula>
    </cfRule>
  </conditionalFormatting>
  <conditionalFormatting sqref="AD444">
    <cfRule type="expression" dxfId="6769" priority="8433">
      <formula>$E444&lt;&gt;"Yes"</formula>
    </cfRule>
  </conditionalFormatting>
  <conditionalFormatting sqref="Q445">
    <cfRule type="expression" dxfId="6768" priority="8430">
      <formula>$E$7&lt;&gt;"Yes"</formula>
    </cfRule>
  </conditionalFormatting>
  <conditionalFormatting sqref="Q445">
    <cfRule type="expression" dxfId="6767" priority="8429">
      <formula>$E445&lt;&gt;"Yes"</formula>
    </cfRule>
  </conditionalFormatting>
  <conditionalFormatting sqref="M445 F445:J445 Q445">
    <cfRule type="expression" dxfId="6766" priority="8428">
      <formula>$E$7&lt;&gt;"Yes"</formula>
    </cfRule>
  </conditionalFormatting>
  <conditionalFormatting sqref="M445 F445:J445 Q445">
    <cfRule type="expression" dxfId="6765" priority="8427">
      <formula>$E445&lt;&gt;"Yes"</formula>
    </cfRule>
  </conditionalFormatting>
  <conditionalFormatting sqref="G445">
    <cfRule type="expression" dxfId="6764" priority="8426">
      <formula>$E$7&lt;&gt;"Yes"</formula>
    </cfRule>
  </conditionalFormatting>
  <conditionalFormatting sqref="K445:L445">
    <cfRule type="expression" dxfId="6763" priority="8425">
      <formula>$E$7&lt;&gt;"Yes"</formula>
    </cfRule>
  </conditionalFormatting>
  <conditionalFormatting sqref="K445:L445">
    <cfRule type="expression" dxfId="6762" priority="8424">
      <formula>$E445&lt;&gt;"Yes"</formula>
    </cfRule>
  </conditionalFormatting>
  <conditionalFormatting sqref="N445">
    <cfRule type="expression" dxfId="6761" priority="8421">
      <formula>$E$7&lt;&gt;"Yes"</formula>
    </cfRule>
  </conditionalFormatting>
  <conditionalFormatting sqref="N445">
    <cfRule type="expression" dxfId="6760" priority="8420">
      <formula>$E445&lt;&gt;"Yes"</formula>
    </cfRule>
  </conditionalFormatting>
  <conditionalFormatting sqref="W445">
    <cfRule type="expression" dxfId="6759" priority="8423">
      <formula>$E$7&lt;&gt;"Yes"</formula>
    </cfRule>
  </conditionalFormatting>
  <conditionalFormatting sqref="W445">
    <cfRule type="expression" dxfId="6758" priority="8422">
      <formula>$E445&lt;&gt;"Yes"</formula>
    </cfRule>
  </conditionalFormatting>
  <conditionalFormatting sqref="AE445">
    <cfRule type="expression" dxfId="6757" priority="8419">
      <formula>$E$7&lt;&gt;"Yes"</formula>
    </cfRule>
  </conditionalFormatting>
  <conditionalFormatting sqref="AE445">
    <cfRule type="expression" dxfId="6756" priority="8418">
      <formula>$E445&lt;&gt;"Yes"</formula>
    </cfRule>
  </conditionalFormatting>
  <conditionalFormatting sqref="AB445">
    <cfRule type="expression" dxfId="6755" priority="8405">
      <formula>$E$7&lt;&gt;"Yes"</formula>
    </cfRule>
  </conditionalFormatting>
  <conditionalFormatting sqref="AB445">
    <cfRule type="expression" dxfId="6754" priority="8404">
      <formula>$E445&lt;&gt;"Yes"</formula>
    </cfRule>
  </conditionalFormatting>
  <conditionalFormatting sqref="AA445">
    <cfRule type="expression" dxfId="6753" priority="8403">
      <formula>$E$7&lt;&gt;"Yes"</formula>
    </cfRule>
  </conditionalFormatting>
  <conditionalFormatting sqref="AA445">
    <cfRule type="expression" dxfId="6752" priority="8402">
      <formula>$E445&lt;&gt;"Yes"</formula>
    </cfRule>
  </conditionalFormatting>
  <conditionalFormatting sqref="Y445">
    <cfRule type="expression" dxfId="6751" priority="8401">
      <formula>$E$7&lt;&gt;"Yes"</formula>
    </cfRule>
  </conditionalFormatting>
  <conditionalFormatting sqref="Y445">
    <cfRule type="expression" dxfId="6750" priority="8400">
      <formula>$E445&lt;&gt;"Yes"</formula>
    </cfRule>
  </conditionalFormatting>
  <conditionalFormatting sqref="O445:P445">
    <cfRule type="expression" dxfId="6749" priority="8399">
      <formula>$E$7&lt;&gt;"Yes"</formula>
    </cfRule>
  </conditionalFormatting>
  <conditionalFormatting sqref="O445:P445">
    <cfRule type="expression" dxfId="6748" priority="8398">
      <formula>$E445&lt;&gt;"Yes"</formula>
    </cfRule>
  </conditionalFormatting>
  <conditionalFormatting sqref="X445">
    <cfRule type="expression" dxfId="6747" priority="8397">
      <formula>$E$7&lt;&gt;"Yes"</formula>
    </cfRule>
  </conditionalFormatting>
  <conditionalFormatting sqref="X445">
    <cfRule type="expression" dxfId="6746" priority="8396">
      <formula>$E445&lt;&gt;"Yes"</formula>
    </cfRule>
  </conditionalFormatting>
  <conditionalFormatting sqref="AD445">
    <cfRule type="expression" dxfId="6745" priority="8393">
      <formula>$E$7&lt;&gt;"Yes"</formula>
    </cfRule>
  </conditionalFormatting>
  <conditionalFormatting sqref="AD445">
    <cfRule type="expression" dxfId="6744" priority="8392">
      <formula>$E445&lt;&gt;"Yes"</formula>
    </cfRule>
  </conditionalFormatting>
  <conditionalFormatting sqref="Y447 AF447:AH447 AJ447:AK447">
    <cfRule type="expression" dxfId="6743" priority="8260">
      <formula>$E$7&lt;&gt;"Yes"</formula>
    </cfRule>
  </conditionalFormatting>
  <conditionalFormatting sqref="Y447 AF447:AH447 AJ447:AK447">
    <cfRule type="expression" dxfId="6742" priority="8259">
      <formula>$E447&lt;&gt;"Yes"</formula>
    </cfRule>
  </conditionalFormatting>
  <conditionalFormatting sqref="Q447">
    <cfRule type="expression" dxfId="6741" priority="8258">
      <formula>$E$7&lt;&gt;"Yes"</formula>
    </cfRule>
  </conditionalFormatting>
  <conditionalFormatting sqref="Q447">
    <cfRule type="expression" dxfId="6740" priority="8257">
      <formula>$E447&lt;&gt;"Yes"</formula>
    </cfRule>
  </conditionalFormatting>
  <conditionalFormatting sqref="M447 F447:J447 Q447">
    <cfRule type="expression" dxfId="6739" priority="8256">
      <formula>$E$7&lt;&gt;"Yes"</formula>
    </cfRule>
  </conditionalFormatting>
  <conditionalFormatting sqref="M447 F447:J447 Q447">
    <cfRule type="expression" dxfId="6738" priority="8255">
      <formula>$E447&lt;&gt;"Yes"</formula>
    </cfRule>
  </conditionalFormatting>
  <conditionalFormatting sqref="G447">
    <cfRule type="expression" dxfId="6737" priority="8254">
      <formula>$E$7&lt;&gt;"Yes"</formula>
    </cfRule>
  </conditionalFormatting>
  <conditionalFormatting sqref="K447:L447">
    <cfRule type="expression" dxfId="6736" priority="8253">
      <formula>$E$7&lt;&gt;"Yes"</formula>
    </cfRule>
  </conditionalFormatting>
  <conditionalFormatting sqref="K447:L447">
    <cfRule type="expression" dxfId="6735" priority="8252">
      <formula>$E447&lt;&gt;"Yes"</formula>
    </cfRule>
  </conditionalFormatting>
  <conditionalFormatting sqref="N447">
    <cfRule type="expression" dxfId="6734" priority="8249">
      <formula>$E$7&lt;&gt;"Yes"</formula>
    </cfRule>
  </conditionalFormatting>
  <conditionalFormatting sqref="N447">
    <cfRule type="expression" dxfId="6733" priority="8248">
      <formula>$E447&lt;&gt;"Yes"</formula>
    </cfRule>
  </conditionalFormatting>
  <conditionalFormatting sqref="W447">
    <cfRule type="expression" dxfId="6732" priority="8251">
      <formula>$E$7&lt;&gt;"Yes"</formula>
    </cfRule>
  </conditionalFormatting>
  <conditionalFormatting sqref="W447">
    <cfRule type="expression" dxfId="6731" priority="8250">
      <formula>$E447&lt;&gt;"Yes"</formula>
    </cfRule>
  </conditionalFormatting>
  <conditionalFormatting sqref="AE447">
    <cfRule type="expression" dxfId="6730" priority="8247">
      <formula>$E$7&lt;&gt;"Yes"</formula>
    </cfRule>
  </conditionalFormatting>
  <conditionalFormatting sqref="AE447">
    <cfRule type="expression" dxfId="6729" priority="8246">
      <formula>$E447&lt;&gt;"Yes"</formula>
    </cfRule>
  </conditionalFormatting>
  <conditionalFormatting sqref="AB447">
    <cfRule type="expression" dxfId="6728" priority="8233">
      <formula>$E$7&lt;&gt;"Yes"</formula>
    </cfRule>
  </conditionalFormatting>
  <conditionalFormatting sqref="AB447">
    <cfRule type="expression" dxfId="6727" priority="8232">
      <formula>$E447&lt;&gt;"Yes"</formula>
    </cfRule>
  </conditionalFormatting>
  <conditionalFormatting sqref="AA447">
    <cfRule type="expression" dxfId="6726" priority="8231">
      <formula>$E$7&lt;&gt;"Yes"</formula>
    </cfRule>
  </conditionalFormatting>
  <conditionalFormatting sqref="AA447">
    <cfRule type="expression" dxfId="6725" priority="8230">
      <formula>$E447&lt;&gt;"Yes"</formula>
    </cfRule>
  </conditionalFormatting>
  <conditionalFormatting sqref="Y447">
    <cfRule type="expression" dxfId="6724" priority="8229">
      <formula>$E$7&lt;&gt;"Yes"</formula>
    </cfRule>
  </conditionalFormatting>
  <conditionalFormatting sqref="Y447">
    <cfRule type="expression" dxfId="6723" priority="8228">
      <formula>$E447&lt;&gt;"Yes"</formula>
    </cfRule>
  </conditionalFormatting>
  <conditionalFormatting sqref="O447:P447">
    <cfRule type="expression" dxfId="6722" priority="8227">
      <formula>$E$7&lt;&gt;"Yes"</formula>
    </cfRule>
  </conditionalFormatting>
  <conditionalFormatting sqref="O447:P447">
    <cfRule type="expression" dxfId="6721" priority="8226">
      <formula>$E447&lt;&gt;"Yes"</formula>
    </cfRule>
  </conditionalFormatting>
  <conditionalFormatting sqref="X447">
    <cfRule type="expression" dxfId="6720" priority="8225">
      <formula>$E$7&lt;&gt;"Yes"</formula>
    </cfRule>
  </conditionalFormatting>
  <conditionalFormatting sqref="X447">
    <cfRule type="expression" dxfId="6719" priority="8224">
      <formula>$E447&lt;&gt;"Yes"</formula>
    </cfRule>
  </conditionalFormatting>
  <conditionalFormatting sqref="AD447">
    <cfRule type="expression" dxfId="6718" priority="8221">
      <formula>$E$7&lt;&gt;"Yes"</formula>
    </cfRule>
  </conditionalFormatting>
  <conditionalFormatting sqref="AD447">
    <cfRule type="expression" dxfId="6717" priority="8220">
      <formula>$E447&lt;&gt;"Yes"</formula>
    </cfRule>
  </conditionalFormatting>
  <conditionalFormatting sqref="Y446 AF446:AH446 AJ446:AK446">
    <cfRule type="expression" dxfId="6716" priority="8174">
      <formula>$E$7&lt;&gt;"Yes"</formula>
    </cfRule>
  </conditionalFormatting>
  <conditionalFormatting sqref="Y446 AF446:AH446 AJ446:AK446">
    <cfRule type="expression" dxfId="6715" priority="8173">
      <formula>$E446&lt;&gt;"Yes"</formula>
    </cfRule>
  </conditionalFormatting>
  <conditionalFormatting sqref="Q446">
    <cfRule type="expression" dxfId="6714" priority="8172">
      <formula>$E$7&lt;&gt;"Yes"</formula>
    </cfRule>
  </conditionalFormatting>
  <conditionalFormatting sqref="Q446">
    <cfRule type="expression" dxfId="6713" priority="8171">
      <formula>$E446&lt;&gt;"Yes"</formula>
    </cfRule>
  </conditionalFormatting>
  <conditionalFormatting sqref="M446 F446:J446 Q446">
    <cfRule type="expression" dxfId="6712" priority="8170">
      <formula>$E$7&lt;&gt;"Yes"</formula>
    </cfRule>
  </conditionalFormatting>
  <conditionalFormatting sqref="M446 F446:J446 Q446">
    <cfRule type="expression" dxfId="6711" priority="8169">
      <formula>$E446&lt;&gt;"Yes"</formula>
    </cfRule>
  </conditionalFormatting>
  <conditionalFormatting sqref="G446">
    <cfRule type="expression" dxfId="6710" priority="8168">
      <formula>$E$7&lt;&gt;"Yes"</formula>
    </cfRule>
  </conditionalFormatting>
  <conditionalFormatting sqref="K446:L446">
    <cfRule type="expression" dxfId="6709" priority="8167">
      <formula>$E$7&lt;&gt;"Yes"</formula>
    </cfRule>
  </conditionalFormatting>
  <conditionalFormatting sqref="K446:L446">
    <cfRule type="expression" dxfId="6708" priority="8166">
      <formula>$E446&lt;&gt;"Yes"</formula>
    </cfRule>
  </conditionalFormatting>
  <conditionalFormatting sqref="N446">
    <cfRule type="expression" dxfId="6707" priority="8163">
      <formula>$E$7&lt;&gt;"Yes"</formula>
    </cfRule>
  </conditionalFormatting>
  <conditionalFormatting sqref="N446">
    <cfRule type="expression" dxfId="6706" priority="8162">
      <formula>$E446&lt;&gt;"Yes"</formula>
    </cfRule>
  </conditionalFormatting>
  <conditionalFormatting sqref="W446">
    <cfRule type="expression" dxfId="6705" priority="8165">
      <formula>$E$7&lt;&gt;"Yes"</formula>
    </cfRule>
  </conditionalFormatting>
  <conditionalFormatting sqref="W446">
    <cfRule type="expression" dxfId="6704" priority="8164">
      <formula>$E446&lt;&gt;"Yes"</formula>
    </cfRule>
  </conditionalFormatting>
  <conditionalFormatting sqref="AE446">
    <cfRule type="expression" dxfId="6703" priority="8161">
      <formula>$E$7&lt;&gt;"Yes"</formula>
    </cfRule>
  </conditionalFormatting>
  <conditionalFormatting sqref="AE446">
    <cfRule type="expression" dxfId="6702" priority="8160">
      <formula>$E446&lt;&gt;"Yes"</formula>
    </cfRule>
  </conditionalFormatting>
  <conditionalFormatting sqref="AB446">
    <cfRule type="expression" dxfId="6701" priority="8147">
      <formula>$E$7&lt;&gt;"Yes"</formula>
    </cfRule>
  </conditionalFormatting>
  <conditionalFormatting sqref="AB446">
    <cfRule type="expression" dxfId="6700" priority="8146">
      <formula>$E446&lt;&gt;"Yes"</formula>
    </cfRule>
  </conditionalFormatting>
  <conditionalFormatting sqref="AA446">
    <cfRule type="expression" dxfId="6699" priority="8145">
      <formula>$E$7&lt;&gt;"Yes"</formula>
    </cfRule>
  </conditionalFormatting>
  <conditionalFormatting sqref="AA446">
    <cfRule type="expression" dxfId="6698" priority="8144">
      <formula>$E446&lt;&gt;"Yes"</formula>
    </cfRule>
  </conditionalFormatting>
  <conditionalFormatting sqref="Y446">
    <cfRule type="expression" dxfId="6697" priority="8143">
      <formula>$E$7&lt;&gt;"Yes"</formula>
    </cfRule>
  </conditionalFormatting>
  <conditionalFormatting sqref="Y446">
    <cfRule type="expression" dxfId="6696" priority="8142">
      <formula>$E446&lt;&gt;"Yes"</formula>
    </cfRule>
  </conditionalFormatting>
  <conditionalFormatting sqref="O446:P446">
    <cfRule type="expression" dxfId="6695" priority="8141">
      <formula>$E$7&lt;&gt;"Yes"</formula>
    </cfRule>
  </conditionalFormatting>
  <conditionalFormatting sqref="O446:P446">
    <cfRule type="expression" dxfId="6694" priority="8140">
      <formula>$E446&lt;&gt;"Yes"</formula>
    </cfRule>
  </conditionalFormatting>
  <conditionalFormatting sqref="X446">
    <cfRule type="expression" dxfId="6693" priority="8139">
      <formula>$E$7&lt;&gt;"Yes"</formula>
    </cfRule>
  </conditionalFormatting>
  <conditionalFormatting sqref="X446">
    <cfRule type="expression" dxfId="6692" priority="8138">
      <formula>$E446&lt;&gt;"Yes"</formula>
    </cfRule>
  </conditionalFormatting>
  <conditionalFormatting sqref="AD446">
    <cfRule type="expression" dxfId="6691" priority="8135">
      <formula>$E$7&lt;&gt;"Yes"</formula>
    </cfRule>
  </conditionalFormatting>
  <conditionalFormatting sqref="AD446">
    <cfRule type="expression" dxfId="6690" priority="8134">
      <formula>$E446&lt;&gt;"Yes"</formula>
    </cfRule>
  </conditionalFormatting>
  <conditionalFormatting sqref="Y449 AF449:AH449 AJ449:AK449">
    <cfRule type="expression" dxfId="6689" priority="8045">
      <formula>$E$7&lt;&gt;"Yes"</formula>
    </cfRule>
  </conditionalFormatting>
  <conditionalFormatting sqref="Y449 AF449:AH449 AJ449:AK449">
    <cfRule type="expression" dxfId="6688" priority="8044">
      <formula>$E449&lt;&gt;"Yes"</formula>
    </cfRule>
  </conditionalFormatting>
  <conditionalFormatting sqref="Q449">
    <cfRule type="expression" dxfId="6687" priority="8043">
      <formula>$E$7&lt;&gt;"Yes"</formula>
    </cfRule>
  </conditionalFormatting>
  <conditionalFormatting sqref="Q449">
    <cfRule type="expression" dxfId="6686" priority="8042">
      <formula>$E449&lt;&gt;"Yes"</formula>
    </cfRule>
  </conditionalFormatting>
  <conditionalFormatting sqref="M449 F449:J449 Q449">
    <cfRule type="expression" dxfId="6685" priority="8041">
      <formula>$E$7&lt;&gt;"Yes"</formula>
    </cfRule>
  </conditionalFormatting>
  <conditionalFormatting sqref="M449 F449:J449 Q449">
    <cfRule type="expression" dxfId="6684" priority="8040">
      <formula>$E449&lt;&gt;"Yes"</formula>
    </cfRule>
  </conditionalFormatting>
  <conditionalFormatting sqref="G449">
    <cfRule type="expression" dxfId="6683" priority="8039">
      <formula>$E$7&lt;&gt;"Yes"</formula>
    </cfRule>
  </conditionalFormatting>
  <conditionalFormatting sqref="K449:L449">
    <cfRule type="expression" dxfId="6682" priority="8038">
      <formula>$E$7&lt;&gt;"Yes"</formula>
    </cfRule>
  </conditionalFormatting>
  <conditionalFormatting sqref="K449:L449">
    <cfRule type="expression" dxfId="6681" priority="8037">
      <formula>$E449&lt;&gt;"Yes"</formula>
    </cfRule>
  </conditionalFormatting>
  <conditionalFormatting sqref="N449">
    <cfRule type="expression" dxfId="6680" priority="8034">
      <formula>$E$7&lt;&gt;"Yes"</formula>
    </cfRule>
  </conditionalFormatting>
  <conditionalFormatting sqref="N449">
    <cfRule type="expression" dxfId="6679" priority="8033">
      <formula>$E449&lt;&gt;"Yes"</formula>
    </cfRule>
  </conditionalFormatting>
  <conditionalFormatting sqref="W449">
    <cfRule type="expression" dxfId="6678" priority="8036">
      <formula>$E$7&lt;&gt;"Yes"</formula>
    </cfRule>
  </conditionalFormatting>
  <conditionalFormatting sqref="W449">
    <cfRule type="expression" dxfId="6677" priority="8035">
      <formula>$E449&lt;&gt;"Yes"</formula>
    </cfRule>
  </conditionalFormatting>
  <conditionalFormatting sqref="AE449">
    <cfRule type="expression" dxfId="6676" priority="8032">
      <formula>$E$7&lt;&gt;"Yes"</formula>
    </cfRule>
  </conditionalFormatting>
  <conditionalFormatting sqref="AE449">
    <cfRule type="expression" dxfId="6675" priority="8031">
      <formula>$E449&lt;&gt;"Yes"</formula>
    </cfRule>
  </conditionalFormatting>
  <conditionalFormatting sqref="AB449">
    <cfRule type="expression" dxfId="6674" priority="8018">
      <formula>$E$7&lt;&gt;"Yes"</formula>
    </cfRule>
  </conditionalFormatting>
  <conditionalFormatting sqref="AB449">
    <cfRule type="expression" dxfId="6673" priority="8017">
      <formula>$E449&lt;&gt;"Yes"</formula>
    </cfRule>
  </conditionalFormatting>
  <conditionalFormatting sqref="AA449">
    <cfRule type="expression" dxfId="6672" priority="8016">
      <formula>$E$7&lt;&gt;"Yes"</formula>
    </cfRule>
  </conditionalFormatting>
  <conditionalFormatting sqref="AA449">
    <cfRule type="expression" dxfId="6671" priority="8015">
      <formula>$E449&lt;&gt;"Yes"</formula>
    </cfRule>
  </conditionalFormatting>
  <conditionalFormatting sqref="Y449">
    <cfRule type="expression" dxfId="6670" priority="8014">
      <formula>$E$7&lt;&gt;"Yes"</formula>
    </cfRule>
  </conditionalFormatting>
  <conditionalFormatting sqref="Y449">
    <cfRule type="expression" dxfId="6669" priority="8013">
      <formula>$E449&lt;&gt;"Yes"</formula>
    </cfRule>
  </conditionalFormatting>
  <conditionalFormatting sqref="O449:P449">
    <cfRule type="expression" dxfId="6668" priority="8012">
      <formula>$E$7&lt;&gt;"Yes"</formula>
    </cfRule>
  </conditionalFormatting>
  <conditionalFormatting sqref="O449:P449">
    <cfRule type="expression" dxfId="6667" priority="8011">
      <formula>$E449&lt;&gt;"Yes"</formula>
    </cfRule>
  </conditionalFormatting>
  <conditionalFormatting sqref="X449">
    <cfRule type="expression" dxfId="6666" priority="8010">
      <formula>$E$7&lt;&gt;"Yes"</formula>
    </cfRule>
  </conditionalFormatting>
  <conditionalFormatting sqref="X449">
    <cfRule type="expression" dxfId="6665" priority="8009">
      <formula>$E449&lt;&gt;"Yes"</formula>
    </cfRule>
  </conditionalFormatting>
  <conditionalFormatting sqref="AD449">
    <cfRule type="expression" dxfId="6664" priority="8006">
      <formula>$E$7&lt;&gt;"Yes"</formula>
    </cfRule>
  </conditionalFormatting>
  <conditionalFormatting sqref="AD449">
    <cfRule type="expression" dxfId="6663" priority="8005">
      <formula>$E449&lt;&gt;"Yes"</formula>
    </cfRule>
  </conditionalFormatting>
  <conditionalFormatting sqref="Y460 AF460:AH460 AJ460:AK460">
    <cfRule type="expression" dxfId="6662" priority="8002">
      <formula>$E$7&lt;&gt;"Yes"</formula>
    </cfRule>
  </conditionalFormatting>
  <conditionalFormatting sqref="Y460 AF460:AH460 AJ460:AK460">
    <cfRule type="expression" dxfId="6661" priority="8001">
      <formula>$E460&lt;&gt;"Yes"</formula>
    </cfRule>
  </conditionalFormatting>
  <conditionalFormatting sqref="Q460">
    <cfRule type="expression" dxfId="6660" priority="8000">
      <formula>$E$7&lt;&gt;"Yes"</formula>
    </cfRule>
  </conditionalFormatting>
  <conditionalFormatting sqref="Q460">
    <cfRule type="expression" dxfId="6659" priority="7999">
      <formula>$E460&lt;&gt;"Yes"</formula>
    </cfRule>
  </conditionalFormatting>
  <conditionalFormatting sqref="M460 F460:J460 Q460">
    <cfRule type="expression" dxfId="6658" priority="7998">
      <formula>$E$7&lt;&gt;"Yes"</formula>
    </cfRule>
  </conditionalFormatting>
  <conditionalFormatting sqref="M460 F460:J460 Q460">
    <cfRule type="expression" dxfId="6657" priority="7997">
      <formula>$E460&lt;&gt;"Yes"</formula>
    </cfRule>
  </conditionalFormatting>
  <conditionalFormatting sqref="G460">
    <cfRule type="expression" dxfId="6656" priority="7996">
      <formula>$E$7&lt;&gt;"Yes"</formula>
    </cfRule>
  </conditionalFormatting>
  <conditionalFormatting sqref="K460:L460">
    <cfRule type="expression" dxfId="6655" priority="7995">
      <formula>$E$7&lt;&gt;"Yes"</formula>
    </cfRule>
  </conditionalFormatting>
  <conditionalFormatting sqref="K460:L460">
    <cfRule type="expression" dxfId="6654" priority="7994">
      <formula>$E460&lt;&gt;"Yes"</formula>
    </cfRule>
  </conditionalFormatting>
  <conditionalFormatting sqref="N460">
    <cfRule type="expression" dxfId="6653" priority="7991">
      <formula>$E$7&lt;&gt;"Yes"</formula>
    </cfRule>
  </conditionalFormatting>
  <conditionalFormatting sqref="N460">
    <cfRule type="expression" dxfId="6652" priority="7990">
      <formula>$E460&lt;&gt;"Yes"</formula>
    </cfRule>
  </conditionalFormatting>
  <conditionalFormatting sqref="W460">
    <cfRule type="expression" dxfId="6651" priority="7993">
      <formula>$E$7&lt;&gt;"Yes"</formula>
    </cfRule>
  </conditionalFormatting>
  <conditionalFormatting sqref="W460">
    <cfRule type="expression" dxfId="6650" priority="7992">
      <formula>$E460&lt;&gt;"Yes"</formula>
    </cfRule>
  </conditionalFormatting>
  <conditionalFormatting sqref="AE460">
    <cfRule type="expression" dxfId="6649" priority="7989">
      <formula>$E$7&lt;&gt;"Yes"</formula>
    </cfRule>
  </conditionalFormatting>
  <conditionalFormatting sqref="AE460">
    <cfRule type="expression" dxfId="6648" priority="7988">
      <formula>$E460&lt;&gt;"Yes"</formula>
    </cfRule>
  </conditionalFormatting>
  <conditionalFormatting sqref="AB460">
    <cfRule type="expression" dxfId="6647" priority="7975">
      <formula>$E$7&lt;&gt;"Yes"</formula>
    </cfRule>
  </conditionalFormatting>
  <conditionalFormatting sqref="AB460">
    <cfRule type="expression" dxfId="6646" priority="7974">
      <formula>$E460&lt;&gt;"Yes"</formula>
    </cfRule>
  </conditionalFormatting>
  <conditionalFormatting sqref="AA460">
    <cfRule type="expression" dxfId="6645" priority="7973">
      <formula>$E$7&lt;&gt;"Yes"</formula>
    </cfRule>
  </conditionalFormatting>
  <conditionalFormatting sqref="AA460">
    <cfRule type="expression" dxfId="6644" priority="7972">
      <formula>$E460&lt;&gt;"Yes"</formula>
    </cfRule>
  </conditionalFormatting>
  <conditionalFormatting sqref="Y460">
    <cfRule type="expression" dxfId="6643" priority="7971">
      <formula>$E$7&lt;&gt;"Yes"</formula>
    </cfRule>
  </conditionalFormatting>
  <conditionalFormatting sqref="Y460">
    <cfRule type="expression" dxfId="6642" priority="7970">
      <formula>$E460&lt;&gt;"Yes"</formula>
    </cfRule>
  </conditionalFormatting>
  <conditionalFormatting sqref="O460:P460">
    <cfRule type="expression" dxfId="6641" priority="7969">
      <formula>$E$7&lt;&gt;"Yes"</formula>
    </cfRule>
  </conditionalFormatting>
  <conditionalFormatting sqref="O460:P460">
    <cfRule type="expression" dxfId="6640" priority="7968">
      <formula>$E460&lt;&gt;"Yes"</formula>
    </cfRule>
  </conditionalFormatting>
  <conditionalFormatting sqref="X460">
    <cfRule type="expression" dxfId="6639" priority="7967">
      <formula>$E$7&lt;&gt;"Yes"</formula>
    </cfRule>
  </conditionalFormatting>
  <conditionalFormatting sqref="X460">
    <cfRule type="expression" dxfId="6638" priority="7966">
      <formula>$E460&lt;&gt;"Yes"</formula>
    </cfRule>
  </conditionalFormatting>
  <conditionalFormatting sqref="AD460">
    <cfRule type="expression" dxfId="6637" priority="7963">
      <formula>$E$7&lt;&gt;"Yes"</formula>
    </cfRule>
  </conditionalFormatting>
  <conditionalFormatting sqref="AD460">
    <cfRule type="expression" dxfId="6636" priority="7962">
      <formula>$E460&lt;&gt;"Yes"</formula>
    </cfRule>
  </conditionalFormatting>
  <conditionalFormatting sqref="Y451 AF451:AH451 AJ451:AK451">
    <cfRule type="expression" dxfId="6635" priority="7959">
      <formula>$E$7&lt;&gt;"Yes"</formula>
    </cfRule>
  </conditionalFormatting>
  <conditionalFormatting sqref="Y451 AF451:AH451 AJ451:AK451">
    <cfRule type="expression" dxfId="6634" priority="7958">
      <formula>$E451&lt;&gt;"Yes"</formula>
    </cfRule>
  </conditionalFormatting>
  <conditionalFormatting sqref="Q451">
    <cfRule type="expression" dxfId="6633" priority="7957">
      <formula>$E$7&lt;&gt;"Yes"</formula>
    </cfRule>
  </conditionalFormatting>
  <conditionalFormatting sqref="Q451">
    <cfRule type="expression" dxfId="6632" priority="7956">
      <formula>$E451&lt;&gt;"Yes"</formula>
    </cfRule>
  </conditionalFormatting>
  <conditionalFormatting sqref="M451 F451:J451 Q451">
    <cfRule type="expression" dxfId="6631" priority="7955">
      <formula>$E$7&lt;&gt;"Yes"</formula>
    </cfRule>
  </conditionalFormatting>
  <conditionalFormatting sqref="M451 F451:J451 Q451">
    <cfRule type="expression" dxfId="6630" priority="7954">
      <formula>$E451&lt;&gt;"Yes"</formula>
    </cfRule>
  </conditionalFormatting>
  <conditionalFormatting sqref="G451">
    <cfRule type="expression" dxfId="6629" priority="7953">
      <formula>$E$7&lt;&gt;"Yes"</formula>
    </cfRule>
  </conditionalFormatting>
  <conditionalFormatting sqref="K451:L451">
    <cfRule type="expression" dxfId="6628" priority="7952">
      <formula>$E$7&lt;&gt;"Yes"</formula>
    </cfRule>
  </conditionalFormatting>
  <conditionalFormatting sqref="K451:L451">
    <cfRule type="expression" dxfId="6627" priority="7951">
      <formula>$E451&lt;&gt;"Yes"</formula>
    </cfRule>
  </conditionalFormatting>
  <conditionalFormatting sqref="N451">
    <cfRule type="expression" dxfId="6626" priority="7948">
      <formula>$E$7&lt;&gt;"Yes"</formula>
    </cfRule>
  </conditionalFormatting>
  <conditionalFormatting sqref="N451">
    <cfRule type="expression" dxfId="6625" priority="7947">
      <formula>$E451&lt;&gt;"Yes"</formula>
    </cfRule>
  </conditionalFormatting>
  <conditionalFormatting sqref="W451">
    <cfRule type="expression" dxfId="6624" priority="7950">
      <formula>$E$7&lt;&gt;"Yes"</formula>
    </cfRule>
  </conditionalFormatting>
  <conditionalFormatting sqref="W451">
    <cfRule type="expression" dxfId="6623" priority="7949">
      <formula>$E451&lt;&gt;"Yes"</formula>
    </cfRule>
  </conditionalFormatting>
  <conditionalFormatting sqref="AE451">
    <cfRule type="expression" dxfId="6622" priority="7946">
      <formula>$E$7&lt;&gt;"Yes"</formula>
    </cfRule>
  </conditionalFormatting>
  <conditionalFormatting sqref="AE451">
    <cfRule type="expression" dxfId="6621" priority="7945">
      <formula>$E451&lt;&gt;"Yes"</formula>
    </cfRule>
  </conditionalFormatting>
  <conditionalFormatting sqref="AB451">
    <cfRule type="expression" dxfId="6620" priority="7932">
      <formula>$E$7&lt;&gt;"Yes"</formula>
    </cfRule>
  </conditionalFormatting>
  <conditionalFormatting sqref="AB451">
    <cfRule type="expression" dxfId="6619" priority="7931">
      <formula>$E451&lt;&gt;"Yes"</formula>
    </cfRule>
  </conditionalFormatting>
  <conditionalFormatting sqref="AA451">
    <cfRule type="expression" dxfId="6618" priority="7930">
      <formula>$E$7&lt;&gt;"Yes"</formula>
    </cfRule>
  </conditionalFormatting>
  <conditionalFormatting sqref="AA451">
    <cfRule type="expression" dxfId="6617" priority="7929">
      <formula>$E451&lt;&gt;"Yes"</formula>
    </cfRule>
  </conditionalFormatting>
  <conditionalFormatting sqref="Y451">
    <cfRule type="expression" dxfId="6616" priority="7928">
      <formula>$E$7&lt;&gt;"Yes"</formula>
    </cfRule>
  </conditionalFormatting>
  <conditionalFormatting sqref="Y451">
    <cfRule type="expression" dxfId="6615" priority="7927">
      <formula>$E451&lt;&gt;"Yes"</formula>
    </cfRule>
  </conditionalFormatting>
  <conditionalFormatting sqref="O451:P451">
    <cfRule type="expression" dxfId="6614" priority="7926">
      <formula>$E$7&lt;&gt;"Yes"</formula>
    </cfRule>
  </conditionalFormatting>
  <conditionalFormatting sqref="O451:P451">
    <cfRule type="expression" dxfId="6613" priority="7925">
      <formula>$E451&lt;&gt;"Yes"</formula>
    </cfRule>
  </conditionalFormatting>
  <conditionalFormatting sqref="X451">
    <cfRule type="expression" dxfId="6612" priority="7924">
      <formula>$E$7&lt;&gt;"Yes"</formula>
    </cfRule>
  </conditionalFormatting>
  <conditionalFormatting sqref="X451">
    <cfRule type="expression" dxfId="6611" priority="7923">
      <formula>$E451&lt;&gt;"Yes"</formula>
    </cfRule>
  </conditionalFormatting>
  <conditionalFormatting sqref="AD451">
    <cfRule type="expression" dxfId="6610" priority="7920">
      <formula>$E$7&lt;&gt;"Yes"</formula>
    </cfRule>
  </conditionalFormatting>
  <conditionalFormatting sqref="AD451">
    <cfRule type="expression" dxfId="6609" priority="7919">
      <formula>$E451&lt;&gt;"Yes"</formula>
    </cfRule>
  </conditionalFormatting>
  <conditionalFormatting sqref="Y450 AF450:AH450 AJ450:AK450">
    <cfRule type="expression" dxfId="6608" priority="7873">
      <formula>$E$7&lt;&gt;"Yes"</formula>
    </cfRule>
  </conditionalFormatting>
  <conditionalFormatting sqref="Y450 AF450:AH450 AJ450:AK450">
    <cfRule type="expression" dxfId="6607" priority="7872">
      <formula>$E450&lt;&gt;"Yes"</formula>
    </cfRule>
  </conditionalFormatting>
  <conditionalFormatting sqref="Q450">
    <cfRule type="expression" dxfId="6606" priority="7871">
      <formula>$E$7&lt;&gt;"Yes"</formula>
    </cfRule>
  </conditionalFormatting>
  <conditionalFormatting sqref="Q450">
    <cfRule type="expression" dxfId="6605" priority="7870">
      <formula>$E450&lt;&gt;"Yes"</formula>
    </cfRule>
  </conditionalFormatting>
  <conditionalFormatting sqref="M450 F450:J450 Q450">
    <cfRule type="expression" dxfId="6604" priority="7869">
      <formula>$E$7&lt;&gt;"Yes"</formula>
    </cfRule>
  </conditionalFormatting>
  <conditionalFormatting sqref="M450 F450:J450 Q450">
    <cfRule type="expression" dxfId="6603" priority="7868">
      <formula>$E450&lt;&gt;"Yes"</formula>
    </cfRule>
  </conditionalFormatting>
  <conditionalFormatting sqref="G450">
    <cfRule type="expression" dxfId="6602" priority="7867">
      <formula>$E$7&lt;&gt;"Yes"</formula>
    </cfRule>
  </conditionalFormatting>
  <conditionalFormatting sqref="K450:L450">
    <cfRule type="expression" dxfId="6601" priority="7866">
      <formula>$E$7&lt;&gt;"Yes"</formula>
    </cfRule>
  </conditionalFormatting>
  <conditionalFormatting sqref="K450:L450">
    <cfRule type="expression" dxfId="6600" priority="7865">
      <formula>$E450&lt;&gt;"Yes"</formula>
    </cfRule>
  </conditionalFormatting>
  <conditionalFormatting sqref="N450">
    <cfRule type="expression" dxfId="6599" priority="7862">
      <formula>$E$7&lt;&gt;"Yes"</formula>
    </cfRule>
  </conditionalFormatting>
  <conditionalFormatting sqref="N450">
    <cfRule type="expression" dxfId="6598" priority="7861">
      <formula>$E450&lt;&gt;"Yes"</formula>
    </cfRule>
  </conditionalFormatting>
  <conditionalFormatting sqref="W450">
    <cfRule type="expression" dxfId="6597" priority="7864">
      <formula>$E$7&lt;&gt;"Yes"</formula>
    </cfRule>
  </conditionalFormatting>
  <conditionalFormatting sqref="W450">
    <cfRule type="expression" dxfId="6596" priority="7863">
      <formula>$E450&lt;&gt;"Yes"</formula>
    </cfRule>
  </conditionalFormatting>
  <conditionalFormatting sqref="AE450">
    <cfRule type="expression" dxfId="6595" priority="7860">
      <formula>$E$7&lt;&gt;"Yes"</formula>
    </cfRule>
  </conditionalFormatting>
  <conditionalFormatting sqref="AE450">
    <cfRule type="expression" dxfId="6594" priority="7859">
      <formula>$E450&lt;&gt;"Yes"</formula>
    </cfRule>
  </conditionalFormatting>
  <conditionalFormatting sqref="AB450">
    <cfRule type="expression" dxfId="6593" priority="7846">
      <formula>$E$7&lt;&gt;"Yes"</formula>
    </cfRule>
  </conditionalFormatting>
  <conditionalFormatting sqref="AB450">
    <cfRule type="expression" dxfId="6592" priority="7845">
      <formula>$E450&lt;&gt;"Yes"</formula>
    </cfRule>
  </conditionalFormatting>
  <conditionalFormatting sqref="AA450">
    <cfRule type="expression" dxfId="6591" priority="7844">
      <formula>$E$7&lt;&gt;"Yes"</formula>
    </cfRule>
  </conditionalFormatting>
  <conditionalFormatting sqref="AA450">
    <cfRule type="expression" dxfId="6590" priority="7843">
      <formula>$E450&lt;&gt;"Yes"</formula>
    </cfRule>
  </conditionalFormatting>
  <conditionalFormatting sqref="Y450">
    <cfRule type="expression" dxfId="6589" priority="7842">
      <formula>$E$7&lt;&gt;"Yes"</formula>
    </cfRule>
  </conditionalFormatting>
  <conditionalFormatting sqref="Y450">
    <cfRule type="expression" dxfId="6588" priority="7841">
      <formula>$E450&lt;&gt;"Yes"</formula>
    </cfRule>
  </conditionalFormatting>
  <conditionalFormatting sqref="O450:P450">
    <cfRule type="expression" dxfId="6587" priority="7840">
      <formula>$E$7&lt;&gt;"Yes"</formula>
    </cfRule>
  </conditionalFormatting>
  <conditionalFormatting sqref="O450:P450">
    <cfRule type="expression" dxfId="6586" priority="7839">
      <formula>$E450&lt;&gt;"Yes"</formula>
    </cfRule>
  </conditionalFormatting>
  <conditionalFormatting sqref="X450">
    <cfRule type="expression" dxfId="6585" priority="7838">
      <formula>$E$7&lt;&gt;"Yes"</formula>
    </cfRule>
  </conditionalFormatting>
  <conditionalFormatting sqref="X450">
    <cfRule type="expression" dxfId="6584" priority="7837">
      <formula>$E450&lt;&gt;"Yes"</formula>
    </cfRule>
  </conditionalFormatting>
  <conditionalFormatting sqref="AD450">
    <cfRule type="expression" dxfId="6583" priority="7834">
      <formula>$E$7&lt;&gt;"Yes"</formula>
    </cfRule>
  </conditionalFormatting>
  <conditionalFormatting sqref="AD450">
    <cfRule type="expression" dxfId="6582" priority="7833">
      <formula>$E450&lt;&gt;"Yes"</formula>
    </cfRule>
  </conditionalFormatting>
  <conditionalFormatting sqref="Y461 AF461:AH461 AJ461:AK461">
    <cfRule type="expression" dxfId="6581" priority="7830">
      <formula>$E$7&lt;&gt;"Yes"</formula>
    </cfRule>
  </conditionalFormatting>
  <conditionalFormatting sqref="Y461 AF461:AH461 AJ461:AK461">
    <cfRule type="expression" dxfId="6580" priority="7829">
      <formula>$E461&lt;&gt;"Yes"</formula>
    </cfRule>
  </conditionalFormatting>
  <conditionalFormatting sqref="Q461">
    <cfRule type="expression" dxfId="6579" priority="7828">
      <formula>$E$7&lt;&gt;"Yes"</formula>
    </cfRule>
  </conditionalFormatting>
  <conditionalFormatting sqref="Q461">
    <cfRule type="expression" dxfId="6578" priority="7827">
      <formula>$E461&lt;&gt;"Yes"</formula>
    </cfRule>
  </conditionalFormatting>
  <conditionalFormatting sqref="M461 F461:J461 Q461">
    <cfRule type="expression" dxfId="6577" priority="7826">
      <formula>$E$7&lt;&gt;"Yes"</formula>
    </cfRule>
  </conditionalFormatting>
  <conditionalFormatting sqref="M461 F461:J461 Q461">
    <cfRule type="expression" dxfId="6576" priority="7825">
      <formula>$E461&lt;&gt;"Yes"</formula>
    </cfRule>
  </conditionalFormatting>
  <conditionalFormatting sqref="G461">
    <cfRule type="expression" dxfId="6575" priority="7824">
      <formula>$E$7&lt;&gt;"Yes"</formula>
    </cfRule>
  </conditionalFormatting>
  <conditionalFormatting sqref="K461:L461">
    <cfRule type="expression" dxfId="6574" priority="7823">
      <formula>$E$7&lt;&gt;"Yes"</formula>
    </cfRule>
  </conditionalFormatting>
  <conditionalFormatting sqref="K461:L461">
    <cfRule type="expression" dxfId="6573" priority="7822">
      <formula>$E461&lt;&gt;"Yes"</formula>
    </cfRule>
  </conditionalFormatting>
  <conditionalFormatting sqref="N461">
    <cfRule type="expression" dxfId="6572" priority="7819">
      <formula>$E$7&lt;&gt;"Yes"</formula>
    </cfRule>
  </conditionalFormatting>
  <conditionalFormatting sqref="N461">
    <cfRule type="expression" dxfId="6571" priority="7818">
      <formula>$E461&lt;&gt;"Yes"</formula>
    </cfRule>
  </conditionalFormatting>
  <conditionalFormatting sqref="W461">
    <cfRule type="expression" dxfId="6570" priority="7821">
      <formula>$E$7&lt;&gt;"Yes"</formula>
    </cfRule>
  </conditionalFormatting>
  <conditionalFormatting sqref="W461">
    <cfRule type="expression" dxfId="6569" priority="7820">
      <formula>$E461&lt;&gt;"Yes"</formula>
    </cfRule>
  </conditionalFormatting>
  <conditionalFormatting sqref="AE461">
    <cfRule type="expression" dxfId="6568" priority="7817">
      <formula>$E$7&lt;&gt;"Yes"</formula>
    </cfRule>
  </conditionalFormatting>
  <conditionalFormatting sqref="AE461">
    <cfRule type="expression" dxfId="6567" priority="7816">
      <formula>$E461&lt;&gt;"Yes"</formula>
    </cfRule>
  </conditionalFormatting>
  <conditionalFormatting sqref="AB461">
    <cfRule type="expression" dxfId="6566" priority="7803">
      <formula>$E$7&lt;&gt;"Yes"</formula>
    </cfRule>
  </conditionalFormatting>
  <conditionalFormatting sqref="AB461">
    <cfRule type="expression" dxfId="6565" priority="7802">
      <formula>$E461&lt;&gt;"Yes"</formula>
    </cfRule>
  </conditionalFormatting>
  <conditionalFormatting sqref="AA461">
    <cfRule type="expression" dxfId="6564" priority="7801">
      <formula>$E$7&lt;&gt;"Yes"</formula>
    </cfRule>
  </conditionalFormatting>
  <conditionalFormatting sqref="AA461">
    <cfRule type="expression" dxfId="6563" priority="7800">
      <formula>$E461&lt;&gt;"Yes"</formula>
    </cfRule>
  </conditionalFormatting>
  <conditionalFormatting sqref="Y461">
    <cfRule type="expression" dxfId="6562" priority="7799">
      <formula>$E$7&lt;&gt;"Yes"</formula>
    </cfRule>
  </conditionalFormatting>
  <conditionalFormatting sqref="Y461">
    <cfRule type="expression" dxfId="6561" priority="7798">
      <formula>$E461&lt;&gt;"Yes"</formula>
    </cfRule>
  </conditionalFormatting>
  <conditionalFormatting sqref="O461:P461">
    <cfRule type="expression" dxfId="6560" priority="7797">
      <formula>$E$7&lt;&gt;"Yes"</formula>
    </cfRule>
  </conditionalFormatting>
  <conditionalFormatting sqref="O461:P461">
    <cfRule type="expression" dxfId="6559" priority="7796">
      <formula>$E461&lt;&gt;"Yes"</formula>
    </cfRule>
  </conditionalFormatting>
  <conditionalFormatting sqref="X461">
    <cfRule type="expression" dxfId="6558" priority="7795">
      <formula>$E$7&lt;&gt;"Yes"</formula>
    </cfRule>
  </conditionalFormatting>
  <conditionalFormatting sqref="X461">
    <cfRule type="expression" dxfId="6557" priority="7794">
      <formula>$E461&lt;&gt;"Yes"</formula>
    </cfRule>
  </conditionalFormatting>
  <conditionalFormatting sqref="AD461">
    <cfRule type="expression" dxfId="6556" priority="7791">
      <formula>$E$7&lt;&gt;"Yes"</formula>
    </cfRule>
  </conditionalFormatting>
  <conditionalFormatting sqref="AD461">
    <cfRule type="expression" dxfId="6555" priority="7790">
      <formula>$E461&lt;&gt;"Yes"</formula>
    </cfRule>
  </conditionalFormatting>
  <conditionalFormatting sqref="Y443 AF443:AH443 AJ443:AK443">
    <cfRule type="expression" dxfId="6554" priority="7701">
      <formula>$E$7&lt;&gt;"Yes"</formula>
    </cfRule>
  </conditionalFormatting>
  <conditionalFormatting sqref="Y443 AF443:AH443 AJ443:AK443">
    <cfRule type="expression" dxfId="6553" priority="7700">
      <formula>$E443&lt;&gt;"Yes"</formula>
    </cfRule>
  </conditionalFormatting>
  <conditionalFormatting sqref="Q443">
    <cfRule type="expression" dxfId="6552" priority="7699">
      <formula>$E$7&lt;&gt;"Yes"</formula>
    </cfRule>
  </conditionalFormatting>
  <conditionalFormatting sqref="Q443">
    <cfRule type="expression" dxfId="6551" priority="7698">
      <formula>$E443&lt;&gt;"Yes"</formula>
    </cfRule>
  </conditionalFormatting>
  <conditionalFormatting sqref="M443 F443:J443 Q443">
    <cfRule type="expression" dxfId="6550" priority="7697">
      <formula>$E$7&lt;&gt;"Yes"</formula>
    </cfRule>
  </conditionalFormatting>
  <conditionalFormatting sqref="M443 F443:J443 Q443">
    <cfRule type="expression" dxfId="6549" priority="7696">
      <formula>$E443&lt;&gt;"Yes"</formula>
    </cfRule>
  </conditionalFormatting>
  <conditionalFormatting sqref="G443">
    <cfRule type="expression" dxfId="6548" priority="7695">
      <formula>$E$7&lt;&gt;"Yes"</formula>
    </cfRule>
  </conditionalFormatting>
  <conditionalFormatting sqref="K443:L443">
    <cfRule type="expression" dxfId="6547" priority="7694">
      <formula>$E$7&lt;&gt;"Yes"</formula>
    </cfRule>
  </conditionalFormatting>
  <conditionalFormatting sqref="K443:L443">
    <cfRule type="expression" dxfId="6546" priority="7693">
      <formula>$E443&lt;&gt;"Yes"</formula>
    </cfRule>
  </conditionalFormatting>
  <conditionalFormatting sqref="N443">
    <cfRule type="expression" dxfId="6545" priority="7690">
      <formula>$E$7&lt;&gt;"Yes"</formula>
    </cfRule>
  </conditionalFormatting>
  <conditionalFormatting sqref="N443">
    <cfRule type="expression" dxfId="6544" priority="7689">
      <formula>$E443&lt;&gt;"Yes"</formula>
    </cfRule>
  </conditionalFormatting>
  <conditionalFormatting sqref="W443">
    <cfRule type="expression" dxfId="6543" priority="7692">
      <formula>$E$7&lt;&gt;"Yes"</formula>
    </cfRule>
  </conditionalFormatting>
  <conditionalFormatting sqref="W443">
    <cfRule type="expression" dxfId="6542" priority="7691">
      <formula>$E443&lt;&gt;"Yes"</formula>
    </cfRule>
  </conditionalFormatting>
  <conditionalFormatting sqref="AE443">
    <cfRule type="expression" dxfId="6541" priority="7688">
      <formula>$E$7&lt;&gt;"Yes"</formula>
    </cfRule>
  </conditionalFormatting>
  <conditionalFormatting sqref="AE443">
    <cfRule type="expression" dxfId="6540" priority="7687">
      <formula>$E443&lt;&gt;"Yes"</formula>
    </cfRule>
  </conditionalFormatting>
  <conditionalFormatting sqref="AB443">
    <cfRule type="expression" dxfId="6539" priority="7674">
      <formula>$E$7&lt;&gt;"Yes"</formula>
    </cfRule>
  </conditionalFormatting>
  <conditionalFormatting sqref="AB443">
    <cfRule type="expression" dxfId="6538" priority="7673">
      <formula>$E443&lt;&gt;"Yes"</formula>
    </cfRule>
  </conditionalFormatting>
  <conditionalFormatting sqref="AA443">
    <cfRule type="expression" dxfId="6537" priority="7672">
      <formula>$E$7&lt;&gt;"Yes"</formula>
    </cfRule>
  </conditionalFormatting>
  <conditionalFormatting sqref="AA443">
    <cfRule type="expression" dxfId="6536" priority="7671">
      <formula>$E443&lt;&gt;"Yes"</formula>
    </cfRule>
  </conditionalFormatting>
  <conditionalFormatting sqref="Y443">
    <cfRule type="expression" dxfId="6535" priority="7670">
      <formula>$E$7&lt;&gt;"Yes"</formula>
    </cfRule>
  </conditionalFormatting>
  <conditionalFormatting sqref="Y443">
    <cfRule type="expression" dxfId="6534" priority="7669">
      <formula>$E443&lt;&gt;"Yes"</formula>
    </cfRule>
  </conditionalFormatting>
  <conditionalFormatting sqref="O443:P443">
    <cfRule type="expression" dxfId="6533" priority="7668">
      <formula>$E$7&lt;&gt;"Yes"</formula>
    </cfRule>
  </conditionalFormatting>
  <conditionalFormatting sqref="O443:P443">
    <cfRule type="expression" dxfId="6532" priority="7667">
      <formula>$E443&lt;&gt;"Yes"</formula>
    </cfRule>
  </conditionalFormatting>
  <conditionalFormatting sqref="X443">
    <cfRule type="expression" dxfId="6531" priority="7666">
      <formula>$E$7&lt;&gt;"Yes"</formula>
    </cfRule>
  </conditionalFormatting>
  <conditionalFormatting sqref="X443">
    <cfRule type="expression" dxfId="6530" priority="7665">
      <formula>$E443&lt;&gt;"Yes"</formula>
    </cfRule>
  </conditionalFormatting>
  <conditionalFormatting sqref="AD443">
    <cfRule type="expression" dxfId="6529" priority="7662">
      <formula>$E$7&lt;&gt;"Yes"</formula>
    </cfRule>
  </conditionalFormatting>
  <conditionalFormatting sqref="AD443">
    <cfRule type="expression" dxfId="6528" priority="7661">
      <formula>$E443&lt;&gt;"Yes"</formula>
    </cfRule>
  </conditionalFormatting>
  <conditionalFormatting sqref="Y452 AF452:AH452 AJ452:AK452">
    <cfRule type="expression" dxfId="6527" priority="7658">
      <formula>$E$7&lt;&gt;"Yes"</formula>
    </cfRule>
  </conditionalFormatting>
  <conditionalFormatting sqref="Y452 AF452:AH452 AJ452:AK452">
    <cfRule type="expression" dxfId="6526" priority="7657">
      <formula>$E452&lt;&gt;"Yes"</formula>
    </cfRule>
  </conditionalFormatting>
  <conditionalFormatting sqref="Q452">
    <cfRule type="expression" dxfId="6525" priority="7656">
      <formula>$E$7&lt;&gt;"Yes"</formula>
    </cfRule>
  </conditionalFormatting>
  <conditionalFormatting sqref="Q452">
    <cfRule type="expression" dxfId="6524" priority="7655">
      <formula>$E452&lt;&gt;"Yes"</formula>
    </cfRule>
  </conditionalFormatting>
  <conditionalFormatting sqref="M452 F452:J452 Q452">
    <cfRule type="expression" dxfId="6523" priority="7654">
      <formula>$E$7&lt;&gt;"Yes"</formula>
    </cfRule>
  </conditionalFormatting>
  <conditionalFormatting sqref="M452 F452:J452 Q452">
    <cfRule type="expression" dxfId="6522" priority="7653">
      <formula>$E452&lt;&gt;"Yes"</formula>
    </cfRule>
  </conditionalFormatting>
  <conditionalFormatting sqref="G452">
    <cfRule type="expression" dxfId="6521" priority="7652">
      <formula>$E$7&lt;&gt;"Yes"</formula>
    </cfRule>
  </conditionalFormatting>
  <conditionalFormatting sqref="K452:L452">
    <cfRule type="expression" dxfId="6520" priority="7651">
      <formula>$E$7&lt;&gt;"Yes"</formula>
    </cfRule>
  </conditionalFormatting>
  <conditionalFormatting sqref="K452:L452">
    <cfRule type="expression" dxfId="6519" priority="7650">
      <formula>$E452&lt;&gt;"Yes"</formula>
    </cfRule>
  </conditionalFormatting>
  <conditionalFormatting sqref="N452">
    <cfRule type="expression" dxfId="6518" priority="7647">
      <formula>$E$7&lt;&gt;"Yes"</formula>
    </cfRule>
  </conditionalFormatting>
  <conditionalFormatting sqref="N452">
    <cfRule type="expression" dxfId="6517" priority="7646">
      <formula>$E452&lt;&gt;"Yes"</formula>
    </cfRule>
  </conditionalFormatting>
  <conditionalFormatting sqref="W452">
    <cfRule type="expression" dxfId="6516" priority="7649">
      <formula>$E$7&lt;&gt;"Yes"</formula>
    </cfRule>
  </conditionalFormatting>
  <conditionalFormatting sqref="W452">
    <cfRule type="expression" dxfId="6515" priority="7648">
      <formula>$E452&lt;&gt;"Yes"</formula>
    </cfRule>
  </conditionalFormatting>
  <conditionalFormatting sqref="AE452">
    <cfRule type="expression" dxfId="6514" priority="7645">
      <formula>$E$7&lt;&gt;"Yes"</formula>
    </cfRule>
  </conditionalFormatting>
  <conditionalFormatting sqref="AE452">
    <cfRule type="expression" dxfId="6513" priority="7644">
      <formula>$E452&lt;&gt;"Yes"</formula>
    </cfRule>
  </conditionalFormatting>
  <conditionalFormatting sqref="AB452">
    <cfRule type="expression" dxfId="6512" priority="7631">
      <formula>$E$7&lt;&gt;"Yes"</formula>
    </cfRule>
  </conditionalFormatting>
  <conditionalFormatting sqref="AB452">
    <cfRule type="expression" dxfId="6511" priority="7630">
      <formula>$E452&lt;&gt;"Yes"</formula>
    </cfRule>
  </conditionalFormatting>
  <conditionalFormatting sqref="AA452">
    <cfRule type="expression" dxfId="6510" priority="7629">
      <formula>$E$7&lt;&gt;"Yes"</formula>
    </cfRule>
  </conditionalFormatting>
  <conditionalFormatting sqref="AA452">
    <cfRule type="expression" dxfId="6509" priority="7628">
      <formula>$E452&lt;&gt;"Yes"</formula>
    </cfRule>
  </conditionalFormatting>
  <conditionalFormatting sqref="Y452">
    <cfRule type="expression" dxfId="6508" priority="7627">
      <formula>$E$7&lt;&gt;"Yes"</formula>
    </cfRule>
  </conditionalFormatting>
  <conditionalFormatting sqref="Y452">
    <cfRule type="expression" dxfId="6507" priority="7626">
      <formula>$E452&lt;&gt;"Yes"</formula>
    </cfRule>
  </conditionalFormatting>
  <conditionalFormatting sqref="O452:P452">
    <cfRule type="expression" dxfId="6506" priority="7625">
      <formula>$E$7&lt;&gt;"Yes"</formula>
    </cfRule>
  </conditionalFormatting>
  <conditionalFormatting sqref="O452:P452">
    <cfRule type="expression" dxfId="6505" priority="7624">
      <formula>$E452&lt;&gt;"Yes"</formula>
    </cfRule>
  </conditionalFormatting>
  <conditionalFormatting sqref="X452">
    <cfRule type="expression" dxfId="6504" priority="7623">
      <formula>$E$7&lt;&gt;"Yes"</formula>
    </cfRule>
  </conditionalFormatting>
  <conditionalFormatting sqref="X452">
    <cfRule type="expression" dxfId="6503" priority="7622">
      <formula>$E452&lt;&gt;"Yes"</formula>
    </cfRule>
  </conditionalFormatting>
  <conditionalFormatting sqref="AD452">
    <cfRule type="expression" dxfId="6502" priority="7619">
      <formula>$E$7&lt;&gt;"Yes"</formula>
    </cfRule>
  </conditionalFormatting>
  <conditionalFormatting sqref="AD452">
    <cfRule type="expression" dxfId="6501" priority="7618">
      <formula>$E452&lt;&gt;"Yes"</formula>
    </cfRule>
  </conditionalFormatting>
  <conditionalFormatting sqref="Y448 AF448:AH448 AJ448:AK448">
    <cfRule type="expression" dxfId="6500" priority="7615">
      <formula>$E$7&lt;&gt;"Yes"</formula>
    </cfRule>
  </conditionalFormatting>
  <conditionalFormatting sqref="Y448 AF448:AH448 AJ448:AK448">
    <cfRule type="expression" dxfId="6499" priority="7614">
      <formula>$E448&lt;&gt;"Yes"</formula>
    </cfRule>
  </conditionalFormatting>
  <conditionalFormatting sqref="Q448">
    <cfRule type="expression" dxfId="6498" priority="7613">
      <formula>$E$7&lt;&gt;"Yes"</formula>
    </cfRule>
  </conditionalFormatting>
  <conditionalFormatting sqref="Q448">
    <cfRule type="expression" dxfId="6497" priority="7612">
      <formula>$E448&lt;&gt;"Yes"</formula>
    </cfRule>
  </conditionalFormatting>
  <conditionalFormatting sqref="M448 F448:J448 Q448">
    <cfRule type="expression" dxfId="6496" priority="7611">
      <formula>$E$7&lt;&gt;"Yes"</formula>
    </cfRule>
  </conditionalFormatting>
  <conditionalFormatting sqref="M448 F448:J448 Q448">
    <cfRule type="expression" dxfId="6495" priority="7610">
      <formula>$E448&lt;&gt;"Yes"</formula>
    </cfRule>
  </conditionalFormatting>
  <conditionalFormatting sqref="G448">
    <cfRule type="expression" dxfId="6494" priority="7609">
      <formula>$E$7&lt;&gt;"Yes"</formula>
    </cfRule>
  </conditionalFormatting>
  <conditionalFormatting sqref="K448:L448">
    <cfRule type="expression" dxfId="6493" priority="7608">
      <formula>$E$7&lt;&gt;"Yes"</formula>
    </cfRule>
  </conditionalFormatting>
  <conditionalFormatting sqref="K448:L448">
    <cfRule type="expression" dxfId="6492" priority="7607">
      <formula>$E448&lt;&gt;"Yes"</formula>
    </cfRule>
  </conditionalFormatting>
  <conditionalFormatting sqref="N448">
    <cfRule type="expression" dxfId="6491" priority="7604">
      <formula>$E$7&lt;&gt;"Yes"</formula>
    </cfRule>
  </conditionalFormatting>
  <conditionalFormatting sqref="N448">
    <cfRule type="expression" dxfId="6490" priority="7603">
      <formula>$E448&lt;&gt;"Yes"</formula>
    </cfRule>
  </conditionalFormatting>
  <conditionalFormatting sqref="W448">
    <cfRule type="expression" dxfId="6489" priority="7606">
      <formula>$E$7&lt;&gt;"Yes"</formula>
    </cfRule>
  </conditionalFormatting>
  <conditionalFormatting sqref="W448">
    <cfRule type="expression" dxfId="6488" priority="7605">
      <formula>$E448&lt;&gt;"Yes"</formula>
    </cfRule>
  </conditionalFormatting>
  <conditionalFormatting sqref="AE448">
    <cfRule type="expression" dxfId="6487" priority="7602">
      <formula>$E$7&lt;&gt;"Yes"</formula>
    </cfRule>
  </conditionalFormatting>
  <conditionalFormatting sqref="AE448">
    <cfRule type="expression" dxfId="6486" priority="7601">
      <formula>$E448&lt;&gt;"Yes"</formula>
    </cfRule>
  </conditionalFormatting>
  <conditionalFormatting sqref="AB448">
    <cfRule type="expression" dxfId="6485" priority="7588">
      <formula>$E$7&lt;&gt;"Yes"</formula>
    </cfRule>
  </conditionalFormatting>
  <conditionalFormatting sqref="AB448">
    <cfRule type="expression" dxfId="6484" priority="7587">
      <formula>$E448&lt;&gt;"Yes"</formula>
    </cfRule>
  </conditionalFormatting>
  <conditionalFormatting sqref="AA448">
    <cfRule type="expression" dxfId="6483" priority="7586">
      <formula>$E$7&lt;&gt;"Yes"</formula>
    </cfRule>
  </conditionalFormatting>
  <conditionalFormatting sqref="AA448">
    <cfRule type="expression" dxfId="6482" priority="7585">
      <formula>$E448&lt;&gt;"Yes"</formula>
    </cfRule>
  </conditionalFormatting>
  <conditionalFormatting sqref="Y448">
    <cfRule type="expression" dxfId="6481" priority="7584">
      <formula>$E$7&lt;&gt;"Yes"</formula>
    </cfRule>
  </conditionalFormatting>
  <conditionalFormatting sqref="Y448">
    <cfRule type="expression" dxfId="6480" priority="7583">
      <formula>$E448&lt;&gt;"Yes"</formula>
    </cfRule>
  </conditionalFormatting>
  <conditionalFormatting sqref="O448:P448">
    <cfRule type="expression" dxfId="6479" priority="7582">
      <formula>$E$7&lt;&gt;"Yes"</formula>
    </cfRule>
  </conditionalFormatting>
  <conditionalFormatting sqref="O448:P448">
    <cfRule type="expression" dxfId="6478" priority="7581">
      <formula>$E448&lt;&gt;"Yes"</formula>
    </cfRule>
  </conditionalFormatting>
  <conditionalFormatting sqref="X448">
    <cfRule type="expression" dxfId="6477" priority="7580">
      <formula>$E$7&lt;&gt;"Yes"</formula>
    </cfRule>
  </conditionalFormatting>
  <conditionalFormatting sqref="X448">
    <cfRule type="expression" dxfId="6476" priority="7579">
      <formula>$E448&lt;&gt;"Yes"</formula>
    </cfRule>
  </conditionalFormatting>
  <conditionalFormatting sqref="AD448">
    <cfRule type="expression" dxfId="6475" priority="7576">
      <formula>$E$7&lt;&gt;"Yes"</formula>
    </cfRule>
  </conditionalFormatting>
  <conditionalFormatting sqref="AD448">
    <cfRule type="expression" dxfId="6474" priority="7575">
      <formula>$E448&lt;&gt;"Yes"</formula>
    </cfRule>
  </conditionalFormatting>
  <conditionalFormatting sqref="Q254 Y254 AF254:AH254 F254:J254 M254 AJ254:AK254">
    <cfRule type="expression" dxfId="6473" priority="7572">
      <formula>$E$7&lt;&gt;"Yes"</formula>
    </cfRule>
  </conditionalFormatting>
  <conditionalFormatting sqref="Q254 Y254 AF254:AH254 F254:J254 M254 AJ254:AK254">
    <cfRule type="expression" dxfId="6472" priority="7571">
      <formula>$E254&lt;&gt;"Yes"</formula>
    </cfRule>
  </conditionalFormatting>
  <conditionalFormatting sqref="G254">
    <cfRule type="expression" dxfId="6471" priority="7570">
      <formula>$E$7&lt;&gt;"Yes"</formula>
    </cfRule>
  </conditionalFormatting>
  <conditionalFormatting sqref="K254:L254">
    <cfRule type="expression" dxfId="6470" priority="7569">
      <formula>$E$7&lt;&gt;"Yes"</formula>
    </cfRule>
  </conditionalFormatting>
  <conditionalFormatting sqref="K254:L254">
    <cfRule type="expression" dxfId="6469" priority="7568">
      <formula>$E254&lt;&gt;"Yes"</formula>
    </cfRule>
  </conditionalFormatting>
  <conditionalFormatting sqref="W254">
    <cfRule type="expression" dxfId="6468" priority="7567">
      <formula>$E$7&lt;&gt;"Yes"</formula>
    </cfRule>
  </conditionalFormatting>
  <conditionalFormatting sqref="W254">
    <cfRule type="expression" dxfId="6467" priority="7566">
      <formula>$E254&lt;&gt;"Yes"</formula>
    </cfRule>
  </conditionalFormatting>
  <conditionalFormatting sqref="AE254">
    <cfRule type="expression" dxfId="6466" priority="7565">
      <formula>$E$7&lt;&gt;"Yes"</formula>
    </cfRule>
  </conditionalFormatting>
  <conditionalFormatting sqref="AE254">
    <cfRule type="expression" dxfId="6465" priority="7564">
      <formula>$E254&lt;&gt;"Yes"</formula>
    </cfRule>
  </conditionalFormatting>
  <conditionalFormatting sqref="N254">
    <cfRule type="expression" dxfId="6464" priority="7563">
      <formula>$E$7&lt;&gt;"Yes"</formula>
    </cfRule>
  </conditionalFormatting>
  <conditionalFormatting sqref="N254">
    <cfRule type="expression" dxfId="6463" priority="7562">
      <formula>$E254&lt;&gt;"Yes"</formula>
    </cfRule>
  </conditionalFormatting>
  <conditionalFormatting sqref="AB254">
    <cfRule type="expression" dxfId="6462" priority="7549">
      <formula>$E$7&lt;&gt;"Yes"</formula>
    </cfRule>
  </conditionalFormatting>
  <conditionalFormatting sqref="AB254">
    <cfRule type="expression" dxfId="6461" priority="7548">
      <formula>$E254&lt;&gt;"Yes"</formula>
    </cfRule>
  </conditionalFormatting>
  <conditionalFormatting sqref="AA254">
    <cfRule type="expression" dxfId="6460" priority="7547">
      <formula>$E$7&lt;&gt;"Yes"</formula>
    </cfRule>
  </conditionalFormatting>
  <conditionalFormatting sqref="AA254">
    <cfRule type="expression" dxfId="6459" priority="7546">
      <formula>$E254&lt;&gt;"Yes"</formula>
    </cfRule>
  </conditionalFormatting>
  <conditionalFormatting sqref="Y254">
    <cfRule type="expression" dxfId="6458" priority="7545">
      <formula>$E$7&lt;&gt;"Yes"</formula>
    </cfRule>
  </conditionalFormatting>
  <conditionalFormatting sqref="Y254">
    <cfRule type="expression" dxfId="6457" priority="7544">
      <formula>$E254&lt;&gt;"Yes"</formula>
    </cfRule>
  </conditionalFormatting>
  <conditionalFormatting sqref="O254:P254">
    <cfRule type="expression" dxfId="6456" priority="7543">
      <formula>$E$7&lt;&gt;"Yes"</formula>
    </cfRule>
  </conditionalFormatting>
  <conditionalFormatting sqref="O254:P254">
    <cfRule type="expression" dxfId="6455" priority="7542">
      <formula>$E254&lt;&gt;"Yes"</formula>
    </cfRule>
  </conditionalFormatting>
  <conditionalFormatting sqref="X254">
    <cfRule type="expression" dxfId="6454" priority="7541">
      <formula>$E$7&lt;&gt;"Yes"</formula>
    </cfRule>
  </conditionalFormatting>
  <conditionalFormatting sqref="X254">
    <cfRule type="expression" dxfId="6453" priority="7540">
      <formula>$E254&lt;&gt;"Yes"</formula>
    </cfRule>
  </conditionalFormatting>
  <conditionalFormatting sqref="AD254">
    <cfRule type="expression" dxfId="6452" priority="7537">
      <formula>$E$7&lt;&gt;"Yes"</formula>
    </cfRule>
  </conditionalFormatting>
  <conditionalFormatting sqref="AD254">
    <cfRule type="expression" dxfId="6451" priority="7536">
      <formula>$E254&lt;&gt;"Yes"</formula>
    </cfRule>
  </conditionalFormatting>
  <conditionalFormatting sqref="Q352 Y352 AF352:AH352 F352:J352 M352 AJ352:AK352">
    <cfRule type="expression" dxfId="6450" priority="7533">
      <formula>$E$7&lt;&gt;"Yes"</formula>
    </cfRule>
  </conditionalFormatting>
  <conditionalFormatting sqref="Q352 Y352 AF352:AH352 F352:J352 M352 AJ352:AK352">
    <cfRule type="expression" dxfId="6449" priority="7532">
      <formula>$E352&lt;&gt;"Yes"</formula>
    </cfRule>
  </conditionalFormatting>
  <conditionalFormatting sqref="G352">
    <cfRule type="expression" dxfId="6448" priority="7531">
      <formula>$E$7&lt;&gt;"Yes"</formula>
    </cfRule>
  </conditionalFormatting>
  <conditionalFormatting sqref="K352:L352">
    <cfRule type="expression" dxfId="6447" priority="7530">
      <formula>$E$7&lt;&gt;"Yes"</formula>
    </cfRule>
  </conditionalFormatting>
  <conditionalFormatting sqref="K352:L352">
    <cfRule type="expression" dxfId="6446" priority="7529">
      <formula>$E352&lt;&gt;"Yes"</formula>
    </cfRule>
  </conditionalFormatting>
  <conditionalFormatting sqref="W352">
    <cfRule type="expression" dxfId="6445" priority="7528">
      <formula>$E$7&lt;&gt;"Yes"</formula>
    </cfRule>
  </conditionalFormatting>
  <conditionalFormatting sqref="W352">
    <cfRule type="expression" dxfId="6444" priority="7527">
      <formula>$E352&lt;&gt;"Yes"</formula>
    </cfRule>
  </conditionalFormatting>
  <conditionalFormatting sqref="AE352">
    <cfRule type="expression" dxfId="6443" priority="7526">
      <formula>$E$7&lt;&gt;"Yes"</formula>
    </cfRule>
  </conditionalFormatting>
  <conditionalFormatting sqref="AE352">
    <cfRule type="expression" dxfId="6442" priority="7525">
      <formula>$E352&lt;&gt;"Yes"</formula>
    </cfRule>
  </conditionalFormatting>
  <conditionalFormatting sqref="N352">
    <cfRule type="expression" dxfId="6441" priority="7524">
      <formula>$E$7&lt;&gt;"Yes"</formula>
    </cfRule>
  </conditionalFormatting>
  <conditionalFormatting sqref="N352">
    <cfRule type="expression" dxfId="6440" priority="7523">
      <formula>$E352&lt;&gt;"Yes"</formula>
    </cfRule>
  </conditionalFormatting>
  <conditionalFormatting sqref="AB352">
    <cfRule type="expression" dxfId="6439" priority="7510">
      <formula>$E$7&lt;&gt;"Yes"</formula>
    </cfRule>
  </conditionalFormatting>
  <conditionalFormatting sqref="AB352">
    <cfRule type="expression" dxfId="6438" priority="7509">
      <formula>$E352&lt;&gt;"Yes"</formula>
    </cfRule>
  </conditionalFormatting>
  <conditionalFormatting sqref="AA352">
    <cfRule type="expression" dxfId="6437" priority="7508">
      <formula>$E$7&lt;&gt;"Yes"</formula>
    </cfRule>
  </conditionalFormatting>
  <conditionalFormatting sqref="AA352">
    <cfRule type="expression" dxfId="6436" priority="7507">
      <formula>$E352&lt;&gt;"Yes"</formula>
    </cfRule>
  </conditionalFormatting>
  <conditionalFormatting sqref="Y352">
    <cfRule type="expression" dxfId="6435" priority="7506">
      <formula>$E$7&lt;&gt;"Yes"</formula>
    </cfRule>
  </conditionalFormatting>
  <conditionalFormatting sqref="Y352">
    <cfRule type="expression" dxfId="6434" priority="7505">
      <formula>$E352&lt;&gt;"Yes"</formula>
    </cfRule>
  </conditionalFormatting>
  <conditionalFormatting sqref="O352:P352">
    <cfRule type="expression" dxfId="6433" priority="7504">
      <formula>$E$7&lt;&gt;"Yes"</formula>
    </cfRule>
  </conditionalFormatting>
  <conditionalFormatting sqref="O352:P352">
    <cfRule type="expression" dxfId="6432" priority="7503">
      <formula>$E352&lt;&gt;"Yes"</formula>
    </cfRule>
  </conditionalFormatting>
  <conditionalFormatting sqref="X352">
    <cfRule type="expression" dxfId="6431" priority="7502">
      <formula>$E$7&lt;&gt;"Yes"</formula>
    </cfRule>
  </conditionalFormatting>
  <conditionalFormatting sqref="X352">
    <cfRule type="expression" dxfId="6430" priority="7501">
      <formula>$E352&lt;&gt;"Yes"</formula>
    </cfRule>
  </conditionalFormatting>
  <conditionalFormatting sqref="AD352">
    <cfRule type="expression" dxfId="6429" priority="7498">
      <formula>$E$7&lt;&gt;"Yes"</formula>
    </cfRule>
  </conditionalFormatting>
  <conditionalFormatting sqref="AD352">
    <cfRule type="expression" dxfId="6428" priority="7497">
      <formula>$E352&lt;&gt;"Yes"</formula>
    </cfRule>
  </conditionalFormatting>
  <conditionalFormatting sqref="Y412 AF412:AH412 AJ412:AK412">
    <cfRule type="expression" dxfId="6427" priority="7494">
      <formula>$E$7&lt;&gt;"Yes"</formula>
    </cfRule>
  </conditionalFormatting>
  <conditionalFormatting sqref="Y412 AF412:AH412 AJ412:AK412">
    <cfRule type="expression" dxfId="6426" priority="7493">
      <formula>$E412&lt;&gt;"Yes"</formula>
    </cfRule>
  </conditionalFormatting>
  <conditionalFormatting sqref="Q412">
    <cfRule type="expression" dxfId="6425" priority="7492">
      <formula>$E$7&lt;&gt;"Yes"</formula>
    </cfRule>
  </conditionalFormatting>
  <conditionalFormatting sqref="Q412">
    <cfRule type="expression" dxfId="6424" priority="7491">
      <formula>$E412&lt;&gt;"Yes"</formula>
    </cfRule>
  </conditionalFormatting>
  <conditionalFormatting sqref="M412 F412:J412 Q412">
    <cfRule type="expression" dxfId="6423" priority="7490">
      <formula>$E$7&lt;&gt;"Yes"</formula>
    </cfRule>
  </conditionalFormatting>
  <conditionalFormatting sqref="M412 F412:J412 Q412">
    <cfRule type="expression" dxfId="6422" priority="7489">
      <formula>$E412&lt;&gt;"Yes"</formula>
    </cfRule>
  </conditionalFormatting>
  <conditionalFormatting sqref="G412">
    <cfRule type="expression" dxfId="6421" priority="7488">
      <formula>$E$7&lt;&gt;"Yes"</formula>
    </cfRule>
  </conditionalFormatting>
  <conditionalFormatting sqref="K412:L412">
    <cfRule type="expression" dxfId="6420" priority="7487">
      <formula>$E$7&lt;&gt;"Yes"</formula>
    </cfRule>
  </conditionalFormatting>
  <conditionalFormatting sqref="K412:L412">
    <cfRule type="expression" dxfId="6419" priority="7486">
      <formula>$E412&lt;&gt;"Yes"</formula>
    </cfRule>
  </conditionalFormatting>
  <conditionalFormatting sqref="N412">
    <cfRule type="expression" dxfId="6418" priority="7483">
      <formula>$E$7&lt;&gt;"Yes"</formula>
    </cfRule>
  </conditionalFormatting>
  <conditionalFormatting sqref="N412">
    <cfRule type="expression" dxfId="6417" priority="7482">
      <formula>$E412&lt;&gt;"Yes"</formula>
    </cfRule>
  </conditionalFormatting>
  <conditionalFormatting sqref="W412">
    <cfRule type="expression" dxfId="6416" priority="7485">
      <formula>$E$7&lt;&gt;"Yes"</formula>
    </cfRule>
  </conditionalFormatting>
  <conditionalFormatting sqref="W412">
    <cfRule type="expression" dxfId="6415" priority="7484">
      <formula>$E412&lt;&gt;"Yes"</formula>
    </cfRule>
  </conditionalFormatting>
  <conditionalFormatting sqref="AE412">
    <cfRule type="expression" dxfId="6414" priority="7481">
      <formula>$E$7&lt;&gt;"Yes"</formula>
    </cfRule>
  </conditionalFormatting>
  <conditionalFormatting sqref="AE412">
    <cfRule type="expression" dxfId="6413" priority="7480">
      <formula>$E412&lt;&gt;"Yes"</formula>
    </cfRule>
  </conditionalFormatting>
  <conditionalFormatting sqref="AB412">
    <cfRule type="expression" dxfId="6412" priority="7467">
      <formula>$E$7&lt;&gt;"Yes"</formula>
    </cfRule>
  </conditionalFormatting>
  <conditionalFormatting sqref="AB412">
    <cfRule type="expression" dxfId="6411" priority="7466">
      <formula>$E412&lt;&gt;"Yes"</formula>
    </cfRule>
  </conditionalFormatting>
  <conditionalFormatting sqref="AA412">
    <cfRule type="expression" dxfId="6410" priority="7465">
      <formula>$E$7&lt;&gt;"Yes"</formula>
    </cfRule>
  </conditionalFormatting>
  <conditionalFormatting sqref="AA412">
    <cfRule type="expression" dxfId="6409" priority="7464">
      <formula>$E412&lt;&gt;"Yes"</formula>
    </cfRule>
  </conditionalFormatting>
  <conditionalFormatting sqref="Y412">
    <cfRule type="expression" dxfId="6408" priority="7463">
      <formula>$E$7&lt;&gt;"Yes"</formula>
    </cfRule>
  </conditionalFormatting>
  <conditionalFormatting sqref="Y412">
    <cfRule type="expression" dxfId="6407" priority="7462">
      <formula>$E412&lt;&gt;"Yes"</formula>
    </cfRule>
  </conditionalFormatting>
  <conditionalFormatting sqref="O412:P412">
    <cfRule type="expression" dxfId="6406" priority="7461">
      <formula>$E$7&lt;&gt;"Yes"</formula>
    </cfRule>
  </conditionalFormatting>
  <conditionalFormatting sqref="O412:P412">
    <cfRule type="expression" dxfId="6405" priority="7460">
      <formula>$E412&lt;&gt;"Yes"</formula>
    </cfRule>
  </conditionalFormatting>
  <conditionalFormatting sqref="X412">
    <cfRule type="expression" dxfId="6404" priority="7459">
      <formula>$E$7&lt;&gt;"Yes"</formula>
    </cfRule>
  </conditionalFormatting>
  <conditionalFormatting sqref="X412">
    <cfRule type="expression" dxfId="6403" priority="7458">
      <formula>$E412&lt;&gt;"Yes"</formula>
    </cfRule>
  </conditionalFormatting>
  <conditionalFormatting sqref="AD412">
    <cfRule type="expression" dxfId="6402" priority="7455">
      <formula>$E$7&lt;&gt;"Yes"</formula>
    </cfRule>
  </conditionalFormatting>
  <conditionalFormatting sqref="AD412">
    <cfRule type="expression" dxfId="6401" priority="7454">
      <formula>$E412&lt;&gt;"Yes"</formula>
    </cfRule>
  </conditionalFormatting>
  <conditionalFormatting sqref="Y414 AF414:AH414 AJ414:AK414">
    <cfRule type="expression" dxfId="6400" priority="7451">
      <formula>$E$7&lt;&gt;"Yes"</formula>
    </cfRule>
  </conditionalFormatting>
  <conditionalFormatting sqref="Y414 AF414:AH414 AJ414:AK414">
    <cfRule type="expression" dxfId="6399" priority="7450">
      <formula>$E414&lt;&gt;"Yes"</formula>
    </cfRule>
  </conditionalFormatting>
  <conditionalFormatting sqref="Q414">
    <cfRule type="expression" dxfId="6398" priority="7449">
      <formula>$E$7&lt;&gt;"Yes"</formula>
    </cfRule>
  </conditionalFormatting>
  <conditionalFormatting sqref="Q414">
    <cfRule type="expression" dxfId="6397" priority="7448">
      <formula>$E414&lt;&gt;"Yes"</formula>
    </cfRule>
  </conditionalFormatting>
  <conditionalFormatting sqref="M414 F414:J414 Q414">
    <cfRule type="expression" dxfId="6396" priority="7447">
      <formula>$E$7&lt;&gt;"Yes"</formula>
    </cfRule>
  </conditionalFormatting>
  <conditionalFormatting sqref="M414 F414:J414 Q414">
    <cfRule type="expression" dxfId="6395" priority="7446">
      <formula>$E414&lt;&gt;"Yes"</formula>
    </cfRule>
  </conditionalFormatting>
  <conditionalFormatting sqref="G414">
    <cfRule type="expression" dxfId="6394" priority="7445">
      <formula>$E$7&lt;&gt;"Yes"</formula>
    </cfRule>
  </conditionalFormatting>
  <conditionalFormatting sqref="K414:L414">
    <cfRule type="expression" dxfId="6393" priority="7444">
      <formula>$E$7&lt;&gt;"Yes"</formula>
    </cfRule>
  </conditionalFormatting>
  <conditionalFormatting sqref="K414:L414">
    <cfRule type="expression" dxfId="6392" priority="7443">
      <formula>$E414&lt;&gt;"Yes"</formula>
    </cfRule>
  </conditionalFormatting>
  <conditionalFormatting sqref="N414">
    <cfRule type="expression" dxfId="6391" priority="7440">
      <formula>$E$7&lt;&gt;"Yes"</formula>
    </cfRule>
  </conditionalFormatting>
  <conditionalFormatting sqref="N414">
    <cfRule type="expression" dxfId="6390" priority="7439">
      <formula>$E414&lt;&gt;"Yes"</formula>
    </cfRule>
  </conditionalFormatting>
  <conditionalFormatting sqref="W414">
    <cfRule type="expression" dxfId="6389" priority="7442">
      <formula>$E$7&lt;&gt;"Yes"</formula>
    </cfRule>
  </conditionalFormatting>
  <conditionalFormatting sqref="W414">
    <cfRule type="expression" dxfId="6388" priority="7441">
      <formula>$E414&lt;&gt;"Yes"</formula>
    </cfRule>
  </conditionalFormatting>
  <conditionalFormatting sqref="AE414">
    <cfRule type="expression" dxfId="6387" priority="7438">
      <formula>$E$7&lt;&gt;"Yes"</formula>
    </cfRule>
  </conditionalFormatting>
  <conditionalFormatting sqref="AE414">
    <cfRule type="expression" dxfId="6386" priority="7437">
      <formula>$E414&lt;&gt;"Yes"</formula>
    </cfRule>
  </conditionalFormatting>
  <conditionalFormatting sqref="AB414">
    <cfRule type="expression" dxfId="6385" priority="7424">
      <formula>$E$7&lt;&gt;"Yes"</formula>
    </cfRule>
  </conditionalFormatting>
  <conditionalFormatting sqref="AB414">
    <cfRule type="expression" dxfId="6384" priority="7423">
      <formula>$E414&lt;&gt;"Yes"</formula>
    </cfRule>
  </conditionalFormatting>
  <conditionalFormatting sqref="AA414">
    <cfRule type="expression" dxfId="6383" priority="7422">
      <formula>$E$7&lt;&gt;"Yes"</formula>
    </cfRule>
  </conditionalFormatting>
  <conditionalFormatting sqref="AA414">
    <cfRule type="expression" dxfId="6382" priority="7421">
      <formula>$E414&lt;&gt;"Yes"</formula>
    </cfRule>
  </conditionalFormatting>
  <conditionalFormatting sqref="Y414">
    <cfRule type="expression" dxfId="6381" priority="7420">
      <formula>$E$7&lt;&gt;"Yes"</formula>
    </cfRule>
  </conditionalFormatting>
  <conditionalFormatting sqref="Y414">
    <cfRule type="expression" dxfId="6380" priority="7419">
      <formula>$E414&lt;&gt;"Yes"</formula>
    </cfRule>
  </conditionalFormatting>
  <conditionalFormatting sqref="O414:P414">
    <cfRule type="expression" dxfId="6379" priority="7418">
      <formula>$E$7&lt;&gt;"Yes"</formula>
    </cfRule>
  </conditionalFormatting>
  <conditionalFormatting sqref="O414:P414">
    <cfRule type="expression" dxfId="6378" priority="7417">
      <formula>$E414&lt;&gt;"Yes"</formula>
    </cfRule>
  </conditionalFormatting>
  <conditionalFormatting sqref="X414">
    <cfRule type="expression" dxfId="6377" priority="7416">
      <formula>$E$7&lt;&gt;"Yes"</formula>
    </cfRule>
  </conditionalFormatting>
  <conditionalFormatting sqref="X414">
    <cfRule type="expression" dxfId="6376" priority="7415">
      <formula>$E414&lt;&gt;"Yes"</formula>
    </cfRule>
  </conditionalFormatting>
  <conditionalFormatting sqref="AD414">
    <cfRule type="expression" dxfId="6375" priority="7412">
      <formula>$E$7&lt;&gt;"Yes"</formula>
    </cfRule>
  </conditionalFormatting>
  <conditionalFormatting sqref="AD414">
    <cfRule type="expression" dxfId="6374" priority="7411">
      <formula>$E414&lt;&gt;"Yes"</formula>
    </cfRule>
  </conditionalFormatting>
  <conditionalFormatting sqref="Y416 AF416:AH416 AJ416:AK416 AJ418:AK418 AF418:AH418 Y418">
    <cfRule type="expression" dxfId="6373" priority="7408">
      <formula>$E$7&lt;&gt;"Yes"</formula>
    </cfRule>
  </conditionalFormatting>
  <conditionalFormatting sqref="Q416 Q418">
    <cfRule type="expression" dxfId="6372" priority="7406">
      <formula>$E$7&lt;&gt;"Yes"</formula>
    </cfRule>
  </conditionalFormatting>
  <conditionalFormatting sqref="M416 F416:J416 Q416 Q418 F418:J418 M418">
    <cfRule type="expression" dxfId="6371" priority="7404">
      <formula>$E$7&lt;&gt;"Yes"</formula>
    </cfRule>
  </conditionalFormatting>
  <conditionalFormatting sqref="G416 G418">
    <cfRule type="expression" dxfId="6370" priority="7402">
      <formula>$E$7&lt;&gt;"Yes"</formula>
    </cfRule>
  </conditionalFormatting>
  <conditionalFormatting sqref="K416:L416 K418:L418">
    <cfRule type="expression" dxfId="6369" priority="7401">
      <formula>$E$7&lt;&gt;"Yes"</formula>
    </cfRule>
  </conditionalFormatting>
  <conditionalFormatting sqref="N416 N418">
    <cfRule type="expression" dxfId="6368" priority="7397">
      <formula>$E$7&lt;&gt;"Yes"</formula>
    </cfRule>
  </conditionalFormatting>
  <conditionalFormatting sqref="W416 W418">
    <cfRule type="expression" dxfId="6367" priority="7399">
      <formula>$E$7&lt;&gt;"Yes"</formula>
    </cfRule>
  </conditionalFormatting>
  <conditionalFormatting sqref="AE416 AE418">
    <cfRule type="expression" dxfId="6366" priority="7395">
      <formula>$E$7&lt;&gt;"Yes"</formula>
    </cfRule>
  </conditionalFormatting>
  <conditionalFormatting sqref="AB416 AB418">
    <cfRule type="expression" dxfId="6365" priority="7381">
      <formula>$E$7&lt;&gt;"Yes"</formula>
    </cfRule>
  </conditionalFormatting>
  <conditionalFormatting sqref="AA416 AA418">
    <cfRule type="expression" dxfId="6364" priority="7379">
      <formula>$E$7&lt;&gt;"Yes"</formula>
    </cfRule>
  </conditionalFormatting>
  <conditionalFormatting sqref="Y416 Y418">
    <cfRule type="expression" dxfId="6363" priority="7377">
      <formula>$E$7&lt;&gt;"Yes"</formula>
    </cfRule>
  </conditionalFormatting>
  <conditionalFormatting sqref="O416:P416 O418:P418">
    <cfRule type="expression" dxfId="6362" priority="7375">
      <formula>$E$7&lt;&gt;"Yes"</formula>
    </cfRule>
  </conditionalFormatting>
  <conditionalFormatting sqref="X416 X418">
    <cfRule type="expression" dxfId="6361" priority="7373">
      <formula>$E$7&lt;&gt;"Yes"</formula>
    </cfRule>
  </conditionalFormatting>
  <conditionalFormatting sqref="AD416 AD418">
    <cfRule type="expression" dxfId="6360" priority="7369">
      <formula>$E$7&lt;&gt;"Yes"</formula>
    </cfRule>
  </conditionalFormatting>
  <conditionalFormatting sqref="Y419 AF419:AH419 AJ419:AK419">
    <cfRule type="expression" dxfId="6359" priority="7365">
      <formula>$E$7&lt;&gt;"Yes"</formula>
    </cfRule>
  </conditionalFormatting>
  <conditionalFormatting sqref="Y419 AF419:AH419 AJ419:AK419">
    <cfRule type="expression" dxfId="6358" priority="7364">
      <formula>$E419&lt;&gt;"Yes"</formula>
    </cfRule>
  </conditionalFormatting>
  <conditionalFormatting sqref="Q419">
    <cfRule type="expression" dxfId="6357" priority="7363">
      <formula>$E$7&lt;&gt;"Yes"</formula>
    </cfRule>
  </conditionalFormatting>
  <conditionalFormatting sqref="Q419">
    <cfRule type="expression" dxfId="6356" priority="7362">
      <formula>$E419&lt;&gt;"Yes"</formula>
    </cfRule>
  </conditionalFormatting>
  <conditionalFormatting sqref="M419 F419:J419 Q419">
    <cfRule type="expression" dxfId="6355" priority="7361">
      <formula>$E$7&lt;&gt;"Yes"</formula>
    </cfRule>
  </conditionalFormatting>
  <conditionalFormatting sqref="M419 F419:J419 Q419">
    <cfRule type="expression" dxfId="6354" priority="7360">
      <formula>$E419&lt;&gt;"Yes"</formula>
    </cfRule>
  </conditionalFormatting>
  <conditionalFormatting sqref="G419">
    <cfRule type="expression" dxfId="6353" priority="7359">
      <formula>$E$7&lt;&gt;"Yes"</formula>
    </cfRule>
  </conditionalFormatting>
  <conditionalFormatting sqref="K419:L419">
    <cfRule type="expression" dxfId="6352" priority="7358">
      <formula>$E$7&lt;&gt;"Yes"</formula>
    </cfRule>
  </conditionalFormatting>
  <conditionalFormatting sqref="K419:L419">
    <cfRule type="expression" dxfId="6351" priority="7357">
      <formula>$E419&lt;&gt;"Yes"</formula>
    </cfRule>
  </conditionalFormatting>
  <conditionalFormatting sqref="N419">
    <cfRule type="expression" dxfId="6350" priority="7354">
      <formula>$E$7&lt;&gt;"Yes"</formula>
    </cfRule>
  </conditionalFormatting>
  <conditionalFormatting sqref="N419">
    <cfRule type="expression" dxfId="6349" priority="7353">
      <formula>$E419&lt;&gt;"Yes"</formula>
    </cfRule>
  </conditionalFormatting>
  <conditionalFormatting sqref="W419">
    <cfRule type="expression" dxfId="6348" priority="7356">
      <formula>$E$7&lt;&gt;"Yes"</formula>
    </cfRule>
  </conditionalFormatting>
  <conditionalFormatting sqref="W419">
    <cfRule type="expression" dxfId="6347" priority="7355">
      <formula>$E419&lt;&gt;"Yes"</formula>
    </cfRule>
  </conditionalFormatting>
  <conditionalFormatting sqref="AE419">
    <cfRule type="expression" dxfId="6346" priority="7352">
      <formula>$E$7&lt;&gt;"Yes"</formula>
    </cfRule>
  </conditionalFormatting>
  <conditionalFormatting sqref="AE419">
    <cfRule type="expression" dxfId="6345" priority="7351">
      <formula>$E419&lt;&gt;"Yes"</formula>
    </cfRule>
  </conditionalFormatting>
  <conditionalFormatting sqref="AB419">
    <cfRule type="expression" dxfId="6344" priority="7338">
      <formula>$E$7&lt;&gt;"Yes"</formula>
    </cfRule>
  </conditionalFormatting>
  <conditionalFormatting sqref="AB419">
    <cfRule type="expression" dxfId="6343" priority="7337">
      <formula>$E419&lt;&gt;"Yes"</formula>
    </cfRule>
  </conditionalFormatting>
  <conditionalFormatting sqref="AA419">
    <cfRule type="expression" dxfId="6342" priority="7336">
      <formula>$E$7&lt;&gt;"Yes"</formula>
    </cfRule>
  </conditionalFormatting>
  <conditionalFormatting sqref="AA419">
    <cfRule type="expression" dxfId="6341" priority="7335">
      <formula>$E419&lt;&gt;"Yes"</formula>
    </cfRule>
  </conditionalFormatting>
  <conditionalFormatting sqref="Y419">
    <cfRule type="expression" dxfId="6340" priority="7334">
      <formula>$E$7&lt;&gt;"Yes"</formula>
    </cfRule>
  </conditionalFormatting>
  <conditionalFormatting sqref="Y419">
    <cfRule type="expression" dxfId="6339" priority="7333">
      <formula>$E419&lt;&gt;"Yes"</formula>
    </cfRule>
  </conditionalFormatting>
  <conditionalFormatting sqref="O419:P419">
    <cfRule type="expression" dxfId="6338" priority="7332">
      <formula>$E$7&lt;&gt;"Yes"</formula>
    </cfRule>
  </conditionalFormatting>
  <conditionalFormatting sqref="O419:P419">
    <cfRule type="expression" dxfId="6337" priority="7331">
      <formula>$E419&lt;&gt;"Yes"</formula>
    </cfRule>
  </conditionalFormatting>
  <conditionalFormatting sqref="X419">
    <cfRule type="expression" dxfId="6336" priority="7330">
      <formula>$E$7&lt;&gt;"Yes"</formula>
    </cfRule>
  </conditionalFormatting>
  <conditionalFormatting sqref="X419">
    <cfRule type="expression" dxfId="6335" priority="7329">
      <formula>$E419&lt;&gt;"Yes"</formula>
    </cfRule>
  </conditionalFormatting>
  <conditionalFormatting sqref="AD419">
    <cfRule type="expression" dxfId="6334" priority="7326">
      <formula>$E$7&lt;&gt;"Yes"</formula>
    </cfRule>
  </conditionalFormatting>
  <conditionalFormatting sqref="AD419">
    <cfRule type="expression" dxfId="6333" priority="7325">
      <formula>$E419&lt;&gt;"Yes"</formula>
    </cfRule>
  </conditionalFormatting>
  <conditionalFormatting sqref="Y418 AF418:AH418 AJ418:AK418">
    <cfRule type="expression" dxfId="6332" priority="7322">
      <formula>$E$7&lt;&gt;"Yes"</formula>
    </cfRule>
  </conditionalFormatting>
  <conditionalFormatting sqref="Q418">
    <cfRule type="expression" dxfId="6331" priority="7320">
      <formula>$E$7&lt;&gt;"Yes"</formula>
    </cfRule>
  </conditionalFormatting>
  <conditionalFormatting sqref="M418 F418:J418 Q418">
    <cfRule type="expression" dxfId="6330" priority="7318">
      <formula>$E$7&lt;&gt;"Yes"</formula>
    </cfRule>
  </conditionalFormatting>
  <conditionalFormatting sqref="G418">
    <cfRule type="expression" dxfId="6329" priority="7316">
      <formula>$E$7&lt;&gt;"Yes"</formula>
    </cfRule>
  </conditionalFormatting>
  <conditionalFormatting sqref="K418:L418">
    <cfRule type="expression" dxfId="6328" priority="7315">
      <formula>$E$7&lt;&gt;"Yes"</formula>
    </cfRule>
  </conditionalFormatting>
  <conditionalFormatting sqref="N418">
    <cfRule type="expression" dxfId="6327" priority="7311">
      <formula>$E$7&lt;&gt;"Yes"</formula>
    </cfRule>
  </conditionalFormatting>
  <conditionalFormatting sqref="W418">
    <cfRule type="expression" dxfId="6326" priority="7313">
      <formula>$E$7&lt;&gt;"Yes"</formula>
    </cfRule>
  </conditionalFormatting>
  <conditionalFormatting sqref="AE418">
    <cfRule type="expression" dxfId="6325" priority="7309">
      <formula>$E$7&lt;&gt;"Yes"</formula>
    </cfRule>
  </conditionalFormatting>
  <conditionalFormatting sqref="AB418">
    <cfRule type="expression" dxfId="6324" priority="7295">
      <formula>$E$7&lt;&gt;"Yes"</formula>
    </cfRule>
  </conditionalFormatting>
  <conditionalFormatting sqref="AA418">
    <cfRule type="expression" dxfId="6323" priority="7293">
      <formula>$E$7&lt;&gt;"Yes"</formula>
    </cfRule>
  </conditionalFormatting>
  <conditionalFormatting sqref="Y418">
    <cfRule type="expression" dxfId="6322" priority="7291">
      <formula>$E$7&lt;&gt;"Yes"</formula>
    </cfRule>
  </conditionalFormatting>
  <conditionalFormatting sqref="O418:P418">
    <cfRule type="expression" dxfId="6321" priority="7289">
      <formula>$E$7&lt;&gt;"Yes"</formula>
    </cfRule>
  </conditionalFormatting>
  <conditionalFormatting sqref="X418">
    <cfRule type="expression" dxfId="6320" priority="7287">
      <formula>$E$7&lt;&gt;"Yes"</formula>
    </cfRule>
  </conditionalFormatting>
  <conditionalFormatting sqref="AD418">
    <cfRule type="expression" dxfId="6319" priority="7283">
      <formula>$E$7&lt;&gt;"Yes"</formula>
    </cfRule>
  </conditionalFormatting>
  <conditionalFormatting sqref="Y420 AF420:AH420 AJ420:AK420">
    <cfRule type="expression" dxfId="6318" priority="7279">
      <formula>$E$7&lt;&gt;"Yes"</formula>
    </cfRule>
  </conditionalFormatting>
  <conditionalFormatting sqref="Y420 AF420:AH420 AJ420:AK420">
    <cfRule type="expression" dxfId="6317" priority="7278">
      <formula>$E420&lt;&gt;"Yes"</formula>
    </cfRule>
  </conditionalFormatting>
  <conditionalFormatting sqref="Q420">
    <cfRule type="expression" dxfId="6316" priority="7277">
      <formula>$E$7&lt;&gt;"Yes"</formula>
    </cfRule>
  </conditionalFormatting>
  <conditionalFormatting sqref="Q420">
    <cfRule type="expression" dxfId="6315" priority="7276">
      <formula>$E420&lt;&gt;"Yes"</formula>
    </cfRule>
  </conditionalFormatting>
  <conditionalFormatting sqref="M420 F420:J420 Q420">
    <cfRule type="expression" dxfId="6314" priority="7275">
      <formula>$E$7&lt;&gt;"Yes"</formula>
    </cfRule>
  </conditionalFormatting>
  <conditionalFormatting sqref="M420 F420:J420 Q420">
    <cfRule type="expression" dxfId="6313" priority="7274">
      <formula>$E420&lt;&gt;"Yes"</formula>
    </cfRule>
  </conditionalFormatting>
  <conditionalFormatting sqref="G420">
    <cfRule type="expression" dxfId="6312" priority="7273">
      <formula>$E$7&lt;&gt;"Yes"</formula>
    </cfRule>
  </conditionalFormatting>
  <conditionalFormatting sqref="K420:L420">
    <cfRule type="expression" dxfId="6311" priority="7272">
      <formula>$E$7&lt;&gt;"Yes"</formula>
    </cfRule>
  </conditionalFormatting>
  <conditionalFormatting sqref="K420:L420">
    <cfRule type="expression" dxfId="6310" priority="7271">
      <formula>$E420&lt;&gt;"Yes"</formula>
    </cfRule>
  </conditionalFormatting>
  <conditionalFormatting sqref="N420">
    <cfRule type="expression" dxfId="6309" priority="7268">
      <formula>$E$7&lt;&gt;"Yes"</formula>
    </cfRule>
  </conditionalFormatting>
  <conditionalFormatting sqref="N420">
    <cfRule type="expression" dxfId="6308" priority="7267">
      <formula>$E420&lt;&gt;"Yes"</formula>
    </cfRule>
  </conditionalFormatting>
  <conditionalFormatting sqref="W420">
    <cfRule type="expression" dxfId="6307" priority="7270">
      <formula>$E$7&lt;&gt;"Yes"</formula>
    </cfRule>
  </conditionalFormatting>
  <conditionalFormatting sqref="W420">
    <cfRule type="expression" dxfId="6306" priority="7269">
      <formula>$E420&lt;&gt;"Yes"</formula>
    </cfRule>
  </conditionalFormatting>
  <conditionalFormatting sqref="AE420">
    <cfRule type="expression" dxfId="6305" priority="7266">
      <formula>$E$7&lt;&gt;"Yes"</formula>
    </cfRule>
  </conditionalFormatting>
  <conditionalFormatting sqref="AE420">
    <cfRule type="expression" dxfId="6304" priority="7265">
      <formula>$E420&lt;&gt;"Yes"</formula>
    </cfRule>
  </conditionalFormatting>
  <conditionalFormatting sqref="AB420">
    <cfRule type="expression" dxfId="6303" priority="7252">
      <formula>$E$7&lt;&gt;"Yes"</formula>
    </cfRule>
  </conditionalFormatting>
  <conditionalFormatting sqref="AB420">
    <cfRule type="expression" dxfId="6302" priority="7251">
      <formula>$E420&lt;&gt;"Yes"</formula>
    </cfRule>
  </conditionalFormatting>
  <conditionalFormatting sqref="AA420">
    <cfRule type="expression" dxfId="6301" priority="7250">
      <formula>$E$7&lt;&gt;"Yes"</formula>
    </cfRule>
  </conditionalFormatting>
  <conditionalFormatting sqref="AA420">
    <cfRule type="expression" dxfId="6300" priority="7249">
      <formula>$E420&lt;&gt;"Yes"</formula>
    </cfRule>
  </conditionalFormatting>
  <conditionalFormatting sqref="Y420">
    <cfRule type="expression" dxfId="6299" priority="7248">
      <formula>$E$7&lt;&gt;"Yes"</formula>
    </cfRule>
  </conditionalFormatting>
  <conditionalFormatting sqref="Y420">
    <cfRule type="expression" dxfId="6298" priority="7247">
      <formula>$E420&lt;&gt;"Yes"</formula>
    </cfRule>
  </conditionalFormatting>
  <conditionalFormatting sqref="O420">
    <cfRule type="expression" dxfId="6297" priority="7246">
      <formula>$E$7&lt;&gt;"Yes"</formula>
    </cfRule>
  </conditionalFormatting>
  <conditionalFormatting sqref="O420">
    <cfRule type="expression" dxfId="6296" priority="7245">
      <formula>$E420&lt;&gt;"Yes"</formula>
    </cfRule>
  </conditionalFormatting>
  <conditionalFormatting sqref="X420">
    <cfRule type="expression" dxfId="6295" priority="7244">
      <formula>$E$7&lt;&gt;"Yes"</formula>
    </cfRule>
  </conditionalFormatting>
  <conditionalFormatting sqref="X420">
    <cfRule type="expression" dxfId="6294" priority="7243">
      <formula>$E420&lt;&gt;"Yes"</formula>
    </cfRule>
  </conditionalFormatting>
  <conditionalFormatting sqref="AD420">
    <cfRule type="expression" dxfId="6293" priority="7240">
      <formula>$E$7&lt;&gt;"Yes"</formula>
    </cfRule>
  </conditionalFormatting>
  <conditionalFormatting sqref="AD420">
    <cfRule type="expression" dxfId="6292" priority="7239">
      <formula>$E420&lt;&gt;"Yes"</formula>
    </cfRule>
  </conditionalFormatting>
  <conditionalFormatting sqref="Y421 AF421:AH421 AJ421:AK421">
    <cfRule type="expression" dxfId="6291" priority="7236">
      <formula>$E$7&lt;&gt;"Yes"</formula>
    </cfRule>
  </conditionalFormatting>
  <conditionalFormatting sqref="Y421 AF421:AH421 AJ421:AK421">
    <cfRule type="expression" dxfId="6290" priority="7235">
      <formula>$E421&lt;&gt;"Yes"</formula>
    </cfRule>
  </conditionalFormatting>
  <conditionalFormatting sqref="Q421">
    <cfRule type="expression" dxfId="6289" priority="7234">
      <formula>$E$7&lt;&gt;"Yes"</formula>
    </cfRule>
  </conditionalFormatting>
  <conditionalFormatting sqref="Q421">
    <cfRule type="expression" dxfId="6288" priority="7233">
      <formula>$E421&lt;&gt;"Yes"</formula>
    </cfRule>
  </conditionalFormatting>
  <conditionalFormatting sqref="M421 F421:J421 Q421">
    <cfRule type="expression" dxfId="6287" priority="7232">
      <formula>$E$7&lt;&gt;"Yes"</formula>
    </cfRule>
  </conditionalFormatting>
  <conditionalFormatting sqref="M421 F421:J421 Q421">
    <cfRule type="expression" dxfId="6286" priority="7231">
      <formula>$E421&lt;&gt;"Yes"</formula>
    </cfRule>
  </conditionalFormatting>
  <conditionalFormatting sqref="G421">
    <cfRule type="expression" dxfId="6285" priority="7230">
      <formula>$E$7&lt;&gt;"Yes"</formula>
    </cfRule>
  </conditionalFormatting>
  <conditionalFormatting sqref="K421:L421">
    <cfRule type="expression" dxfId="6284" priority="7229">
      <formula>$E$7&lt;&gt;"Yes"</formula>
    </cfRule>
  </conditionalFormatting>
  <conditionalFormatting sqref="K421:L421">
    <cfRule type="expression" dxfId="6283" priority="7228">
      <formula>$E421&lt;&gt;"Yes"</formula>
    </cfRule>
  </conditionalFormatting>
  <conditionalFormatting sqref="N421">
    <cfRule type="expression" dxfId="6282" priority="7225">
      <formula>$E$7&lt;&gt;"Yes"</formula>
    </cfRule>
  </conditionalFormatting>
  <conditionalFormatting sqref="N421">
    <cfRule type="expression" dxfId="6281" priority="7224">
      <formula>$E421&lt;&gt;"Yes"</formula>
    </cfRule>
  </conditionalFormatting>
  <conditionalFormatting sqref="W421">
    <cfRule type="expression" dxfId="6280" priority="7227">
      <formula>$E$7&lt;&gt;"Yes"</formula>
    </cfRule>
  </conditionalFormatting>
  <conditionalFormatting sqref="W421">
    <cfRule type="expression" dxfId="6279" priority="7226">
      <formula>$E421&lt;&gt;"Yes"</formula>
    </cfRule>
  </conditionalFormatting>
  <conditionalFormatting sqref="AE421">
    <cfRule type="expression" dxfId="6278" priority="7223">
      <formula>$E$7&lt;&gt;"Yes"</formula>
    </cfRule>
  </conditionalFormatting>
  <conditionalFormatting sqref="AE421">
    <cfRule type="expression" dxfId="6277" priority="7222">
      <formula>$E421&lt;&gt;"Yes"</formula>
    </cfRule>
  </conditionalFormatting>
  <conditionalFormatting sqref="AB421">
    <cfRule type="expression" dxfId="6276" priority="7209">
      <formula>$E$7&lt;&gt;"Yes"</formula>
    </cfRule>
  </conditionalFormatting>
  <conditionalFormatting sqref="AB421">
    <cfRule type="expression" dxfId="6275" priority="7208">
      <formula>$E421&lt;&gt;"Yes"</formula>
    </cfRule>
  </conditionalFormatting>
  <conditionalFormatting sqref="AA421">
    <cfRule type="expression" dxfId="6274" priority="7207">
      <formula>$E$7&lt;&gt;"Yes"</formula>
    </cfRule>
  </conditionalFormatting>
  <conditionalFormatting sqref="AA421">
    <cfRule type="expression" dxfId="6273" priority="7206">
      <formula>$E421&lt;&gt;"Yes"</formula>
    </cfRule>
  </conditionalFormatting>
  <conditionalFormatting sqref="Y421">
    <cfRule type="expression" dxfId="6272" priority="7205">
      <formula>$E$7&lt;&gt;"Yes"</formula>
    </cfRule>
  </conditionalFormatting>
  <conditionalFormatting sqref="Y421">
    <cfRule type="expression" dxfId="6271" priority="7204">
      <formula>$E421&lt;&gt;"Yes"</formula>
    </cfRule>
  </conditionalFormatting>
  <conditionalFormatting sqref="O421">
    <cfRule type="expression" dxfId="6270" priority="7203">
      <formula>$E$7&lt;&gt;"Yes"</formula>
    </cfRule>
  </conditionalFormatting>
  <conditionalFormatting sqref="O421">
    <cfRule type="expression" dxfId="6269" priority="7202">
      <formula>$E421&lt;&gt;"Yes"</formula>
    </cfRule>
  </conditionalFormatting>
  <conditionalFormatting sqref="X421">
    <cfRule type="expression" dxfId="6268" priority="7201">
      <formula>$E$7&lt;&gt;"Yes"</formula>
    </cfRule>
  </conditionalFormatting>
  <conditionalFormatting sqref="X421">
    <cfRule type="expression" dxfId="6267" priority="7200">
      <formula>$E421&lt;&gt;"Yes"</formula>
    </cfRule>
  </conditionalFormatting>
  <conditionalFormatting sqref="AD421">
    <cfRule type="expression" dxfId="6266" priority="7197">
      <formula>$E$7&lt;&gt;"Yes"</formula>
    </cfRule>
  </conditionalFormatting>
  <conditionalFormatting sqref="AD421">
    <cfRule type="expression" dxfId="6265" priority="7196">
      <formula>$E421&lt;&gt;"Yes"</formula>
    </cfRule>
  </conditionalFormatting>
  <conditionalFormatting sqref="AC441:AC452 AC254:AC255 AC388:AC390 AC8:AC11 AC159:AC161 AC209:AC210 AC263:AC272 AC285:AC305 AC334:AC354 AC22:AC33 AC132:AC146 AC100:AC113 AC193:AC204 AC119 AC62:AC85 AC90 AC460:AC461 AC121:AC123 AC126:AC129 AC149:AC150 AC164:AC171 AC248 AC357:AC360 AC35:AC37 AC212:AC215 AC40:AC56 AC217:AC223 AC230:AC245 AC311:AC330 AC392:AC401 AC414 AC416 AC418:AC419 AC279:AC283 AC369:AC374 AC378:AC386 AC405:AC412">
    <cfRule type="expression" dxfId="6264" priority="7193">
      <formula>$E$7&lt;&gt;"Yes"</formula>
    </cfRule>
  </conditionalFormatting>
  <conditionalFormatting sqref="AC441:AC452 AC254:AC255 AC388:AC390 AC8:AC11 AC159:AC161 AC263:AC272 AC285:AC305 AC22:AC33 AC132:AC146 AC100:AC113 AC193:AC204 AC119 AC62:AC85 AC90 AC460:AC461 AC121:AC123 AC126:AC129 AC149:AC150 AC164:AC171 AC35:AC37 AC40:AC56 AC311:AC330 AC392:AC401 AC414 AC416 AC418:AC419 AC279:AC283 AC405:AC412">
    <cfRule type="expression" dxfId="6263" priority="7192">
      <formula>$E8&lt;&gt;"Yes"</formula>
    </cfRule>
  </conditionalFormatting>
  <conditionalFormatting sqref="Y422 AF422:AH422 AJ422:AK422">
    <cfRule type="expression" dxfId="6262" priority="7191">
      <formula>$E$7&lt;&gt;"Yes"</formula>
    </cfRule>
  </conditionalFormatting>
  <conditionalFormatting sqref="Y422 AF422:AH422 AJ422:AK422">
    <cfRule type="expression" dxfId="6261" priority="7190">
      <formula>$E422&lt;&gt;"Yes"</formula>
    </cfRule>
  </conditionalFormatting>
  <conditionalFormatting sqref="Q422">
    <cfRule type="expression" dxfId="6260" priority="7189">
      <formula>$E$7&lt;&gt;"Yes"</formula>
    </cfRule>
  </conditionalFormatting>
  <conditionalFormatting sqref="Q422">
    <cfRule type="expression" dxfId="6259" priority="7188">
      <formula>$E422&lt;&gt;"Yes"</formula>
    </cfRule>
  </conditionalFormatting>
  <conditionalFormatting sqref="M422 F422:J422 Q422">
    <cfRule type="expression" dxfId="6258" priority="7187">
      <formula>$E$7&lt;&gt;"Yes"</formula>
    </cfRule>
  </conditionalFormatting>
  <conditionalFormatting sqref="M422 F422:J422 Q422">
    <cfRule type="expression" dxfId="6257" priority="7186">
      <formula>$E422&lt;&gt;"Yes"</formula>
    </cfRule>
  </conditionalFormatting>
  <conditionalFormatting sqref="G422">
    <cfRule type="expression" dxfId="6256" priority="7185">
      <formula>$E$7&lt;&gt;"Yes"</formula>
    </cfRule>
  </conditionalFormatting>
  <conditionalFormatting sqref="K422:L422">
    <cfRule type="expression" dxfId="6255" priority="7184">
      <formula>$E$7&lt;&gt;"Yes"</formula>
    </cfRule>
  </conditionalFormatting>
  <conditionalFormatting sqref="K422:L422">
    <cfRule type="expression" dxfId="6254" priority="7183">
      <formula>$E422&lt;&gt;"Yes"</formula>
    </cfRule>
  </conditionalFormatting>
  <conditionalFormatting sqref="N422">
    <cfRule type="expression" dxfId="6253" priority="7180">
      <formula>$E$7&lt;&gt;"Yes"</formula>
    </cfRule>
  </conditionalFormatting>
  <conditionalFormatting sqref="N422">
    <cfRule type="expression" dxfId="6252" priority="7179">
      <formula>$E422&lt;&gt;"Yes"</formula>
    </cfRule>
  </conditionalFormatting>
  <conditionalFormatting sqref="W422">
    <cfRule type="expression" dxfId="6251" priority="7182">
      <formula>$E$7&lt;&gt;"Yes"</formula>
    </cfRule>
  </conditionalFormatting>
  <conditionalFormatting sqref="W422">
    <cfRule type="expression" dxfId="6250" priority="7181">
      <formula>$E422&lt;&gt;"Yes"</formula>
    </cfRule>
  </conditionalFormatting>
  <conditionalFormatting sqref="AE422">
    <cfRule type="expression" dxfId="6249" priority="7178">
      <formula>$E$7&lt;&gt;"Yes"</formula>
    </cfRule>
  </conditionalFormatting>
  <conditionalFormatting sqref="AE422">
    <cfRule type="expression" dxfId="6248" priority="7177">
      <formula>$E422&lt;&gt;"Yes"</formula>
    </cfRule>
  </conditionalFormatting>
  <conditionalFormatting sqref="AB422">
    <cfRule type="expression" dxfId="6247" priority="7164">
      <formula>$E$7&lt;&gt;"Yes"</formula>
    </cfRule>
  </conditionalFormatting>
  <conditionalFormatting sqref="AB422">
    <cfRule type="expression" dxfId="6246" priority="7163">
      <formula>$E422&lt;&gt;"Yes"</formula>
    </cfRule>
  </conditionalFormatting>
  <conditionalFormatting sqref="AA422">
    <cfRule type="expression" dxfId="6245" priority="7162">
      <formula>$E$7&lt;&gt;"Yes"</formula>
    </cfRule>
  </conditionalFormatting>
  <conditionalFormatting sqref="AA422">
    <cfRule type="expression" dxfId="6244" priority="7161">
      <formula>$E422&lt;&gt;"Yes"</formula>
    </cfRule>
  </conditionalFormatting>
  <conditionalFormatting sqref="Y422">
    <cfRule type="expression" dxfId="6243" priority="7160">
      <formula>$E$7&lt;&gt;"Yes"</formula>
    </cfRule>
  </conditionalFormatting>
  <conditionalFormatting sqref="Y422">
    <cfRule type="expression" dxfId="6242" priority="7159">
      <formula>$E422&lt;&gt;"Yes"</formula>
    </cfRule>
  </conditionalFormatting>
  <conditionalFormatting sqref="O422:P422">
    <cfRule type="expression" dxfId="6241" priority="7158">
      <formula>$E$7&lt;&gt;"Yes"</formula>
    </cfRule>
  </conditionalFormatting>
  <conditionalFormatting sqref="O422:P422">
    <cfRule type="expression" dxfId="6240" priority="7157">
      <formula>$E422&lt;&gt;"Yes"</formula>
    </cfRule>
  </conditionalFormatting>
  <conditionalFormatting sqref="X422">
    <cfRule type="expression" dxfId="6239" priority="7156">
      <formula>$E$7&lt;&gt;"Yes"</formula>
    </cfRule>
  </conditionalFormatting>
  <conditionalFormatting sqref="X422">
    <cfRule type="expression" dxfId="6238" priority="7155">
      <formula>$E422&lt;&gt;"Yes"</formula>
    </cfRule>
  </conditionalFormatting>
  <conditionalFormatting sqref="AD422">
    <cfRule type="expression" dxfId="6237" priority="7152">
      <formula>$E$7&lt;&gt;"Yes"</formula>
    </cfRule>
  </conditionalFormatting>
  <conditionalFormatting sqref="AD422">
    <cfRule type="expression" dxfId="6236" priority="7151">
      <formula>$E422&lt;&gt;"Yes"</formula>
    </cfRule>
  </conditionalFormatting>
  <conditionalFormatting sqref="Y424 AF424:AH424 AJ424:AK424">
    <cfRule type="expression" dxfId="6235" priority="7148">
      <formula>$E$7&lt;&gt;"Yes"</formula>
    </cfRule>
  </conditionalFormatting>
  <conditionalFormatting sqref="Y424 AF424:AH424 AJ424:AK424">
    <cfRule type="expression" dxfId="6234" priority="7147">
      <formula>$E424&lt;&gt;"Yes"</formula>
    </cfRule>
  </conditionalFormatting>
  <conditionalFormatting sqref="Q424">
    <cfRule type="expression" dxfId="6233" priority="7146">
      <formula>$E$7&lt;&gt;"Yes"</formula>
    </cfRule>
  </conditionalFormatting>
  <conditionalFormatting sqref="Q424">
    <cfRule type="expression" dxfId="6232" priority="7145">
      <formula>$E424&lt;&gt;"Yes"</formula>
    </cfRule>
  </conditionalFormatting>
  <conditionalFormatting sqref="M424 F424:J424 Q424">
    <cfRule type="expression" dxfId="6231" priority="7144">
      <formula>$E$7&lt;&gt;"Yes"</formula>
    </cfRule>
  </conditionalFormatting>
  <conditionalFormatting sqref="M424 F424:J424 Q424">
    <cfRule type="expression" dxfId="6230" priority="7143">
      <formula>$E424&lt;&gt;"Yes"</formula>
    </cfRule>
  </conditionalFormatting>
  <conditionalFormatting sqref="G424">
    <cfRule type="expression" dxfId="6229" priority="7142">
      <formula>$E$7&lt;&gt;"Yes"</formula>
    </cfRule>
  </conditionalFormatting>
  <conditionalFormatting sqref="K424:L424">
    <cfRule type="expression" dxfId="6228" priority="7141">
      <formula>$E$7&lt;&gt;"Yes"</formula>
    </cfRule>
  </conditionalFormatting>
  <conditionalFormatting sqref="K424:L424">
    <cfRule type="expression" dxfId="6227" priority="7140">
      <formula>$E424&lt;&gt;"Yes"</formula>
    </cfRule>
  </conditionalFormatting>
  <conditionalFormatting sqref="N424">
    <cfRule type="expression" dxfId="6226" priority="7137">
      <formula>$E$7&lt;&gt;"Yes"</formula>
    </cfRule>
  </conditionalFormatting>
  <conditionalFormatting sqref="N424">
    <cfRule type="expression" dxfId="6225" priority="7136">
      <formula>$E424&lt;&gt;"Yes"</formula>
    </cfRule>
  </conditionalFormatting>
  <conditionalFormatting sqref="W424">
    <cfRule type="expression" dxfId="6224" priority="7139">
      <formula>$E$7&lt;&gt;"Yes"</formula>
    </cfRule>
  </conditionalFormatting>
  <conditionalFormatting sqref="W424">
    <cfRule type="expression" dxfId="6223" priority="7138">
      <formula>$E424&lt;&gt;"Yes"</formula>
    </cfRule>
  </conditionalFormatting>
  <conditionalFormatting sqref="AE424">
    <cfRule type="expression" dxfId="6222" priority="7135">
      <formula>$E$7&lt;&gt;"Yes"</formula>
    </cfRule>
  </conditionalFormatting>
  <conditionalFormatting sqref="AE424">
    <cfRule type="expression" dxfId="6221" priority="7134">
      <formula>$E424&lt;&gt;"Yes"</formula>
    </cfRule>
  </conditionalFormatting>
  <conditionalFormatting sqref="AB424">
    <cfRule type="expression" dxfId="6220" priority="7121">
      <formula>$E$7&lt;&gt;"Yes"</formula>
    </cfRule>
  </conditionalFormatting>
  <conditionalFormatting sqref="AB424">
    <cfRule type="expression" dxfId="6219" priority="7120">
      <formula>$E424&lt;&gt;"Yes"</formula>
    </cfRule>
  </conditionalFormatting>
  <conditionalFormatting sqref="AA424">
    <cfRule type="expression" dxfId="6218" priority="7119">
      <formula>$E$7&lt;&gt;"Yes"</formula>
    </cfRule>
  </conditionalFormatting>
  <conditionalFormatting sqref="AA424">
    <cfRule type="expression" dxfId="6217" priority="7118">
      <formula>$E424&lt;&gt;"Yes"</formula>
    </cfRule>
  </conditionalFormatting>
  <conditionalFormatting sqref="Y424">
    <cfRule type="expression" dxfId="6216" priority="7117">
      <formula>$E$7&lt;&gt;"Yes"</formula>
    </cfRule>
  </conditionalFormatting>
  <conditionalFormatting sqref="Y424">
    <cfRule type="expression" dxfId="6215" priority="7116">
      <formula>$E424&lt;&gt;"Yes"</formula>
    </cfRule>
  </conditionalFormatting>
  <conditionalFormatting sqref="O424:P424">
    <cfRule type="expression" dxfId="6214" priority="7115">
      <formula>$E$7&lt;&gt;"Yes"</formula>
    </cfRule>
  </conditionalFormatting>
  <conditionalFormatting sqref="O424:P424">
    <cfRule type="expression" dxfId="6213" priority="7114">
      <formula>$E424&lt;&gt;"Yes"</formula>
    </cfRule>
  </conditionalFormatting>
  <conditionalFormatting sqref="X424">
    <cfRule type="expression" dxfId="6212" priority="7113">
      <formula>$E$7&lt;&gt;"Yes"</formula>
    </cfRule>
  </conditionalFormatting>
  <conditionalFormatting sqref="X424">
    <cfRule type="expression" dxfId="6211" priority="7112">
      <formula>$E424&lt;&gt;"Yes"</formula>
    </cfRule>
  </conditionalFormatting>
  <conditionalFormatting sqref="AD424">
    <cfRule type="expression" dxfId="6210" priority="7109">
      <formula>$E$7&lt;&gt;"Yes"</formula>
    </cfRule>
  </conditionalFormatting>
  <conditionalFormatting sqref="AD424">
    <cfRule type="expression" dxfId="6209" priority="7108">
      <formula>$E424&lt;&gt;"Yes"</formula>
    </cfRule>
  </conditionalFormatting>
  <conditionalFormatting sqref="Y429 AF429:AH429 AJ429:AK429">
    <cfRule type="expression" dxfId="6208" priority="7105">
      <formula>$E$7&lt;&gt;"Yes"</formula>
    </cfRule>
  </conditionalFormatting>
  <conditionalFormatting sqref="Y429 AF429:AH429 AJ429:AK429">
    <cfRule type="expression" dxfId="6207" priority="7104">
      <formula>$E429&lt;&gt;"Yes"</formula>
    </cfRule>
  </conditionalFormatting>
  <conditionalFormatting sqref="Q429">
    <cfRule type="expression" dxfId="6206" priority="7103">
      <formula>$E$7&lt;&gt;"Yes"</formula>
    </cfRule>
  </conditionalFormatting>
  <conditionalFormatting sqref="Q429">
    <cfRule type="expression" dxfId="6205" priority="7102">
      <formula>$E429&lt;&gt;"Yes"</formula>
    </cfRule>
  </conditionalFormatting>
  <conditionalFormatting sqref="M429 F429:J429 Q429">
    <cfRule type="expression" dxfId="6204" priority="7101">
      <formula>$E$7&lt;&gt;"Yes"</formula>
    </cfRule>
  </conditionalFormatting>
  <conditionalFormatting sqref="M429 F429:J429 Q429">
    <cfRule type="expression" dxfId="6203" priority="7100">
      <formula>$E429&lt;&gt;"Yes"</formula>
    </cfRule>
  </conditionalFormatting>
  <conditionalFormatting sqref="G429">
    <cfRule type="expression" dxfId="6202" priority="7099">
      <formula>$E$7&lt;&gt;"Yes"</formula>
    </cfRule>
  </conditionalFormatting>
  <conditionalFormatting sqref="K429:L429">
    <cfRule type="expression" dxfId="6201" priority="7098">
      <formula>$E$7&lt;&gt;"Yes"</formula>
    </cfRule>
  </conditionalFormatting>
  <conditionalFormatting sqref="K429:L429">
    <cfRule type="expression" dxfId="6200" priority="7097">
      <formula>$E429&lt;&gt;"Yes"</formula>
    </cfRule>
  </conditionalFormatting>
  <conditionalFormatting sqref="N429">
    <cfRule type="expression" dxfId="6199" priority="7094">
      <formula>$E$7&lt;&gt;"Yes"</formula>
    </cfRule>
  </conditionalFormatting>
  <conditionalFormatting sqref="N429">
    <cfRule type="expression" dxfId="6198" priority="7093">
      <formula>$E429&lt;&gt;"Yes"</formula>
    </cfRule>
  </conditionalFormatting>
  <conditionalFormatting sqref="W429">
    <cfRule type="expression" dxfId="6197" priority="7096">
      <formula>$E$7&lt;&gt;"Yes"</formula>
    </cfRule>
  </conditionalFormatting>
  <conditionalFormatting sqref="W429">
    <cfRule type="expression" dxfId="6196" priority="7095">
      <formula>$E429&lt;&gt;"Yes"</formula>
    </cfRule>
  </conditionalFormatting>
  <conditionalFormatting sqref="AE429">
    <cfRule type="expression" dxfId="6195" priority="7092">
      <formula>$E$7&lt;&gt;"Yes"</formula>
    </cfRule>
  </conditionalFormatting>
  <conditionalFormatting sqref="AE429">
    <cfRule type="expression" dxfId="6194" priority="7091">
      <formula>$E429&lt;&gt;"Yes"</formula>
    </cfRule>
  </conditionalFormatting>
  <conditionalFormatting sqref="AB429">
    <cfRule type="expression" dxfId="6193" priority="7078">
      <formula>$E$7&lt;&gt;"Yes"</formula>
    </cfRule>
  </conditionalFormatting>
  <conditionalFormatting sqref="AB429">
    <cfRule type="expression" dxfId="6192" priority="7077">
      <formula>$E429&lt;&gt;"Yes"</formula>
    </cfRule>
  </conditionalFormatting>
  <conditionalFormatting sqref="AA429">
    <cfRule type="expression" dxfId="6191" priority="7076">
      <formula>$E$7&lt;&gt;"Yes"</formula>
    </cfRule>
  </conditionalFormatting>
  <conditionalFormatting sqref="AA429">
    <cfRule type="expression" dxfId="6190" priority="7075">
      <formula>$E429&lt;&gt;"Yes"</formula>
    </cfRule>
  </conditionalFormatting>
  <conditionalFormatting sqref="Y429">
    <cfRule type="expression" dxfId="6189" priority="7074">
      <formula>$E$7&lt;&gt;"Yes"</formula>
    </cfRule>
  </conditionalFormatting>
  <conditionalFormatting sqref="Y429">
    <cfRule type="expression" dxfId="6188" priority="7073">
      <formula>$E429&lt;&gt;"Yes"</formula>
    </cfRule>
  </conditionalFormatting>
  <conditionalFormatting sqref="O429:P429">
    <cfRule type="expression" dxfId="6187" priority="7072">
      <formula>$E$7&lt;&gt;"Yes"</formula>
    </cfRule>
  </conditionalFormatting>
  <conditionalFormatting sqref="O429:P429">
    <cfRule type="expression" dxfId="6186" priority="7071">
      <formula>$E429&lt;&gt;"Yes"</formula>
    </cfRule>
  </conditionalFormatting>
  <conditionalFormatting sqref="X429">
    <cfRule type="expression" dxfId="6185" priority="7070">
      <formula>$E$7&lt;&gt;"Yes"</formula>
    </cfRule>
  </conditionalFormatting>
  <conditionalFormatting sqref="X429">
    <cfRule type="expression" dxfId="6184" priority="7069">
      <formula>$E429&lt;&gt;"Yes"</formula>
    </cfRule>
  </conditionalFormatting>
  <conditionalFormatting sqref="AD429">
    <cfRule type="expression" dxfId="6183" priority="7066">
      <formula>$E$7&lt;&gt;"Yes"</formula>
    </cfRule>
  </conditionalFormatting>
  <conditionalFormatting sqref="AD429">
    <cfRule type="expression" dxfId="6182" priority="7065">
      <formula>$E429&lt;&gt;"Yes"</formula>
    </cfRule>
  </conditionalFormatting>
  <conditionalFormatting sqref="P420">
    <cfRule type="expression" dxfId="6181" priority="7062">
      <formula>$E$7&lt;&gt;"Yes"</formula>
    </cfRule>
  </conditionalFormatting>
  <conditionalFormatting sqref="P420">
    <cfRule type="expression" dxfId="6180" priority="7061">
      <formula>$E420&lt;&gt;"Yes"</formula>
    </cfRule>
  </conditionalFormatting>
  <conditionalFormatting sqref="P421">
    <cfRule type="expression" dxfId="6179" priority="7060">
      <formula>$E$7&lt;&gt;"Yes"</formula>
    </cfRule>
  </conditionalFormatting>
  <conditionalFormatting sqref="P421">
    <cfRule type="expression" dxfId="6178" priority="7059">
      <formula>$E421&lt;&gt;"Yes"</formula>
    </cfRule>
  </conditionalFormatting>
  <conditionalFormatting sqref="Y425 AF425:AH425 AJ425:AK425">
    <cfRule type="expression" dxfId="6177" priority="7058">
      <formula>$E$7&lt;&gt;"Yes"</formula>
    </cfRule>
  </conditionalFormatting>
  <conditionalFormatting sqref="Y425 AF425:AH425 AJ425:AK425">
    <cfRule type="expression" dxfId="6176" priority="7057">
      <formula>$E425&lt;&gt;"Yes"</formula>
    </cfRule>
  </conditionalFormatting>
  <conditionalFormatting sqref="Q425">
    <cfRule type="expression" dxfId="6175" priority="7056">
      <formula>$E$7&lt;&gt;"Yes"</formula>
    </cfRule>
  </conditionalFormatting>
  <conditionalFormatting sqref="Q425">
    <cfRule type="expression" dxfId="6174" priority="7055">
      <formula>$E425&lt;&gt;"Yes"</formula>
    </cfRule>
  </conditionalFormatting>
  <conditionalFormatting sqref="M425 F425:J425 Q425">
    <cfRule type="expression" dxfId="6173" priority="7054">
      <formula>$E$7&lt;&gt;"Yes"</formula>
    </cfRule>
  </conditionalFormatting>
  <conditionalFormatting sqref="M425 F425:J425 Q425">
    <cfRule type="expression" dxfId="6172" priority="7053">
      <formula>$E425&lt;&gt;"Yes"</formula>
    </cfRule>
  </conditionalFormatting>
  <conditionalFormatting sqref="G425">
    <cfRule type="expression" dxfId="6171" priority="7052">
      <formula>$E$7&lt;&gt;"Yes"</formula>
    </cfRule>
  </conditionalFormatting>
  <conditionalFormatting sqref="K425:L425">
    <cfRule type="expression" dxfId="6170" priority="7051">
      <formula>$E$7&lt;&gt;"Yes"</formula>
    </cfRule>
  </conditionalFormatting>
  <conditionalFormatting sqref="K425:L425">
    <cfRule type="expression" dxfId="6169" priority="7050">
      <formula>$E425&lt;&gt;"Yes"</formula>
    </cfRule>
  </conditionalFormatting>
  <conditionalFormatting sqref="N425">
    <cfRule type="expression" dxfId="6168" priority="7047">
      <formula>$E$7&lt;&gt;"Yes"</formula>
    </cfRule>
  </conditionalFormatting>
  <conditionalFormatting sqref="N425">
    <cfRule type="expression" dxfId="6167" priority="7046">
      <formula>$E425&lt;&gt;"Yes"</formula>
    </cfRule>
  </conditionalFormatting>
  <conditionalFormatting sqref="W425">
    <cfRule type="expression" dxfId="6166" priority="7049">
      <formula>$E$7&lt;&gt;"Yes"</formula>
    </cfRule>
  </conditionalFormatting>
  <conditionalFormatting sqref="W425">
    <cfRule type="expression" dxfId="6165" priority="7048">
      <formula>$E425&lt;&gt;"Yes"</formula>
    </cfRule>
  </conditionalFormatting>
  <conditionalFormatting sqref="AE425">
    <cfRule type="expression" dxfId="6164" priority="7045">
      <formula>$E$7&lt;&gt;"Yes"</formula>
    </cfRule>
  </conditionalFormatting>
  <conditionalFormatting sqref="AE425">
    <cfRule type="expression" dxfId="6163" priority="7044">
      <formula>$E425&lt;&gt;"Yes"</formula>
    </cfRule>
  </conditionalFormatting>
  <conditionalFormatting sqref="AB425">
    <cfRule type="expression" dxfId="6162" priority="7031">
      <formula>$E$7&lt;&gt;"Yes"</formula>
    </cfRule>
  </conditionalFormatting>
  <conditionalFormatting sqref="AB425">
    <cfRule type="expression" dxfId="6161" priority="7030">
      <formula>$E425&lt;&gt;"Yes"</formula>
    </cfRule>
  </conditionalFormatting>
  <conditionalFormatting sqref="AA425">
    <cfRule type="expression" dxfId="6160" priority="7029">
      <formula>$E$7&lt;&gt;"Yes"</formula>
    </cfRule>
  </conditionalFormatting>
  <conditionalFormatting sqref="AA425">
    <cfRule type="expression" dxfId="6159" priority="7028">
      <formula>$E425&lt;&gt;"Yes"</formula>
    </cfRule>
  </conditionalFormatting>
  <conditionalFormatting sqref="Y425">
    <cfRule type="expression" dxfId="6158" priority="7027">
      <formula>$E$7&lt;&gt;"Yes"</formula>
    </cfRule>
  </conditionalFormatting>
  <conditionalFormatting sqref="Y425">
    <cfRule type="expression" dxfId="6157" priority="7026">
      <formula>$E425&lt;&gt;"Yes"</formula>
    </cfRule>
  </conditionalFormatting>
  <conditionalFormatting sqref="O425:P425">
    <cfRule type="expression" dxfId="6156" priority="7025">
      <formula>$E$7&lt;&gt;"Yes"</formula>
    </cfRule>
  </conditionalFormatting>
  <conditionalFormatting sqref="O425:P425">
    <cfRule type="expression" dxfId="6155" priority="7024">
      <formula>$E425&lt;&gt;"Yes"</formula>
    </cfRule>
  </conditionalFormatting>
  <conditionalFormatting sqref="X425">
    <cfRule type="expression" dxfId="6154" priority="7023">
      <formula>$E$7&lt;&gt;"Yes"</formula>
    </cfRule>
  </conditionalFormatting>
  <conditionalFormatting sqref="X425">
    <cfRule type="expression" dxfId="6153" priority="7022">
      <formula>$E425&lt;&gt;"Yes"</formula>
    </cfRule>
  </conditionalFormatting>
  <conditionalFormatting sqref="AD425">
    <cfRule type="expression" dxfId="6152" priority="7019">
      <formula>$E$7&lt;&gt;"Yes"</formula>
    </cfRule>
  </conditionalFormatting>
  <conditionalFormatting sqref="AD425">
    <cfRule type="expression" dxfId="6151" priority="7018">
      <formula>$E425&lt;&gt;"Yes"</formula>
    </cfRule>
  </conditionalFormatting>
  <conditionalFormatting sqref="Y426 AF426:AH426 AJ426:AK426">
    <cfRule type="expression" dxfId="6150" priority="7015">
      <formula>$E$7&lt;&gt;"Yes"</formula>
    </cfRule>
  </conditionalFormatting>
  <conditionalFormatting sqref="Y426 AF426:AH426 AJ426:AK426">
    <cfRule type="expression" dxfId="6149" priority="7014">
      <formula>$E426&lt;&gt;"Yes"</formula>
    </cfRule>
  </conditionalFormatting>
  <conditionalFormatting sqref="Q426">
    <cfRule type="expression" dxfId="6148" priority="7013">
      <formula>$E$7&lt;&gt;"Yes"</formula>
    </cfRule>
  </conditionalFormatting>
  <conditionalFormatting sqref="Q426">
    <cfRule type="expression" dxfId="6147" priority="7012">
      <formula>$E426&lt;&gt;"Yes"</formula>
    </cfRule>
  </conditionalFormatting>
  <conditionalFormatting sqref="M426 F426:J426 Q426">
    <cfRule type="expression" dxfId="6146" priority="7011">
      <formula>$E$7&lt;&gt;"Yes"</formula>
    </cfRule>
  </conditionalFormatting>
  <conditionalFormatting sqref="M426 F426:J426 Q426">
    <cfRule type="expression" dxfId="6145" priority="7010">
      <formula>$E426&lt;&gt;"Yes"</formula>
    </cfRule>
  </conditionalFormatting>
  <conditionalFormatting sqref="G426">
    <cfRule type="expression" dxfId="6144" priority="7009">
      <formula>$E$7&lt;&gt;"Yes"</formula>
    </cfRule>
  </conditionalFormatting>
  <conditionalFormatting sqref="K426:L426">
    <cfRule type="expression" dxfId="6143" priority="7008">
      <formula>$E$7&lt;&gt;"Yes"</formula>
    </cfRule>
  </conditionalFormatting>
  <conditionalFormatting sqref="K426:L426">
    <cfRule type="expression" dxfId="6142" priority="7007">
      <formula>$E426&lt;&gt;"Yes"</formula>
    </cfRule>
  </conditionalFormatting>
  <conditionalFormatting sqref="N426">
    <cfRule type="expression" dxfId="6141" priority="7004">
      <formula>$E$7&lt;&gt;"Yes"</formula>
    </cfRule>
  </conditionalFormatting>
  <conditionalFormatting sqref="N426">
    <cfRule type="expression" dxfId="6140" priority="7003">
      <formula>$E426&lt;&gt;"Yes"</formula>
    </cfRule>
  </conditionalFormatting>
  <conditionalFormatting sqref="W426">
    <cfRule type="expression" dxfId="6139" priority="7006">
      <formula>$E$7&lt;&gt;"Yes"</formula>
    </cfRule>
  </conditionalFormatting>
  <conditionalFormatting sqref="W426">
    <cfRule type="expression" dxfId="6138" priority="7005">
      <formula>$E426&lt;&gt;"Yes"</formula>
    </cfRule>
  </conditionalFormatting>
  <conditionalFormatting sqref="AE426">
    <cfRule type="expression" dxfId="6137" priority="7002">
      <formula>$E$7&lt;&gt;"Yes"</formula>
    </cfRule>
  </conditionalFormatting>
  <conditionalFormatting sqref="AE426">
    <cfRule type="expression" dxfId="6136" priority="7001">
      <formula>$E426&lt;&gt;"Yes"</formula>
    </cfRule>
  </conditionalFormatting>
  <conditionalFormatting sqref="AB426">
    <cfRule type="expression" dxfId="6135" priority="6988">
      <formula>$E$7&lt;&gt;"Yes"</formula>
    </cfRule>
  </conditionalFormatting>
  <conditionalFormatting sqref="AB426">
    <cfRule type="expression" dxfId="6134" priority="6987">
      <formula>$E426&lt;&gt;"Yes"</formula>
    </cfRule>
  </conditionalFormatting>
  <conditionalFormatting sqref="AA426">
    <cfRule type="expression" dxfId="6133" priority="6986">
      <formula>$E$7&lt;&gt;"Yes"</formula>
    </cfRule>
  </conditionalFormatting>
  <conditionalFormatting sqref="AA426">
    <cfRule type="expression" dxfId="6132" priority="6985">
      <formula>$E426&lt;&gt;"Yes"</formula>
    </cfRule>
  </conditionalFormatting>
  <conditionalFormatting sqref="Y426">
    <cfRule type="expression" dxfId="6131" priority="6984">
      <formula>$E$7&lt;&gt;"Yes"</formula>
    </cfRule>
  </conditionalFormatting>
  <conditionalFormatting sqref="Y426">
    <cfRule type="expression" dxfId="6130" priority="6983">
      <formula>$E426&lt;&gt;"Yes"</formula>
    </cfRule>
  </conditionalFormatting>
  <conditionalFormatting sqref="O426:P426">
    <cfRule type="expression" dxfId="6129" priority="6982">
      <formula>$E$7&lt;&gt;"Yes"</formula>
    </cfRule>
  </conditionalFormatting>
  <conditionalFormatting sqref="O426:P426">
    <cfRule type="expression" dxfId="6128" priority="6981">
      <formula>$E426&lt;&gt;"Yes"</formula>
    </cfRule>
  </conditionalFormatting>
  <conditionalFormatting sqref="X426">
    <cfRule type="expression" dxfId="6127" priority="6980">
      <formula>$E$7&lt;&gt;"Yes"</formula>
    </cfRule>
  </conditionalFormatting>
  <conditionalFormatting sqref="X426">
    <cfRule type="expression" dxfId="6126" priority="6979">
      <formula>$E426&lt;&gt;"Yes"</formula>
    </cfRule>
  </conditionalFormatting>
  <conditionalFormatting sqref="AD426">
    <cfRule type="expression" dxfId="6125" priority="6976">
      <formula>$E$7&lt;&gt;"Yes"</formula>
    </cfRule>
  </conditionalFormatting>
  <conditionalFormatting sqref="AD426">
    <cfRule type="expression" dxfId="6124" priority="6975">
      <formula>$E426&lt;&gt;"Yes"</formula>
    </cfRule>
  </conditionalFormatting>
  <conditionalFormatting sqref="Y423 AF423:AH423 AJ423:AK423">
    <cfRule type="expression" dxfId="6123" priority="6843">
      <formula>$E$7&lt;&gt;"Yes"</formula>
    </cfRule>
  </conditionalFormatting>
  <conditionalFormatting sqref="Y423 AF423:AH423 AJ423:AK423">
    <cfRule type="expression" dxfId="6122" priority="6842">
      <formula>$E423&lt;&gt;"Yes"</formula>
    </cfRule>
  </conditionalFormatting>
  <conditionalFormatting sqref="Q423">
    <cfRule type="expression" dxfId="6121" priority="6841">
      <formula>$E$7&lt;&gt;"Yes"</formula>
    </cfRule>
  </conditionalFormatting>
  <conditionalFormatting sqref="Q423">
    <cfRule type="expression" dxfId="6120" priority="6840">
      <formula>$E423&lt;&gt;"Yes"</formula>
    </cfRule>
  </conditionalFormatting>
  <conditionalFormatting sqref="M423 F423:J423 Q423">
    <cfRule type="expression" dxfId="6119" priority="6839">
      <formula>$E$7&lt;&gt;"Yes"</formula>
    </cfRule>
  </conditionalFormatting>
  <conditionalFormatting sqref="M423 F423:J423 Q423">
    <cfRule type="expression" dxfId="6118" priority="6838">
      <formula>$E423&lt;&gt;"Yes"</formula>
    </cfRule>
  </conditionalFormatting>
  <conditionalFormatting sqref="G423">
    <cfRule type="expression" dxfId="6117" priority="6837">
      <formula>$E$7&lt;&gt;"Yes"</formula>
    </cfRule>
  </conditionalFormatting>
  <conditionalFormatting sqref="K423:L423">
    <cfRule type="expression" dxfId="6116" priority="6836">
      <formula>$E$7&lt;&gt;"Yes"</formula>
    </cfRule>
  </conditionalFormatting>
  <conditionalFormatting sqref="K423:L423">
    <cfRule type="expression" dxfId="6115" priority="6835">
      <formula>$E423&lt;&gt;"Yes"</formula>
    </cfRule>
  </conditionalFormatting>
  <conditionalFormatting sqref="N423">
    <cfRule type="expression" dxfId="6114" priority="6832">
      <formula>$E$7&lt;&gt;"Yes"</formula>
    </cfRule>
  </conditionalFormatting>
  <conditionalFormatting sqref="N423">
    <cfRule type="expression" dxfId="6113" priority="6831">
      <formula>$E423&lt;&gt;"Yes"</formula>
    </cfRule>
  </conditionalFormatting>
  <conditionalFormatting sqref="W423">
    <cfRule type="expression" dxfId="6112" priority="6834">
      <formula>$E$7&lt;&gt;"Yes"</formula>
    </cfRule>
  </conditionalFormatting>
  <conditionalFormatting sqref="W423">
    <cfRule type="expression" dxfId="6111" priority="6833">
      <formula>$E423&lt;&gt;"Yes"</formula>
    </cfRule>
  </conditionalFormatting>
  <conditionalFormatting sqref="AE423">
    <cfRule type="expression" dxfId="6110" priority="6830">
      <formula>$E$7&lt;&gt;"Yes"</formula>
    </cfRule>
  </conditionalFormatting>
  <conditionalFormatting sqref="AE423">
    <cfRule type="expression" dxfId="6109" priority="6829">
      <formula>$E423&lt;&gt;"Yes"</formula>
    </cfRule>
  </conditionalFormatting>
  <conditionalFormatting sqref="AB423">
    <cfRule type="expression" dxfId="6108" priority="6816">
      <formula>$E$7&lt;&gt;"Yes"</formula>
    </cfRule>
  </conditionalFormatting>
  <conditionalFormatting sqref="AB423">
    <cfRule type="expression" dxfId="6107" priority="6815">
      <formula>$E423&lt;&gt;"Yes"</formula>
    </cfRule>
  </conditionalFormatting>
  <conditionalFormatting sqref="AA423">
    <cfRule type="expression" dxfId="6106" priority="6814">
      <formula>$E$7&lt;&gt;"Yes"</formula>
    </cfRule>
  </conditionalFormatting>
  <conditionalFormatting sqref="AA423">
    <cfRule type="expression" dxfId="6105" priority="6813">
      <formula>$E423&lt;&gt;"Yes"</formula>
    </cfRule>
  </conditionalFormatting>
  <conditionalFormatting sqref="Y423">
    <cfRule type="expression" dxfId="6104" priority="6812">
      <formula>$E$7&lt;&gt;"Yes"</formula>
    </cfRule>
  </conditionalFormatting>
  <conditionalFormatting sqref="Y423">
    <cfRule type="expression" dxfId="6103" priority="6811">
      <formula>$E423&lt;&gt;"Yes"</formula>
    </cfRule>
  </conditionalFormatting>
  <conditionalFormatting sqref="O423">
    <cfRule type="expression" dxfId="6102" priority="6810">
      <formula>$E$7&lt;&gt;"Yes"</formula>
    </cfRule>
  </conditionalFormatting>
  <conditionalFormatting sqref="O423">
    <cfRule type="expression" dxfId="6101" priority="6809">
      <formula>$E423&lt;&gt;"Yes"</formula>
    </cfRule>
  </conditionalFormatting>
  <conditionalFormatting sqref="X423">
    <cfRule type="expression" dxfId="6100" priority="6808">
      <formula>$E$7&lt;&gt;"Yes"</formula>
    </cfRule>
  </conditionalFormatting>
  <conditionalFormatting sqref="X423">
    <cfRule type="expression" dxfId="6099" priority="6807">
      <formula>$E423&lt;&gt;"Yes"</formula>
    </cfRule>
  </conditionalFormatting>
  <conditionalFormatting sqref="AD423">
    <cfRule type="expression" dxfId="6098" priority="6804">
      <formula>$E$7&lt;&gt;"Yes"</formula>
    </cfRule>
  </conditionalFormatting>
  <conditionalFormatting sqref="AD423">
    <cfRule type="expression" dxfId="6097" priority="6803">
      <formula>$E423&lt;&gt;"Yes"</formula>
    </cfRule>
  </conditionalFormatting>
  <conditionalFormatting sqref="P423">
    <cfRule type="expression" dxfId="6096" priority="6800">
      <formula>$E$7&lt;&gt;"Yes"</formula>
    </cfRule>
  </conditionalFormatting>
  <conditionalFormatting sqref="P423">
    <cfRule type="expression" dxfId="6095" priority="6799">
      <formula>$E423&lt;&gt;"Yes"</formula>
    </cfRule>
  </conditionalFormatting>
  <conditionalFormatting sqref="Y430 AF430:AH430 AJ430:AK430">
    <cfRule type="expression" dxfId="6094" priority="6798">
      <formula>$E$7&lt;&gt;"Yes"</formula>
    </cfRule>
  </conditionalFormatting>
  <conditionalFormatting sqref="Y430 AF430:AH430 AJ430:AK430">
    <cfRule type="expression" dxfId="6093" priority="6797">
      <formula>$E430&lt;&gt;"Yes"</formula>
    </cfRule>
  </conditionalFormatting>
  <conditionalFormatting sqref="Q430">
    <cfRule type="expression" dxfId="6092" priority="6796">
      <formula>$E$7&lt;&gt;"Yes"</formula>
    </cfRule>
  </conditionalFormatting>
  <conditionalFormatting sqref="Q430">
    <cfRule type="expression" dxfId="6091" priority="6795">
      <formula>$E430&lt;&gt;"Yes"</formula>
    </cfRule>
  </conditionalFormatting>
  <conditionalFormatting sqref="M430 F430:J430 Q430">
    <cfRule type="expression" dxfId="6090" priority="6794">
      <formula>$E$7&lt;&gt;"Yes"</formula>
    </cfRule>
  </conditionalFormatting>
  <conditionalFormatting sqref="M430 F430:J430 Q430">
    <cfRule type="expression" dxfId="6089" priority="6793">
      <formula>$E430&lt;&gt;"Yes"</formula>
    </cfRule>
  </conditionalFormatting>
  <conditionalFormatting sqref="G430">
    <cfRule type="expression" dxfId="6088" priority="6792">
      <formula>$E$7&lt;&gt;"Yes"</formula>
    </cfRule>
  </conditionalFormatting>
  <conditionalFormatting sqref="K430:L430">
    <cfRule type="expression" dxfId="6087" priority="6791">
      <formula>$E$7&lt;&gt;"Yes"</formula>
    </cfRule>
  </conditionalFormatting>
  <conditionalFormatting sqref="K430:L430">
    <cfRule type="expression" dxfId="6086" priority="6790">
      <formula>$E430&lt;&gt;"Yes"</formula>
    </cfRule>
  </conditionalFormatting>
  <conditionalFormatting sqref="N430">
    <cfRule type="expression" dxfId="6085" priority="6787">
      <formula>$E$7&lt;&gt;"Yes"</formula>
    </cfRule>
  </conditionalFormatting>
  <conditionalFormatting sqref="N430">
    <cfRule type="expression" dxfId="6084" priority="6786">
      <formula>$E430&lt;&gt;"Yes"</formula>
    </cfRule>
  </conditionalFormatting>
  <conditionalFormatting sqref="W430">
    <cfRule type="expression" dxfId="6083" priority="6789">
      <formula>$E$7&lt;&gt;"Yes"</formula>
    </cfRule>
  </conditionalFormatting>
  <conditionalFormatting sqref="W430">
    <cfRule type="expression" dxfId="6082" priority="6788">
      <formula>$E430&lt;&gt;"Yes"</formula>
    </cfRule>
  </conditionalFormatting>
  <conditionalFormatting sqref="AE430">
    <cfRule type="expression" dxfId="6081" priority="6785">
      <formula>$E$7&lt;&gt;"Yes"</formula>
    </cfRule>
  </conditionalFormatting>
  <conditionalFormatting sqref="AE430">
    <cfRule type="expression" dxfId="6080" priority="6784">
      <formula>$E430&lt;&gt;"Yes"</formula>
    </cfRule>
  </conditionalFormatting>
  <conditionalFormatting sqref="AB430">
    <cfRule type="expression" dxfId="6079" priority="6771">
      <formula>$E$7&lt;&gt;"Yes"</formula>
    </cfRule>
  </conditionalFormatting>
  <conditionalFormatting sqref="AB430">
    <cfRule type="expression" dxfId="6078" priority="6770">
      <formula>$E430&lt;&gt;"Yes"</formula>
    </cfRule>
  </conditionalFormatting>
  <conditionalFormatting sqref="AA430">
    <cfRule type="expression" dxfId="6077" priority="6769">
      <formula>$E$7&lt;&gt;"Yes"</formula>
    </cfRule>
  </conditionalFormatting>
  <conditionalFormatting sqref="AA430">
    <cfRule type="expression" dxfId="6076" priority="6768">
      <formula>$E430&lt;&gt;"Yes"</formula>
    </cfRule>
  </conditionalFormatting>
  <conditionalFormatting sqref="Y430">
    <cfRule type="expression" dxfId="6075" priority="6767">
      <formula>$E$7&lt;&gt;"Yes"</formula>
    </cfRule>
  </conditionalFormatting>
  <conditionalFormatting sqref="Y430">
    <cfRule type="expression" dxfId="6074" priority="6766">
      <formula>$E430&lt;&gt;"Yes"</formula>
    </cfRule>
  </conditionalFormatting>
  <conditionalFormatting sqref="O430:P430">
    <cfRule type="expression" dxfId="6073" priority="6765">
      <formula>$E$7&lt;&gt;"Yes"</formula>
    </cfRule>
  </conditionalFormatting>
  <conditionalFormatting sqref="O430:P430">
    <cfRule type="expression" dxfId="6072" priority="6764">
      <formula>$E430&lt;&gt;"Yes"</formula>
    </cfRule>
  </conditionalFormatting>
  <conditionalFormatting sqref="X430">
    <cfRule type="expression" dxfId="6071" priority="6763">
      <formula>$E$7&lt;&gt;"Yes"</formula>
    </cfRule>
  </conditionalFormatting>
  <conditionalFormatting sqref="X430">
    <cfRule type="expression" dxfId="6070" priority="6762">
      <formula>$E430&lt;&gt;"Yes"</formula>
    </cfRule>
  </conditionalFormatting>
  <conditionalFormatting sqref="AD430">
    <cfRule type="expression" dxfId="6069" priority="6759">
      <formula>$E$7&lt;&gt;"Yes"</formula>
    </cfRule>
  </conditionalFormatting>
  <conditionalFormatting sqref="AD430">
    <cfRule type="expression" dxfId="6068" priority="6758">
      <formula>$E430&lt;&gt;"Yes"</formula>
    </cfRule>
  </conditionalFormatting>
  <conditionalFormatting sqref="AC430">
    <cfRule type="expression" dxfId="6067" priority="6757">
      <formula>$E$7&lt;&gt;"Yes"</formula>
    </cfRule>
  </conditionalFormatting>
  <conditionalFormatting sqref="AC430">
    <cfRule type="expression" dxfId="6066" priority="6756">
      <formula>$E430&lt;&gt;"Yes"</formula>
    </cfRule>
  </conditionalFormatting>
  <conditionalFormatting sqref="Y431 AF431:AH431 AJ431:AK431">
    <cfRule type="expression" dxfId="6065" priority="6755">
      <formula>$E$7&lt;&gt;"Yes"</formula>
    </cfRule>
  </conditionalFormatting>
  <conditionalFormatting sqref="Y431 AF431:AH431 AJ431:AK431">
    <cfRule type="expression" dxfId="6064" priority="6754">
      <formula>$E431&lt;&gt;"Yes"</formula>
    </cfRule>
  </conditionalFormatting>
  <conditionalFormatting sqref="Q431">
    <cfRule type="expression" dxfId="6063" priority="6753">
      <formula>$E$7&lt;&gt;"Yes"</formula>
    </cfRule>
  </conditionalFormatting>
  <conditionalFormatting sqref="Q431">
    <cfRule type="expression" dxfId="6062" priority="6752">
      <formula>$E431&lt;&gt;"Yes"</formula>
    </cfRule>
  </conditionalFormatting>
  <conditionalFormatting sqref="M431 F431:J431 Q431">
    <cfRule type="expression" dxfId="6061" priority="6751">
      <formula>$E$7&lt;&gt;"Yes"</formula>
    </cfRule>
  </conditionalFormatting>
  <conditionalFormatting sqref="M431 F431:J431 Q431">
    <cfRule type="expression" dxfId="6060" priority="6750">
      <formula>$E431&lt;&gt;"Yes"</formula>
    </cfRule>
  </conditionalFormatting>
  <conditionalFormatting sqref="G431">
    <cfRule type="expression" dxfId="6059" priority="6749">
      <formula>$E$7&lt;&gt;"Yes"</formula>
    </cfRule>
  </conditionalFormatting>
  <conditionalFormatting sqref="K431:L431">
    <cfRule type="expression" dxfId="6058" priority="6748">
      <formula>$E$7&lt;&gt;"Yes"</formula>
    </cfRule>
  </conditionalFormatting>
  <conditionalFormatting sqref="K431:L431">
    <cfRule type="expression" dxfId="6057" priority="6747">
      <formula>$E431&lt;&gt;"Yes"</formula>
    </cfRule>
  </conditionalFormatting>
  <conditionalFormatting sqref="N431">
    <cfRule type="expression" dxfId="6056" priority="6744">
      <formula>$E$7&lt;&gt;"Yes"</formula>
    </cfRule>
  </conditionalFormatting>
  <conditionalFormatting sqref="N431">
    <cfRule type="expression" dxfId="6055" priority="6743">
      <formula>$E431&lt;&gt;"Yes"</formula>
    </cfRule>
  </conditionalFormatting>
  <conditionalFormatting sqref="W431">
    <cfRule type="expression" dxfId="6054" priority="6746">
      <formula>$E$7&lt;&gt;"Yes"</formula>
    </cfRule>
  </conditionalFormatting>
  <conditionalFormatting sqref="W431">
    <cfRule type="expression" dxfId="6053" priority="6745">
      <formula>$E431&lt;&gt;"Yes"</formula>
    </cfRule>
  </conditionalFormatting>
  <conditionalFormatting sqref="AE431">
    <cfRule type="expression" dxfId="6052" priority="6742">
      <formula>$E$7&lt;&gt;"Yes"</formula>
    </cfRule>
  </conditionalFormatting>
  <conditionalFormatting sqref="AE431">
    <cfRule type="expression" dxfId="6051" priority="6741">
      <formula>$E431&lt;&gt;"Yes"</formula>
    </cfRule>
  </conditionalFormatting>
  <conditionalFormatting sqref="AB431">
    <cfRule type="expression" dxfId="6050" priority="6728">
      <formula>$E$7&lt;&gt;"Yes"</formula>
    </cfRule>
  </conditionalFormatting>
  <conditionalFormatting sqref="AB431">
    <cfRule type="expression" dxfId="6049" priority="6727">
      <formula>$E431&lt;&gt;"Yes"</formula>
    </cfRule>
  </conditionalFormatting>
  <conditionalFormatting sqref="AA431">
    <cfRule type="expression" dxfId="6048" priority="6726">
      <formula>$E$7&lt;&gt;"Yes"</formula>
    </cfRule>
  </conditionalFormatting>
  <conditionalFormatting sqref="AA431">
    <cfRule type="expression" dxfId="6047" priority="6725">
      <formula>$E431&lt;&gt;"Yes"</formula>
    </cfRule>
  </conditionalFormatting>
  <conditionalFormatting sqref="Y431">
    <cfRule type="expression" dxfId="6046" priority="6724">
      <formula>$E$7&lt;&gt;"Yes"</formula>
    </cfRule>
  </conditionalFormatting>
  <conditionalFormatting sqref="Y431">
    <cfRule type="expression" dxfId="6045" priority="6723">
      <formula>$E431&lt;&gt;"Yes"</formula>
    </cfRule>
  </conditionalFormatting>
  <conditionalFormatting sqref="O431">
    <cfRule type="expression" dxfId="6044" priority="6722">
      <formula>$E$7&lt;&gt;"Yes"</formula>
    </cfRule>
  </conditionalFormatting>
  <conditionalFormatting sqref="O431">
    <cfRule type="expression" dxfId="6043" priority="6721">
      <formula>$E431&lt;&gt;"Yes"</formula>
    </cfRule>
  </conditionalFormatting>
  <conditionalFormatting sqref="X431">
    <cfRule type="expression" dxfId="6042" priority="6720">
      <formula>$E$7&lt;&gt;"Yes"</formula>
    </cfRule>
  </conditionalFormatting>
  <conditionalFormatting sqref="X431">
    <cfRule type="expression" dxfId="6041" priority="6719">
      <formula>$E431&lt;&gt;"Yes"</formula>
    </cfRule>
  </conditionalFormatting>
  <conditionalFormatting sqref="AD431">
    <cfRule type="expression" dxfId="6040" priority="6716">
      <formula>$E$7&lt;&gt;"Yes"</formula>
    </cfRule>
  </conditionalFormatting>
  <conditionalFormatting sqref="AD431">
    <cfRule type="expression" dxfId="6039" priority="6715">
      <formula>$E431&lt;&gt;"Yes"</formula>
    </cfRule>
  </conditionalFormatting>
  <conditionalFormatting sqref="AC431">
    <cfRule type="expression" dxfId="6038" priority="6714">
      <formula>$E$7&lt;&gt;"Yes"</formula>
    </cfRule>
  </conditionalFormatting>
  <conditionalFormatting sqref="AC431">
    <cfRule type="expression" dxfId="6037" priority="6713">
      <formula>$E431&lt;&gt;"Yes"</formula>
    </cfRule>
  </conditionalFormatting>
  <conditionalFormatting sqref="Y432 AF432:AH432 AJ432:AK432">
    <cfRule type="expression" dxfId="6036" priority="6712">
      <formula>$E$7&lt;&gt;"Yes"</formula>
    </cfRule>
  </conditionalFormatting>
  <conditionalFormatting sqref="Y432 AF432:AH432 AJ432:AK432">
    <cfRule type="expression" dxfId="6035" priority="6711">
      <formula>$E432&lt;&gt;"Yes"</formula>
    </cfRule>
  </conditionalFormatting>
  <conditionalFormatting sqref="Q432">
    <cfRule type="expression" dxfId="6034" priority="6710">
      <formula>$E$7&lt;&gt;"Yes"</formula>
    </cfRule>
  </conditionalFormatting>
  <conditionalFormatting sqref="Q432">
    <cfRule type="expression" dxfId="6033" priority="6709">
      <formula>$E432&lt;&gt;"Yes"</formula>
    </cfRule>
  </conditionalFormatting>
  <conditionalFormatting sqref="M432 F432:J432 Q432">
    <cfRule type="expression" dxfId="6032" priority="6708">
      <formula>$E$7&lt;&gt;"Yes"</formula>
    </cfRule>
  </conditionalFormatting>
  <conditionalFormatting sqref="M432 F432:J432 Q432">
    <cfRule type="expression" dxfId="6031" priority="6707">
      <formula>$E432&lt;&gt;"Yes"</formula>
    </cfRule>
  </conditionalFormatting>
  <conditionalFormatting sqref="G432">
    <cfRule type="expression" dxfId="6030" priority="6706">
      <formula>$E$7&lt;&gt;"Yes"</formula>
    </cfRule>
  </conditionalFormatting>
  <conditionalFormatting sqref="K432:L432">
    <cfRule type="expression" dxfId="6029" priority="6705">
      <formula>$E$7&lt;&gt;"Yes"</formula>
    </cfRule>
  </conditionalFormatting>
  <conditionalFormatting sqref="K432:L432">
    <cfRule type="expression" dxfId="6028" priority="6704">
      <formula>$E432&lt;&gt;"Yes"</formula>
    </cfRule>
  </conditionalFormatting>
  <conditionalFormatting sqref="N432">
    <cfRule type="expression" dxfId="6027" priority="6701">
      <formula>$E$7&lt;&gt;"Yes"</formula>
    </cfRule>
  </conditionalFormatting>
  <conditionalFormatting sqref="N432">
    <cfRule type="expression" dxfId="6026" priority="6700">
      <formula>$E432&lt;&gt;"Yes"</formula>
    </cfRule>
  </conditionalFormatting>
  <conditionalFormatting sqref="W432">
    <cfRule type="expression" dxfId="6025" priority="6703">
      <formula>$E$7&lt;&gt;"Yes"</formula>
    </cfRule>
  </conditionalFormatting>
  <conditionalFormatting sqref="W432">
    <cfRule type="expression" dxfId="6024" priority="6702">
      <formula>$E432&lt;&gt;"Yes"</formula>
    </cfRule>
  </conditionalFormatting>
  <conditionalFormatting sqref="AE432">
    <cfRule type="expression" dxfId="6023" priority="6699">
      <formula>$E$7&lt;&gt;"Yes"</formula>
    </cfRule>
  </conditionalFormatting>
  <conditionalFormatting sqref="AE432">
    <cfRule type="expression" dxfId="6022" priority="6698">
      <formula>$E432&lt;&gt;"Yes"</formula>
    </cfRule>
  </conditionalFormatting>
  <conditionalFormatting sqref="AB432">
    <cfRule type="expression" dxfId="6021" priority="6685">
      <formula>$E$7&lt;&gt;"Yes"</formula>
    </cfRule>
  </conditionalFormatting>
  <conditionalFormatting sqref="AB432">
    <cfRule type="expression" dxfId="6020" priority="6684">
      <formula>$E432&lt;&gt;"Yes"</formula>
    </cfRule>
  </conditionalFormatting>
  <conditionalFormatting sqref="AA432">
    <cfRule type="expression" dxfId="6019" priority="6683">
      <formula>$E$7&lt;&gt;"Yes"</formula>
    </cfRule>
  </conditionalFormatting>
  <conditionalFormatting sqref="AA432">
    <cfRule type="expression" dxfId="6018" priority="6682">
      <formula>$E432&lt;&gt;"Yes"</formula>
    </cfRule>
  </conditionalFormatting>
  <conditionalFormatting sqref="Y432">
    <cfRule type="expression" dxfId="6017" priority="6681">
      <formula>$E$7&lt;&gt;"Yes"</formula>
    </cfRule>
  </conditionalFormatting>
  <conditionalFormatting sqref="Y432">
    <cfRule type="expression" dxfId="6016" priority="6680">
      <formula>$E432&lt;&gt;"Yes"</formula>
    </cfRule>
  </conditionalFormatting>
  <conditionalFormatting sqref="O432">
    <cfRule type="expression" dxfId="6015" priority="6679">
      <formula>$E$7&lt;&gt;"Yes"</formula>
    </cfRule>
  </conditionalFormatting>
  <conditionalFormatting sqref="O432">
    <cfRule type="expression" dxfId="6014" priority="6678">
      <formula>$E432&lt;&gt;"Yes"</formula>
    </cfRule>
  </conditionalFormatting>
  <conditionalFormatting sqref="X432">
    <cfRule type="expression" dxfId="6013" priority="6677">
      <formula>$E$7&lt;&gt;"Yes"</formula>
    </cfRule>
  </conditionalFormatting>
  <conditionalFormatting sqref="X432">
    <cfRule type="expression" dxfId="6012" priority="6676">
      <formula>$E432&lt;&gt;"Yes"</formula>
    </cfRule>
  </conditionalFormatting>
  <conditionalFormatting sqref="AD432">
    <cfRule type="expression" dxfId="6011" priority="6673">
      <formula>$E$7&lt;&gt;"Yes"</formula>
    </cfRule>
  </conditionalFormatting>
  <conditionalFormatting sqref="AD432">
    <cfRule type="expression" dxfId="6010" priority="6672">
      <formula>$E432&lt;&gt;"Yes"</formula>
    </cfRule>
  </conditionalFormatting>
  <conditionalFormatting sqref="AC432">
    <cfRule type="expression" dxfId="6009" priority="6671">
      <formula>$E$7&lt;&gt;"Yes"</formula>
    </cfRule>
  </conditionalFormatting>
  <conditionalFormatting sqref="AC432">
    <cfRule type="expression" dxfId="6008" priority="6670">
      <formula>$E432&lt;&gt;"Yes"</formula>
    </cfRule>
  </conditionalFormatting>
  <conditionalFormatting sqref="Y433 AF433:AH433 AJ433:AK433">
    <cfRule type="expression" dxfId="6007" priority="6669">
      <formula>$E$7&lt;&gt;"Yes"</formula>
    </cfRule>
  </conditionalFormatting>
  <conditionalFormatting sqref="Y433 AF433:AH433 AJ433:AK433">
    <cfRule type="expression" dxfId="6006" priority="6668">
      <formula>$E433&lt;&gt;"Yes"</formula>
    </cfRule>
  </conditionalFormatting>
  <conditionalFormatting sqref="Q433">
    <cfRule type="expression" dxfId="6005" priority="6667">
      <formula>$E$7&lt;&gt;"Yes"</formula>
    </cfRule>
  </conditionalFormatting>
  <conditionalFormatting sqref="Q433">
    <cfRule type="expression" dxfId="6004" priority="6666">
      <formula>$E433&lt;&gt;"Yes"</formula>
    </cfRule>
  </conditionalFormatting>
  <conditionalFormatting sqref="M433 F433:J433 Q433">
    <cfRule type="expression" dxfId="6003" priority="6665">
      <formula>$E$7&lt;&gt;"Yes"</formula>
    </cfRule>
  </conditionalFormatting>
  <conditionalFormatting sqref="M433 F433:J433 Q433">
    <cfRule type="expression" dxfId="6002" priority="6664">
      <formula>$E433&lt;&gt;"Yes"</formula>
    </cfRule>
  </conditionalFormatting>
  <conditionalFormatting sqref="G433">
    <cfRule type="expression" dxfId="6001" priority="6663">
      <formula>$E$7&lt;&gt;"Yes"</formula>
    </cfRule>
  </conditionalFormatting>
  <conditionalFormatting sqref="K433:L433">
    <cfRule type="expression" dxfId="6000" priority="6662">
      <formula>$E$7&lt;&gt;"Yes"</formula>
    </cfRule>
  </conditionalFormatting>
  <conditionalFormatting sqref="K433:L433">
    <cfRule type="expression" dxfId="5999" priority="6661">
      <formula>$E433&lt;&gt;"Yes"</formula>
    </cfRule>
  </conditionalFormatting>
  <conditionalFormatting sqref="N433">
    <cfRule type="expression" dxfId="5998" priority="6658">
      <formula>$E$7&lt;&gt;"Yes"</formula>
    </cfRule>
  </conditionalFormatting>
  <conditionalFormatting sqref="N433">
    <cfRule type="expression" dxfId="5997" priority="6657">
      <formula>$E433&lt;&gt;"Yes"</formula>
    </cfRule>
  </conditionalFormatting>
  <conditionalFormatting sqref="W433">
    <cfRule type="expression" dxfId="5996" priority="6660">
      <formula>$E$7&lt;&gt;"Yes"</formula>
    </cfRule>
  </conditionalFormatting>
  <conditionalFormatting sqref="W433">
    <cfRule type="expression" dxfId="5995" priority="6659">
      <formula>$E433&lt;&gt;"Yes"</formula>
    </cfRule>
  </conditionalFormatting>
  <conditionalFormatting sqref="AE433">
    <cfRule type="expression" dxfId="5994" priority="6656">
      <formula>$E$7&lt;&gt;"Yes"</formula>
    </cfRule>
  </conditionalFormatting>
  <conditionalFormatting sqref="AE433">
    <cfRule type="expression" dxfId="5993" priority="6655">
      <formula>$E433&lt;&gt;"Yes"</formula>
    </cfRule>
  </conditionalFormatting>
  <conditionalFormatting sqref="AB433">
    <cfRule type="expression" dxfId="5992" priority="6642">
      <formula>$E$7&lt;&gt;"Yes"</formula>
    </cfRule>
  </conditionalFormatting>
  <conditionalFormatting sqref="AB433">
    <cfRule type="expression" dxfId="5991" priority="6641">
      <formula>$E433&lt;&gt;"Yes"</formula>
    </cfRule>
  </conditionalFormatting>
  <conditionalFormatting sqref="AA433">
    <cfRule type="expression" dxfId="5990" priority="6640">
      <formula>$E$7&lt;&gt;"Yes"</formula>
    </cfRule>
  </conditionalFormatting>
  <conditionalFormatting sqref="AA433">
    <cfRule type="expression" dxfId="5989" priority="6639">
      <formula>$E433&lt;&gt;"Yes"</formula>
    </cfRule>
  </conditionalFormatting>
  <conditionalFormatting sqref="Y433">
    <cfRule type="expression" dxfId="5988" priority="6638">
      <formula>$E$7&lt;&gt;"Yes"</formula>
    </cfRule>
  </conditionalFormatting>
  <conditionalFormatting sqref="Y433">
    <cfRule type="expression" dxfId="5987" priority="6637">
      <formula>$E433&lt;&gt;"Yes"</formula>
    </cfRule>
  </conditionalFormatting>
  <conditionalFormatting sqref="O433:P433">
    <cfRule type="expression" dxfId="5986" priority="6636">
      <formula>$E$7&lt;&gt;"Yes"</formula>
    </cfRule>
  </conditionalFormatting>
  <conditionalFormatting sqref="O433:P433">
    <cfRule type="expression" dxfId="5985" priority="6635">
      <formula>$E433&lt;&gt;"Yes"</formula>
    </cfRule>
  </conditionalFormatting>
  <conditionalFormatting sqref="X433">
    <cfRule type="expression" dxfId="5984" priority="6634">
      <formula>$E$7&lt;&gt;"Yes"</formula>
    </cfRule>
  </conditionalFormatting>
  <conditionalFormatting sqref="X433">
    <cfRule type="expression" dxfId="5983" priority="6633">
      <formula>$E433&lt;&gt;"Yes"</formula>
    </cfRule>
  </conditionalFormatting>
  <conditionalFormatting sqref="AD433">
    <cfRule type="expression" dxfId="5982" priority="6630">
      <formula>$E$7&lt;&gt;"Yes"</formula>
    </cfRule>
  </conditionalFormatting>
  <conditionalFormatting sqref="AD433">
    <cfRule type="expression" dxfId="5981" priority="6629">
      <formula>$E433&lt;&gt;"Yes"</formula>
    </cfRule>
  </conditionalFormatting>
  <conditionalFormatting sqref="AC433">
    <cfRule type="expression" dxfId="5980" priority="6628">
      <formula>$E$7&lt;&gt;"Yes"</formula>
    </cfRule>
  </conditionalFormatting>
  <conditionalFormatting sqref="AC433">
    <cfRule type="expression" dxfId="5979" priority="6627">
      <formula>$E433&lt;&gt;"Yes"</formula>
    </cfRule>
  </conditionalFormatting>
  <conditionalFormatting sqref="Y434 AF434:AH434 AJ434:AK434">
    <cfRule type="expression" dxfId="5978" priority="6626">
      <formula>$E$7&lt;&gt;"Yes"</formula>
    </cfRule>
  </conditionalFormatting>
  <conditionalFormatting sqref="Y434 AF434:AH434 AJ434:AK434">
    <cfRule type="expression" dxfId="5977" priority="6625">
      <formula>$E434&lt;&gt;"Yes"</formula>
    </cfRule>
  </conditionalFormatting>
  <conditionalFormatting sqref="Q434">
    <cfRule type="expression" dxfId="5976" priority="6624">
      <formula>$E$7&lt;&gt;"Yes"</formula>
    </cfRule>
  </conditionalFormatting>
  <conditionalFormatting sqref="Q434">
    <cfRule type="expression" dxfId="5975" priority="6623">
      <formula>$E434&lt;&gt;"Yes"</formula>
    </cfRule>
  </conditionalFormatting>
  <conditionalFormatting sqref="M434 F434:J434 Q434">
    <cfRule type="expression" dxfId="5974" priority="6622">
      <formula>$E$7&lt;&gt;"Yes"</formula>
    </cfRule>
  </conditionalFormatting>
  <conditionalFormatting sqref="M434 F434:J434 Q434">
    <cfRule type="expression" dxfId="5973" priority="6621">
      <formula>$E434&lt;&gt;"Yes"</formula>
    </cfRule>
  </conditionalFormatting>
  <conditionalFormatting sqref="G434">
    <cfRule type="expression" dxfId="5972" priority="6620">
      <formula>$E$7&lt;&gt;"Yes"</formula>
    </cfRule>
  </conditionalFormatting>
  <conditionalFormatting sqref="K434:L434">
    <cfRule type="expression" dxfId="5971" priority="6619">
      <formula>$E$7&lt;&gt;"Yes"</formula>
    </cfRule>
  </conditionalFormatting>
  <conditionalFormatting sqref="K434:L434">
    <cfRule type="expression" dxfId="5970" priority="6618">
      <formula>$E434&lt;&gt;"Yes"</formula>
    </cfRule>
  </conditionalFormatting>
  <conditionalFormatting sqref="N434">
    <cfRule type="expression" dxfId="5969" priority="6615">
      <formula>$E$7&lt;&gt;"Yes"</formula>
    </cfRule>
  </conditionalFormatting>
  <conditionalFormatting sqref="N434">
    <cfRule type="expression" dxfId="5968" priority="6614">
      <formula>$E434&lt;&gt;"Yes"</formula>
    </cfRule>
  </conditionalFormatting>
  <conditionalFormatting sqref="W434">
    <cfRule type="expression" dxfId="5967" priority="6617">
      <formula>$E$7&lt;&gt;"Yes"</formula>
    </cfRule>
  </conditionalFormatting>
  <conditionalFormatting sqref="W434">
    <cfRule type="expression" dxfId="5966" priority="6616">
      <formula>$E434&lt;&gt;"Yes"</formula>
    </cfRule>
  </conditionalFormatting>
  <conditionalFormatting sqref="AE434">
    <cfRule type="expression" dxfId="5965" priority="6613">
      <formula>$E$7&lt;&gt;"Yes"</formula>
    </cfRule>
  </conditionalFormatting>
  <conditionalFormatting sqref="AE434">
    <cfRule type="expression" dxfId="5964" priority="6612">
      <formula>$E434&lt;&gt;"Yes"</formula>
    </cfRule>
  </conditionalFormatting>
  <conditionalFormatting sqref="AB434">
    <cfRule type="expression" dxfId="5963" priority="6599">
      <formula>$E$7&lt;&gt;"Yes"</formula>
    </cfRule>
  </conditionalFormatting>
  <conditionalFormatting sqref="AB434">
    <cfRule type="expression" dxfId="5962" priority="6598">
      <formula>$E434&lt;&gt;"Yes"</formula>
    </cfRule>
  </conditionalFormatting>
  <conditionalFormatting sqref="AA434">
    <cfRule type="expression" dxfId="5961" priority="6597">
      <formula>$E$7&lt;&gt;"Yes"</formula>
    </cfRule>
  </conditionalFormatting>
  <conditionalFormatting sqref="AA434">
    <cfRule type="expression" dxfId="5960" priority="6596">
      <formula>$E434&lt;&gt;"Yes"</formula>
    </cfRule>
  </conditionalFormatting>
  <conditionalFormatting sqref="Y434">
    <cfRule type="expression" dxfId="5959" priority="6595">
      <formula>$E$7&lt;&gt;"Yes"</formula>
    </cfRule>
  </conditionalFormatting>
  <conditionalFormatting sqref="Y434">
    <cfRule type="expression" dxfId="5958" priority="6594">
      <formula>$E434&lt;&gt;"Yes"</formula>
    </cfRule>
  </conditionalFormatting>
  <conditionalFormatting sqref="X434">
    <cfRule type="expression" dxfId="5957" priority="6591">
      <formula>$E$7&lt;&gt;"Yes"</formula>
    </cfRule>
  </conditionalFormatting>
  <conditionalFormatting sqref="X434">
    <cfRule type="expression" dxfId="5956" priority="6590">
      <formula>$E434&lt;&gt;"Yes"</formula>
    </cfRule>
  </conditionalFormatting>
  <conditionalFormatting sqref="AD434">
    <cfRule type="expression" dxfId="5955" priority="6587">
      <formula>$E$7&lt;&gt;"Yes"</formula>
    </cfRule>
  </conditionalFormatting>
  <conditionalFormatting sqref="AD434">
    <cfRule type="expression" dxfId="5954" priority="6586">
      <formula>$E434&lt;&gt;"Yes"</formula>
    </cfRule>
  </conditionalFormatting>
  <conditionalFormatting sqref="AC434">
    <cfRule type="expression" dxfId="5953" priority="6585">
      <formula>$E$7&lt;&gt;"Yes"</formula>
    </cfRule>
  </conditionalFormatting>
  <conditionalFormatting sqref="AC434">
    <cfRule type="expression" dxfId="5952" priority="6584">
      <formula>$E434&lt;&gt;"Yes"</formula>
    </cfRule>
  </conditionalFormatting>
  <conditionalFormatting sqref="Y435 AF435:AH435 AJ435:AK435">
    <cfRule type="expression" dxfId="5951" priority="6583">
      <formula>$E$7&lt;&gt;"Yes"</formula>
    </cfRule>
  </conditionalFormatting>
  <conditionalFormatting sqref="Y435 AF435:AH435 AJ435:AK435">
    <cfRule type="expression" dxfId="5950" priority="6582">
      <formula>$E435&lt;&gt;"Yes"</formula>
    </cfRule>
  </conditionalFormatting>
  <conditionalFormatting sqref="Q435">
    <cfRule type="expression" dxfId="5949" priority="6581">
      <formula>$E$7&lt;&gt;"Yes"</formula>
    </cfRule>
  </conditionalFormatting>
  <conditionalFormatting sqref="Q435">
    <cfRule type="expression" dxfId="5948" priority="6580">
      <formula>$E435&lt;&gt;"Yes"</formula>
    </cfRule>
  </conditionalFormatting>
  <conditionalFormatting sqref="M435 F435:J435 Q435">
    <cfRule type="expression" dxfId="5947" priority="6579">
      <formula>$E$7&lt;&gt;"Yes"</formula>
    </cfRule>
  </conditionalFormatting>
  <conditionalFormatting sqref="M435 F435:J435 Q435">
    <cfRule type="expression" dxfId="5946" priority="6578">
      <formula>$E435&lt;&gt;"Yes"</formula>
    </cfRule>
  </conditionalFormatting>
  <conditionalFormatting sqref="G435">
    <cfRule type="expression" dxfId="5945" priority="6577">
      <formula>$E$7&lt;&gt;"Yes"</formula>
    </cfRule>
  </conditionalFormatting>
  <conditionalFormatting sqref="K435:L435">
    <cfRule type="expression" dxfId="5944" priority="6576">
      <formula>$E$7&lt;&gt;"Yes"</formula>
    </cfRule>
  </conditionalFormatting>
  <conditionalFormatting sqref="K435:L435">
    <cfRule type="expression" dxfId="5943" priority="6575">
      <formula>$E435&lt;&gt;"Yes"</formula>
    </cfRule>
  </conditionalFormatting>
  <conditionalFormatting sqref="N435">
    <cfRule type="expression" dxfId="5942" priority="6572">
      <formula>$E$7&lt;&gt;"Yes"</formula>
    </cfRule>
  </conditionalFormatting>
  <conditionalFormatting sqref="N435">
    <cfRule type="expression" dxfId="5941" priority="6571">
      <formula>$E435&lt;&gt;"Yes"</formula>
    </cfRule>
  </conditionalFormatting>
  <conditionalFormatting sqref="W435">
    <cfRule type="expression" dxfId="5940" priority="6574">
      <formula>$E$7&lt;&gt;"Yes"</formula>
    </cfRule>
  </conditionalFormatting>
  <conditionalFormatting sqref="W435">
    <cfRule type="expression" dxfId="5939" priority="6573">
      <formula>$E435&lt;&gt;"Yes"</formula>
    </cfRule>
  </conditionalFormatting>
  <conditionalFormatting sqref="AE435">
    <cfRule type="expression" dxfId="5938" priority="6570">
      <formula>$E$7&lt;&gt;"Yes"</formula>
    </cfRule>
  </conditionalFormatting>
  <conditionalFormatting sqref="AE435">
    <cfRule type="expression" dxfId="5937" priority="6569">
      <formula>$E435&lt;&gt;"Yes"</formula>
    </cfRule>
  </conditionalFormatting>
  <conditionalFormatting sqref="AB435">
    <cfRule type="expression" dxfId="5936" priority="6556">
      <formula>$E$7&lt;&gt;"Yes"</formula>
    </cfRule>
  </conditionalFormatting>
  <conditionalFormatting sqref="AB435">
    <cfRule type="expression" dxfId="5935" priority="6555">
      <formula>$E435&lt;&gt;"Yes"</formula>
    </cfRule>
  </conditionalFormatting>
  <conditionalFormatting sqref="AA435">
    <cfRule type="expression" dxfId="5934" priority="6554">
      <formula>$E$7&lt;&gt;"Yes"</formula>
    </cfRule>
  </conditionalFormatting>
  <conditionalFormatting sqref="AA435">
    <cfRule type="expression" dxfId="5933" priority="6553">
      <formula>$E435&lt;&gt;"Yes"</formula>
    </cfRule>
  </conditionalFormatting>
  <conditionalFormatting sqref="Y435">
    <cfRule type="expression" dxfId="5932" priority="6552">
      <formula>$E$7&lt;&gt;"Yes"</formula>
    </cfRule>
  </conditionalFormatting>
  <conditionalFormatting sqref="Y435">
    <cfRule type="expression" dxfId="5931" priority="6551">
      <formula>$E435&lt;&gt;"Yes"</formula>
    </cfRule>
  </conditionalFormatting>
  <conditionalFormatting sqref="X435">
    <cfRule type="expression" dxfId="5930" priority="6548">
      <formula>$E$7&lt;&gt;"Yes"</formula>
    </cfRule>
  </conditionalFormatting>
  <conditionalFormatting sqref="X435">
    <cfRule type="expression" dxfId="5929" priority="6547">
      <formula>$E435&lt;&gt;"Yes"</formula>
    </cfRule>
  </conditionalFormatting>
  <conditionalFormatting sqref="AD435">
    <cfRule type="expression" dxfId="5928" priority="6544">
      <formula>$E$7&lt;&gt;"Yes"</formula>
    </cfRule>
  </conditionalFormatting>
  <conditionalFormatting sqref="AD435">
    <cfRule type="expression" dxfId="5927" priority="6543">
      <formula>$E435&lt;&gt;"Yes"</formula>
    </cfRule>
  </conditionalFormatting>
  <conditionalFormatting sqref="AC435">
    <cfRule type="expression" dxfId="5926" priority="6542">
      <formula>$E$7&lt;&gt;"Yes"</formula>
    </cfRule>
  </conditionalFormatting>
  <conditionalFormatting sqref="AC435">
    <cfRule type="expression" dxfId="5925" priority="6541">
      <formula>$E435&lt;&gt;"Yes"</formula>
    </cfRule>
  </conditionalFormatting>
  <conditionalFormatting sqref="Y436 AF436:AH436 AJ436:AK436">
    <cfRule type="expression" dxfId="5924" priority="6540">
      <formula>$E$7&lt;&gt;"Yes"</formula>
    </cfRule>
  </conditionalFormatting>
  <conditionalFormatting sqref="Y436 AF436:AH436 AJ436:AK436">
    <cfRule type="expression" dxfId="5923" priority="6539">
      <formula>$E436&lt;&gt;"Yes"</formula>
    </cfRule>
  </conditionalFormatting>
  <conditionalFormatting sqref="Q436">
    <cfRule type="expression" dxfId="5922" priority="6538">
      <formula>$E$7&lt;&gt;"Yes"</formula>
    </cfRule>
  </conditionalFormatting>
  <conditionalFormatting sqref="Q436">
    <cfRule type="expression" dxfId="5921" priority="6537">
      <formula>$E436&lt;&gt;"Yes"</formula>
    </cfRule>
  </conditionalFormatting>
  <conditionalFormatting sqref="M436 F436:J436 Q436">
    <cfRule type="expression" dxfId="5920" priority="6536">
      <formula>$E$7&lt;&gt;"Yes"</formula>
    </cfRule>
  </conditionalFormatting>
  <conditionalFormatting sqref="M436 F436:J436 Q436">
    <cfRule type="expression" dxfId="5919" priority="6535">
      <formula>$E436&lt;&gt;"Yes"</formula>
    </cfRule>
  </conditionalFormatting>
  <conditionalFormatting sqref="G436">
    <cfRule type="expression" dxfId="5918" priority="6534">
      <formula>$E$7&lt;&gt;"Yes"</formula>
    </cfRule>
  </conditionalFormatting>
  <conditionalFormatting sqref="K436:L436">
    <cfRule type="expression" dxfId="5917" priority="6533">
      <formula>$E$7&lt;&gt;"Yes"</formula>
    </cfRule>
  </conditionalFormatting>
  <conditionalFormatting sqref="K436:L436">
    <cfRule type="expression" dxfId="5916" priority="6532">
      <formula>$E436&lt;&gt;"Yes"</formula>
    </cfRule>
  </conditionalFormatting>
  <conditionalFormatting sqref="N436">
    <cfRule type="expression" dxfId="5915" priority="6529">
      <formula>$E$7&lt;&gt;"Yes"</formula>
    </cfRule>
  </conditionalFormatting>
  <conditionalFormatting sqref="N436">
    <cfRule type="expression" dxfId="5914" priority="6528">
      <formula>$E436&lt;&gt;"Yes"</formula>
    </cfRule>
  </conditionalFormatting>
  <conditionalFormatting sqref="W436">
    <cfRule type="expression" dxfId="5913" priority="6531">
      <formula>$E$7&lt;&gt;"Yes"</formula>
    </cfRule>
  </conditionalFormatting>
  <conditionalFormatting sqref="W436">
    <cfRule type="expression" dxfId="5912" priority="6530">
      <formula>$E436&lt;&gt;"Yes"</formula>
    </cfRule>
  </conditionalFormatting>
  <conditionalFormatting sqref="AE436">
    <cfRule type="expression" dxfId="5911" priority="6527">
      <formula>$E$7&lt;&gt;"Yes"</formula>
    </cfRule>
  </conditionalFormatting>
  <conditionalFormatting sqref="AE436">
    <cfRule type="expression" dxfId="5910" priority="6526">
      <formula>$E436&lt;&gt;"Yes"</formula>
    </cfRule>
  </conditionalFormatting>
  <conditionalFormatting sqref="AB436">
    <cfRule type="expression" dxfId="5909" priority="6513">
      <formula>$E$7&lt;&gt;"Yes"</formula>
    </cfRule>
  </conditionalFormatting>
  <conditionalFormatting sqref="AB436">
    <cfRule type="expression" dxfId="5908" priority="6512">
      <formula>$E436&lt;&gt;"Yes"</formula>
    </cfRule>
  </conditionalFormatting>
  <conditionalFormatting sqref="AA436">
    <cfRule type="expression" dxfId="5907" priority="6511">
      <formula>$E$7&lt;&gt;"Yes"</formula>
    </cfRule>
  </conditionalFormatting>
  <conditionalFormatting sqref="AA436">
    <cfRule type="expression" dxfId="5906" priority="6510">
      <formula>$E436&lt;&gt;"Yes"</formula>
    </cfRule>
  </conditionalFormatting>
  <conditionalFormatting sqref="Y436">
    <cfRule type="expression" dxfId="5905" priority="6509">
      <formula>$E$7&lt;&gt;"Yes"</formula>
    </cfRule>
  </conditionalFormatting>
  <conditionalFormatting sqref="Y436">
    <cfRule type="expression" dxfId="5904" priority="6508">
      <formula>$E436&lt;&gt;"Yes"</formula>
    </cfRule>
  </conditionalFormatting>
  <conditionalFormatting sqref="O436:P436">
    <cfRule type="expression" dxfId="5903" priority="6507">
      <formula>$E$7&lt;&gt;"Yes"</formula>
    </cfRule>
  </conditionalFormatting>
  <conditionalFormatting sqref="O436:P436">
    <cfRule type="expression" dxfId="5902" priority="6506">
      <formula>$E436&lt;&gt;"Yes"</formula>
    </cfRule>
  </conditionalFormatting>
  <conditionalFormatting sqref="X436">
    <cfRule type="expression" dxfId="5901" priority="6505">
      <formula>$E$7&lt;&gt;"Yes"</formula>
    </cfRule>
  </conditionalFormatting>
  <conditionalFormatting sqref="X436">
    <cfRule type="expression" dxfId="5900" priority="6504">
      <formula>$E436&lt;&gt;"Yes"</formula>
    </cfRule>
  </conditionalFormatting>
  <conditionalFormatting sqref="AD436">
    <cfRule type="expression" dxfId="5899" priority="6501">
      <formula>$E$7&lt;&gt;"Yes"</formula>
    </cfRule>
  </conditionalFormatting>
  <conditionalFormatting sqref="AD436">
    <cfRule type="expression" dxfId="5898" priority="6500">
      <formula>$E436&lt;&gt;"Yes"</formula>
    </cfRule>
  </conditionalFormatting>
  <conditionalFormatting sqref="AC436">
    <cfRule type="expression" dxfId="5897" priority="6499">
      <formula>$E$7&lt;&gt;"Yes"</formula>
    </cfRule>
  </conditionalFormatting>
  <conditionalFormatting sqref="AC436">
    <cfRule type="expression" dxfId="5896" priority="6498">
      <formula>$E436&lt;&gt;"Yes"</formula>
    </cfRule>
  </conditionalFormatting>
  <conditionalFormatting sqref="P431:P432">
    <cfRule type="expression" dxfId="5895" priority="6497">
      <formula>$E$7&lt;&gt;"Yes"</formula>
    </cfRule>
  </conditionalFormatting>
  <conditionalFormatting sqref="P431:P432">
    <cfRule type="expression" dxfId="5894" priority="6496">
      <formula>$E431&lt;&gt;"Yes"</formula>
    </cfRule>
  </conditionalFormatting>
  <conditionalFormatting sqref="O434:P435">
    <cfRule type="expression" dxfId="5893" priority="6495">
      <formula>$E$7&lt;&gt;"Yes"</formula>
    </cfRule>
  </conditionalFormatting>
  <conditionalFormatting sqref="O434:P435">
    <cfRule type="expression" dxfId="5892" priority="6494">
      <formula>$E434&lt;&gt;"Yes"</formula>
    </cfRule>
  </conditionalFormatting>
  <conditionalFormatting sqref="Y438 AF438:AH438 AJ438:AK438">
    <cfRule type="expression" dxfId="5891" priority="6493">
      <formula>$E$7&lt;&gt;"Yes"</formula>
    </cfRule>
  </conditionalFormatting>
  <conditionalFormatting sqref="Y438 AF438:AH438 AJ438:AK438">
    <cfRule type="expression" dxfId="5890" priority="6492">
      <formula>$E438&lt;&gt;"Yes"</formula>
    </cfRule>
  </conditionalFormatting>
  <conditionalFormatting sqref="Q438">
    <cfRule type="expression" dxfId="5889" priority="6491">
      <formula>$E$7&lt;&gt;"Yes"</formula>
    </cfRule>
  </conditionalFormatting>
  <conditionalFormatting sqref="Q438">
    <cfRule type="expression" dxfId="5888" priority="6490">
      <formula>$E438&lt;&gt;"Yes"</formula>
    </cfRule>
  </conditionalFormatting>
  <conditionalFormatting sqref="M438 F438:J438 Q438">
    <cfRule type="expression" dxfId="5887" priority="6489">
      <formula>$E$7&lt;&gt;"Yes"</formula>
    </cfRule>
  </conditionalFormatting>
  <conditionalFormatting sqref="M438 F438:J438 Q438">
    <cfRule type="expression" dxfId="5886" priority="6488">
      <formula>$E438&lt;&gt;"Yes"</formula>
    </cfRule>
  </conditionalFormatting>
  <conditionalFormatting sqref="G438">
    <cfRule type="expression" dxfId="5885" priority="6487">
      <formula>$E$7&lt;&gt;"Yes"</formula>
    </cfRule>
  </conditionalFormatting>
  <conditionalFormatting sqref="K438:L438">
    <cfRule type="expression" dxfId="5884" priority="6486">
      <formula>$E$7&lt;&gt;"Yes"</formula>
    </cfRule>
  </conditionalFormatting>
  <conditionalFormatting sqref="K438:L438">
    <cfRule type="expression" dxfId="5883" priority="6485">
      <formula>$E438&lt;&gt;"Yes"</formula>
    </cfRule>
  </conditionalFormatting>
  <conditionalFormatting sqref="N438">
    <cfRule type="expression" dxfId="5882" priority="6482">
      <formula>$E$7&lt;&gt;"Yes"</formula>
    </cfRule>
  </conditionalFormatting>
  <conditionalFormatting sqref="N438">
    <cfRule type="expression" dxfId="5881" priority="6481">
      <formula>$E438&lt;&gt;"Yes"</formula>
    </cfRule>
  </conditionalFormatting>
  <conditionalFormatting sqref="W438">
    <cfRule type="expression" dxfId="5880" priority="6484">
      <formula>$E$7&lt;&gt;"Yes"</formula>
    </cfRule>
  </conditionalFormatting>
  <conditionalFormatting sqref="W438">
    <cfRule type="expression" dxfId="5879" priority="6483">
      <formula>$E438&lt;&gt;"Yes"</formula>
    </cfRule>
  </conditionalFormatting>
  <conditionalFormatting sqref="AE438">
    <cfRule type="expression" dxfId="5878" priority="6480">
      <formula>$E$7&lt;&gt;"Yes"</formula>
    </cfRule>
  </conditionalFormatting>
  <conditionalFormatting sqref="AE438">
    <cfRule type="expression" dxfId="5877" priority="6479">
      <formula>$E438&lt;&gt;"Yes"</formula>
    </cfRule>
  </conditionalFormatting>
  <conditionalFormatting sqref="AB438">
    <cfRule type="expression" dxfId="5876" priority="6466">
      <formula>$E$7&lt;&gt;"Yes"</formula>
    </cfRule>
  </conditionalFormatting>
  <conditionalFormatting sqref="AB438">
    <cfRule type="expression" dxfId="5875" priority="6465">
      <formula>$E438&lt;&gt;"Yes"</formula>
    </cfRule>
  </conditionalFormatting>
  <conditionalFormatting sqref="AA438">
    <cfRule type="expression" dxfId="5874" priority="6464">
      <formula>$E$7&lt;&gt;"Yes"</formula>
    </cfRule>
  </conditionalFormatting>
  <conditionalFormatting sqref="AA438">
    <cfRule type="expression" dxfId="5873" priority="6463">
      <formula>$E438&lt;&gt;"Yes"</formula>
    </cfRule>
  </conditionalFormatting>
  <conditionalFormatting sqref="Y438">
    <cfRule type="expression" dxfId="5872" priority="6462">
      <formula>$E$7&lt;&gt;"Yes"</formula>
    </cfRule>
  </conditionalFormatting>
  <conditionalFormatting sqref="Y438">
    <cfRule type="expression" dxfId="5871" priority="6461">
      <formula>$E438&lt;&gt;"Yes"</formula>
    </cfRule>
  </conditionalFormatting>
  <conditionalFormatting sqref="O438:P438">
    <cfRule type="expression" dxfId="5870" priority="6460">
      <formula>$E$7&lt;&gt;"Yes"</formula>
    </cfRule>
  </conditionalFormatting>
  <conditionalFormatting sqref="O438:P438">
    <cfRule type="expression" dxfId="5869" priority="6459">
      <formula>$E438&lt;&gt;"Yes"</formula>
    </cfRule>
  </conditionalFormatting>
  <conditionalFormatting sqref="X438">
    <cfRule type="expression" dxfId="5868" priority="6458">
      <formula>$E$7&lt;&gt;"Yes"</formula>
    </cfRule>
  </conditionalFormatting>
  <conditionalFormatting sqref="X438">
    <cfRule type="expression" dxfId="5867" priority="6457">
      <formula>$E438&lt;&gt;"Yes"</formula>
    </cfRule>
  </conditionalFormatting>
  <conditionalFormatting sqref="AD438">
    <cfRule type="expression" dxfId="5866" priority="6454">
      <formula>$E$7&lt;&gt;"Yes"</formula>
    </cfRule>
  </conditionalFormatting>
  <conditionalFormatting sqref="AD438">
    <cfRule type="expression" dxfId="5865" priority="6453">
      <formula>$E438&lt;&gt;"Yes"</formula>
    </cfRule>
  </conditionalFormatting>
  <conditionalFormatting sqref="AC438">
    <cfRule type="expression" dxfId="5864" priority="6452">
      <formula>$E$7&lt;&gt;"Yes"</formula>
    </cfRule>
  </conditionalFormatting>
  <conditionalFormatting sqref="AC438">
    <cfRule type="expression" dxfId="5863" priority="6451">
      <formula>$E438&lt;&gt;"Yes"</formula>
    </cfRule>
  </conditionalFormatting>
  <conditionalFormatting sqref="Y439 AF439:AH439 AJ439:AK439">
    <cfRule type="expression" dxfId="5862" priority="6450">
      <formula>$E$7&lt;&gt;"Yes"</formula>
    </cfRule>
  </conditionalFormatting>
  <conditionalFormatting sqref="Y439 AF439:AH439 AJ439:AK439">
    <cfRule type="expression" dxfId="5861" priority="6449">
      <formula>$E439&lt;&gt;"Yes"</formula>
    </cfRule>
  </conditionalFormatting>
  <conditionalFormatting sqref="Q439">
    <cfRule type="expression" dxfId="5860" priority="6448">
      <formula>$E$7&lt;&gt;"Yes"</formula>
    </cfRule>
  </conditionalFormatting>
  <conditionalFormatting sqref="Q439">
    <cfRule type="expression" dxfId="5859" priority="6447">
      <formula>$E439&lt;&gt;"Yes"</formula>
    </cfRule>
  </conditionalFormatting>
  <conditionalFormatting sqref="M439 F439:J439 Q439">
    <cfRule type="expression" dxfId="5858" priority="6446">
      <formula>$E$7&lt;&gt;"Yes"</formula>
    </cfRule>
  </conditionalFormatting>
  <conditionalFormatting sqref="M439 F439:J439 Q439">
    <cfRule type="expression" dxfId="5857" priority="6445">
      <formula>$E439&lt;&gt;"Yes"</formula>
    </cfRule>
  </conditionalFormatting>
  <conditionalFormatting sqref="G439">
    <cfRule type="expression" dxfId="5856" priority="6444">
      <formula>$E$7&lt;&gt;"Yes"</formula>
    </cfRule>
  </conditionalFormatting>
  <conditionalFormatting sqref="K439:L439">
    <cfRule type="expression" dxfId="5855" priority="6443">
      <formula>$E$7&lt;&gt;"Yes"</formula>
    </cfRule>
  </conditionalFormatting>
  <conditionalFormatting sqref="K439:L439">
    <cfRule type="expression" dxfId="5854" priority="6442">
      <formula>$E439&lt;&gt;"Yes"</formula>
    </cfRule>
  </conditionalFormatting>
  <conditionalFormatting sqref="N439">
    <cfRule type="expression" dxfId="5853" priority="6439">
      <formula>$E$7&lt;&gt;"Yes"</formula>
    </cfRule>
  </conditionalFormatting>
  <conditionalFormatting sqref="N439">
    <cfRule type="expression" dxfId="5852" priority="6438">
      <formula>$E439&lt;&gt;"Yes"</formula>
    </cfRule>
  </conditionalFormatting>
  <conditionalFormatting sqref="W439">
    <cfRule type="expression" dxfId="5851" priority="6441">
      <formula>$E$7&lt;&gt;"Yes"</formula>
    </cfRule>
  </conditionalFormatting>
  <conditionalFormatting sqref="W439">
    <cfRule type="expression" dxfId="5850" priority="6440">
      <formula>$E439&lt;&gt;"Yes"</formula>
    </cfRule>
  </conditionalFormatting>
  <conditionalFormatting sqref="AE439">
    <cfRule type="expression" dxfId="5849" priority="6437">
      <formula>$E$7&lt;&gt;"Yes"</formula>
    </cfRule>
  </conditionalFormatting>
  <conditionalFormatting sqref="AE439">
    <cfRule type="expression" dxfId="5848" priority="6436">
      <formula>$E439&lt;&gt;"Yes"</formula>
    </cfRule>
  </conditionalFormatting>
  <conditionalFormatting sqref="AB439">
    <cfRule type="expression" dxfId="5847" priority="6423">
      <formula>$E$7&lt;&gt;"Yes"</formula>
    </cfRule>
  </conditionalFormatting>
  <conditionalFormatting sqref="AB439">
    <cfRule type="expression" dxfId="5846" priority="6422">
      <formula>$E439&lt;&gt;"Yes"</formula>
    </cfRule>
  </conditionalFormatting>
  <conditionalFormatting sqref="AA439">
    <cfRule type="expression" dxfId="5845" priority="6421">
      <formula>$E$7&lt;&gt;"Yes"</formula>
    </cfRule>
  </conditionalFormatting>
  <conditionalFormatting sqref="AA439">
    <cfRule type="expression" dxfId="5844" priority="6420">
      <formula>$E439&lt;&gt;"Yes"</formula>
    </cfRule>
  </conditionalFormatting>
  <conditionalFormatting sqref="Y439">
    <cfRule type="expression" dxfId="5843" priority="6419">
      <formula>$E$7&lt;&gt;"Yes"</formula>
    </cfRule>
  </conditionalFormatting>
  <conditionalFormatting sqref="Y439">
    <cfRule type="expression" dxfId="5842" priority="6418">
      <formula>$E439&lt;&gt;"Yes"</formula>
    </cfRule>
  </conditionalFormatting>
  <conditionalFormatting sqref="O439:P439">
    <cfRule type="expression" dxfId="5841" priority="6417">
      <formula>$E$7&lt;&gt;"Yes"</formula>
    </cfRule>
  </conditionalFormatting>
  <conditionalFormatting sqref="O439:P439">
    <cfRule type="expression" dxfId="5840" priority="6416">
      <formula>$E439&lt;&gt;"Yes"</formula>
    </cfRule>
  </conditionalFormatting>
  <conditionalFormatting sqref="X439">
    <cfRule type="expression" dxfId="5839" priority="6415">
      <formula>$E$7&lt;&gt;"Yes"</formula>
    </cfRule>
  </conditionalFormatting>
  <conditionalFormatting sqref="X439">
    <cfRule type="expression" dxfId="5838" priority="6414">
      <formula>$E439&lt;&gt;"Yes"</formula>
    </cfRule>
  </conditionalFormatting>
  <conditionalFormatting sqref="AD439">
    <cfRule type="expression" dxfId="5837" priority="6411">
      <formula>$E$7&lt;&gt;"Yes"</formula>
    </cfRule>
  </conditionalFormatting>
  <conditionalFormatting sqref="AD439">
    <cfRule type="expression" dxfId="5836" priority="6410">
      <formula>$E439&lt;&gt;"Yes"</formula>
    </cfRule>
  </conditionalFormatting>
  <conditionalFormatting sqref="AC439">
    <cfRule type="expression" dxfId="5835" priority="6409">
      <formula>$E$7&lt;&gt;"Yes"</formula>
    </cfRule>
  </conditionalFormatting>
  <conditionalFormatting sqref="AC439">
    <cfRule type="expression" dxfId="5834" priority="6408">
      <formula>$E439&lt;&gt;"Yes"</formula>
    </cfRule>
  </conditionalFormatting>
  <conditionalFormatting sqref="Y440 AF440:AH440 AJ440:AK440">
    <cfRule type="expression" dxfId="5833" priority="6407">
      <formula>$E$7&lt;&gt;"Yes"</formula>
    </cfRule>
  </conditionalFormatting>
  <conditionalFormatting sqref="Y440 AF440:AH440 AJ440:AK440">
    <cfRule type="expression" dxfId="5832" priority="6406">
      <formula>$E440&lt;&gt;"Yes"</formula>
    </cfRule>
  </conditionalFormatting>
  <conditionalFormatting sqref="Q440">
    <cfRule type="expression" dxfId="5831" priority="6405">
      <formula>$E$7&lt;&gt;"Yes"</formula>
    </cfRule>
  </conditionalFormatting>
  <conditionalFormatting sqref="Q440">
    <cfRule type="expression" dxfId="5830" priority="6404">
      <formula>$E440&lt;&gt;"Yes"</formula>
    </cfRule>
  </conditionalFormatting>
  <conditionalFormatting sqref="M440 F440:J440 Q440">
    <cfRule type="expression" dxfId="5829" priority="6403">
      <formula>$E$7&lt;&gt;"Yes"</formula>
    </cfRule>
  </conditionalFormatting>
  <conditionalFormatting sqref="M440 F440:J440 Q440">
    <cfRule type="expression" dxfId="5828" priority="6402">
      <formula>$E440&lt;&gt;"Yes"</formula>
    </cfRule>
  </conditionalFormatting>
  <conditionalFormatting sqref="G440">
    <cfRule type="expression" dxfId="5827" priority="6401">
      <formula>$E$7&lt;&gt;"Yes"</formula>
    </cfRule>
  </conditionalFormatting>
  <conditionalFormatting sqref="K440:L440">
    <cfRule type="expression" dxfId="5826" priority="6400">
      <formula>$E$7&lt;&gt;"Yes"</formula>
    </cfRule>
  </conditionalFormatting>
  <conditionalFormatting sqref="K440:L440">
    <cfRule type="expression" dxfId="5825" priority="6399">
      <formula>$E440&lt;&gt;"Yes"</formula>
    </cfRule>
  </conditionalFormatting>
  <conditionalFormatting sqref="N440">
    <cfRule type="expression" dxfId="5824" priority="6396">
      <formula>$E$7&lt;&gt;"Yes"</formula>
    </cfRule>
  </conditionalFormatting>
  <conditionalFormatting sqref="N440">
    <cfRule type="expression" dxfId="5823" priority="6395">
      <formula>$E440&lt;&gt;"Yes"</formula>
    </cfRule>
  </conditionalFormatting>
  <conditionalFormatting sqref="W440">
    <cfRule type="expression" dxfId="5822" priority="6398">
      <formula>$E$7&lt;&gt;"Yes"</formula>
    </cfRule>
  </conditionalFormatting>
  <conditionalFormatting sqref="W440">
    <cfRule type="expression" dxfId="5821" priority="6397">
      <formula>$E440&lt;&gt;"Yes"</formula>
    </cfRule>
  </conditionalFormatting>
  <conditionalFormatting sqref="AE440">
    <cfRule type="expression" dxfId="5820" priority="6394">
      <formula>$E$7&lt;&gt;"Yes"</formula>
    </cfRule>
  </conditionalFormatting>
  <conditionalFormatting sqref="AE440">
    <cfRule type="expression" dxfId="5819" priority="6393">
      <formula>$E440&lt;&gt;"Yes"</formula>
    </cfRule>
  </conditionalFormatting>
  <conditionalFormatting sqref="AB440">
    <cfRule type="expression" dxfId="5818" priority="6380">
      <formula>$E$7&lt;&gt;"Yes"</formula>
    </cfRule>
  </conditionalFormatting>
  <conditionalFormatting sqref="AB440">
    <cfRule type="expression" dxfId="5817" priority="6379">
      <formula>$E440&lt;&gt;"Yes"</formula>
    </cfRule>
  </conditionalFormatting>
  <conditionalFormatting sqref="AA440">
    <cfRule type="expression" dxfId="5816" priority="6378">
      <formula>$E$7&lt;&gt;"Yes"</formula>
    </cfRule>
  </conditionalFormatting>
  <conditionalFormatting sqref="AA440">
    <cfRule type="expression" dxfId="5815" priority="6377">
      <formula>$E440&lt;&gt;"Yes"</formula>
    </cfRule>
  </conditionalFormatting>
  <conditionalFormatting sqref="Y440">
    <cfRule type="expression" dxfId="5814" priority="6376">
      <formula>$E$7&lt;&gt;"Yes"</formula>
    </cfRule>
  </conditionalFormatting>
  <conditionalFormatting sqref="Y440">
    <cfRule type="expression" dxfId="5813" priority="6375">
      <formula>$E440&lt;&gt;"Yes"</formula>
    </cfRule>
  </conditionalFormatting>
  <conditionalFormatting sqref="O440:P440">
    <cfRule type="expression" dxfId="5812" priority="6374">
      <formula>$E$7&lt;&gt;"Yes"</formula>
    </cfRule>
  </conditionalFormatting>
  <conditionalFormatting sqref="O440:P440">
    <cfRule type="expression" dxfId="5811" priority="6373">
      <formula>$E440&lt;&gt;"Yes"</formula>
    </cfRule>
  </conditionalFormatting>
  <conditionalFormatting sqref="X440">
    <cfRule type="expression" dxfId="5810" priority="6372">
      <formula>$E$7&lt;&gt;"Yes"</formula>
    </cfRule>
  </conditionalFormatting>
  <conditionalFormatting sqref="X440">
    <cfRule type="expression" dxfId="5809" priority="6371">
      <formula>$E440&lt;&gt;"Yes"</formula>
    </cfRule>
  </conditionalFormatting>
  <conditionalFormatting sqref="AD440">
    <cfRule type="expression" dxfId="5808" priority="6368">
      <formula>$E$7&lt;&gt;"Yes"</formula>
    </cfRule>
  </conditionalFormatting>
  <conditionalFormatting sqref="AD440">
    <cfRule type="expression" dxfId="5807" priority="6367">
      <formula>$E440&lt;&gt;"Yes"</formula>
    </cfRule>
  </conditionalFormatting>
  <conditionalFormatting sqref="AC440">
    <cfRule type="expression" dxfId="5806" priority="6366">
      <formula>$E$7&lt;&gt;"Yes"</formula>
    </cfRule>
  </conditionalFormatting>
  <conditionalFormatting sqref="AC440">
    <cfRule type="expression" dxfId="5805" priority="6365">
      <formula>$E440&lt;&gt;"Yes"</formula>
    </cfRule>
  </conditionalFormatting>
  <conditionalFormatting sqref="M284 F284:J284 Q284 Y284 AF284:AH284 AJ284:AK284">
    <cfRule type="expression" dxfId="5804" priority="6364">
      <formula>$E$7&lt;&gt;"Yes"</formula>
    </cfRule>
  </conditionalFormatting>
  <conditionalFormatting sqref="M284 F284:J284 Q284 Y284 AF284:AH284 AJ284:AK284">
    <cfRule type="expression" dxfId="5803" priority="6363">
      <formula>$E284&lt;&gt;"Yes"</formula>
    </cfRule>
  </conditionalFormatting>
  <conditionalFormatting sqref="G284">
    <cfRule type="expression" dxfId="5802" priority="6362">
      <formula>$E$7&lt;&gt;"Yes"</formula>
    </cfRule>
  </conditionalFormatting>
  <conditionalFormatting sqref="K284:L284">
    <cfRule type="expression" dxfId="5801" priority="6361">
      <formula>$E$7&lt;&gt;"Yes"</formula>
    </cfRule>
  </conditionalFormatting>
  <conditionalFormatting sqref="K284:L284">
    <cfRule type="expression" dxfId="5800" priority="6360">
      <formula>$E284&lt;&gt;"Yes"</formula>
    </cfRule>
  </conditionalFormatting>
  <conditionalFormatting sqref="W284">
    <cfRule type="expression" dxfId="5799" priority="6359">
      <formula>$E$7&lt;&gt;"Yes"</formula>
    </cfRule>
  </conditionalFormatting>
  <conditionalFormatting sqref="W284">
    <cfRule type="expression" dxfId="5798" priority="6358">
      <formula>$E284&lt;&gt;"Yes"</formula>
    </cfRule>
  </conditionalFormatting>
  <conditionalFormatting sqref="Q284">
    <cfRule type="expression" dxfId="5797" priority="6357">
      <formula>$E$7&lt;&gt;"Yes"</formula>
    </cfRule>
  </conditionalFormatting>
  <conditionalFormatting sqref="Q284">
    <cfRule type="expression" dxfId="5796" priority="6356">
      <formula>$E284&lt;&gt;"Yes"</formula>
    </cfRule>
  </conditionalFormatting>
  <conditionalFormatting sqref="N284">
    <cfRule type="expression" dxfId="5795" priority="6355">
      <formula>$E$7&lt;&gt;"Yes"</formula>
    </cfRule>
  </conditionalFormatting>
  <conditionalFormatting sqref="N284">
    <cfRule type="expression" dxfId="5794" priority="6354">
      <formula>$E284&lt;&gt;"Yes"</formula>
    </cfRule>
  </conditionalFormatting>
  <conditionalFormatting sqref="AE284">
    <cfRule type="expression" dxfId="5793" priority="6353">
      <formula>$E$7&lt;&gt;"Yes"</formula>
    </cfRule>
  </conditionalFormatting>
  <conditionalFormatting sqref="AE284">
    <cfRule type="expression" dxfId="5792" priority="6352">
      <formula>$E284&lt;&gt;"Yes"</formula>
    </cfRule>
  </conditionalFormatting>
  <conditionalFormatting sqref="AB284">
    <cfRule type="expression" dxfId="5791" priority="6339">
      <formula>$E$7&lt;&gt;"Yes"</formula>
    </cfRule>
  </conditionalFormatting>
  <conditionalFormatting sqref="AB284">
    <cfRule type="expression" dxfId="5790" priority="6338">
      <formula>$E284&lt;&gt;"Yes"</formula>
    </cfRule>
  </conditionalFormatting>
  <conditionalFormatting sqref="AA284">
    <cfRule type="expression" dxfId="5789" priority="6337">
      <formula>$E$7&lt;&gt;"Yes"</formula>
    </cfRule>
  </conditionalFormatting>
  <conditionalFormatting sqref="AA284">
    <cfRule type="expression" dxfId="5788" priority="6336">
      <formula>$E284&lt;&gt;"Yes"</formula>
    </cfRule>
  </conditionalFormatting>
  <conditionalFormatting sqref="Y284">
    <cfRule type="expression" dxfId="5787" priority="6335">
      <formula>$E$7&lt;&gt;"Yes"</formula>
    </cfRule>
  </conditionalFormatting>
  <conditionalFormatting sqref="Y284">
    <cfRule type="expression" dxfId="5786" priority="6334">
      <formula>$E284&lt;&gt;"Yes"</formula>
    </cfRule>
  </conditionalFormatting>
  <conditionalFormatting sqref="O284:P284">
    <cfRule type="expression" dxfId="5785" priority="6333">
      <formula>$E$7&lt;&gt;"Yes"</formula>
    </cfRule>
  </conditionalFormatting>
  <conditionalFormatting sqref="O284:P284">
    <cfRule type="expression" dxfId="5784" priority="6332">
      <formula>$E284&lt;&gt;"Yes"</formula>
    </cfRule>
  </conditionalFormatting>
  <conditionalFormatting sqref="X284">
    <cfRule type="expression" dxfId="5783" priority="6331">
      <formula>$E$7&lt;&gt;"Yes"</formula>
    </cfRule>
  </conditionalFormatting>
  <conditionalFormatting sqref="X284">
    <cfRule type="expression" dxfId="5782" priority="6330">
      <formula>$E284&lt;&gt;"Yes"</formula>
    </cfRule>
  </conditionalFormatting>
  <conditionalFormatting sqref="AD284">
    <cfRule type="expression" dxfId="5781" priority="6327">
      <formula>$E$7&lt;&gt;"Yes"</formula>
    </cfRule>
  </conditionalFormatting>
  <conditionalFormatting sqref="AD284">
    <cfRule type="expression" dxfId="5780" priority="6326">
      <formula>$E284&lt;&gt;"Yes"</formula>
    </cfRule>
  </conditionalFormatting>
  <conditionalFormatting sqref="AC284">
    <cfRule type="expression" dxfId="5779" priority="6325">
      <formula>$E$7&lt;&gt;"Yes"</formula>
    </cfRule>
  </conditionalFormatting>
  <conditionalFormatting sqref="AC284">
    <cfRule type="expression" dxfId="5778" priority="6324">
      <formula>$E284&lt;&gt;"Yes"</formula>
    </cfRule>
  </conditionalFormatting>
  <conditionalFormatting sqref="F333:J333 M333 AF333:AH333 Y333 Q333 AJ333:AK333">
    <cfRule type="expression" dxfId="5777" priority="6323">
      <formula>$E$7&lt;&gt;"Yes"</formula>
    </cfRule>
  </conditionalFormatting>
  <conditionalFormatting sqref="F333:J333 M333 AF333:AH333 Y333 Q333 AJ333:AK333">
    <cfRule type="expression" dxfId="5776" priority="6322">
      <formula>$E333&lt;&gt;"Yes"</formula>
    </cfRule>
  </conditionalFormatting>
  <conditionalFormatting sqref="G333">
    <cfRule type="expression" dxfId="5775" priority="6321">
      <formula>$E$7&lt;&gt;"Yes"</formula>
    </cfRule>
  </conditionalFormatting>
  <conditionalFormatting sqref="K333:L333">
    <cfRule type="expression" dxfId="5774" priority="6320">
      <formula>$E$7&lt;&gt;"Yes"</formula>
    </cfRule>
  </conditionalFormatting>
  <conditionalFormatting sqref="K333:L333">
    <cfRule type="expression" dxfId="5773" priority="6319">
      <formula>$E333&lt;&gt;"Yes"</formula>
    </cfRule>
  </conditionalFormatting>
  <conditionalFormatting sqref="W333">
    <cfRule type="expression" dxfId="5772" priority="6318">
      <formula>$E$7&lt;&gt;"Yes"</formula>
    </cfRule>
  </conditionalFormatting>
  <conditionalFormatting sqref="W333">
    <cfRule type="expression" dxfId="5771" priority="6317">
      <formula>$E333&lt;&gt;"Yes"</formula>
    </cfRule>
  </conditionalFormatting>
  <conditionalFormatting sqref="Q333">
    <cfRule type="expression" dxfId="5770" priority="6316">
      <formula>$E$7&lt;&gt;"Yes"</formula>
    </cfRule>
  </conditionalFormatting>
  <conditionalFormatting sqref="Q333">
    <cfRule type="expression" dxfId="5769" priority="6315">
      <formula>$E333&lt;&gt;"Yes"</formula>
    </cfRule>
  </conditionalFormatting>
  <conditionalFormatting sqref="AE333">
    <cfRule type="expression" dxfId="5768" priority="6314">
      <formula>$E$7&lt;&gt;"Yes"</formula>
    </cfRule>
  </conditionalFormatting>
  <conditionalFormatting sqref="AE333">
    <cfRule type="expression" dxfId="5767" priority="6313">
      <formula>$E333&lt;&gt;"Yes"</formula>
    </cfRule>
  </conditionalFormatting>
  <conditionalFormatting sqref="N333">
    <cfRule type="expression" dxfId="5766" priority="6312">
      <formula>$E$7&lt;&gt;"Yes"</formula>
    </cfRule>
  </conditionalFormatting>
  <conditionalFormatting sqref="N333">
    <cfRule type="expression" dxfId="5765" priority="6311">
      <formula>$E333&lt;&gt;"Yes"</formula>
    </cfRule>
  </conditionalFormatting>
  <conditionalFormatting sqref="AB333">
    <cfRule type="expression" dxfId="5764" priority="6298">
      <formula>$E$7&lt;&gt;"Yes"</formula>
    </cfRule>
  </conditionalFormatting>
  <conditionalFormatting sqref="AB333">
    <cfRule type="expression" dxfId="5763" priority="6297">
      <formula>$E333&lt;&gt;"Yes"</formula>
    </cfRule>
  </conditionalFormatting>
  <conditionalFormatting sqref="AA333">
    <cfRule type="expression" dxfId="5762" priority="6296">
      <formula>$E$7&lt;&gt;"Yes"</formula>
    </cfRule>
  </conditionalFormatting>
  <conditionalFormatting sqref="AA333">
    <cfRule type="expression" dxfId="5761" priority="6295">
      <formula>$E333&lt;&gt;"Yes"</formula>
    </cfRule>
  </conditionalFormatting>
  <conditionalFormatting sqref="Y333">
    <cfRule type="expression" dxfId="5760" priority="6294">
      <formula>$E$7&lt;&gt;"Yes"</formula>
    </cfRule>
  </conditionalFormatting>
  <conditionalFormatting sqref="Y333">
    <cfRule type="expression" dxfId="5759" priority="6293">
      <formula>$E333&lt;&gt;"Yes"</formula>
    </cfRule>
  </conditionalFormatting>
  <conditionalFormatting sqref="O333:P333">
    <cfRule type="expression" dxfId="5758" priority="6292">
      <formula>$E$7&lt;&gt;"Yes"</formula>
    </cfRule>
  </conditionalFormatting>
  <conditionalFormatting sqref="O333:P333">
    <cfRule type="expression" dxfId="5757" priority="6291">
      <formula>$E333&lt;&gt;"Yes"</formula>
    </cfRule>
  </conditionalFormatting>
  <conditionalFormatting sqref="X333">
    <cfRule type="expression" dxfId="5756" priority="6290">
      <formula>$E$7&lt;&gt;"Yes"</formula>
    </cfRule>
  </conditionalFormatting>
  <conditionalFormatting sqref="X333">
    <cfRule type="expression" dxfId="5755" priority="6289">
      <formula>$E333&lt;&gt;"Yes"</formula>
    </cfRule>
  </conditionalFormatting>
  <conditionalFormatting sqref="AD333">
    <cfRule type="expression" dxfId="5754" priority="6286">
      <formula>$E$7&lt;&gt;"Yes"</formula>
    </cfRule>
  </conditionalFormatting>
  <conditionalFormatting sqref="AD333">
    <cfRule type="expression" dxfId="5753" priority="6285">
      <formula>$E333&lt;&gt;"Yes"</formula>
    </cfRule>
  </conditionalFormatting>
  <conditionalFormatting sqref="AC333">
    <cfRule type="expression" dxfId="5752" priority="6284">
      <formula>$E$7&lt;&gt;"Yes"</formula>
    </cfRule>
  </conditionalFormatting>
  <conditionalFormatting sqref="AC333">
    <cfRule type="expression" dxfId="5751" priority="6283">
      <formula>$E333&lt;&gt;"Yes"</formula>
    </cfRule>
  </conditionalFormatting>
  <conditionalFormatting sqref="F153:J153 Q153 M153:N153 Y153 AF153:AH153 AJ153:AK153">
    <cfRule type="expression" dxfId="5750" priority="6282">
      <formula>$E$7&lt;&gt;"Yes"</formula>
    </cfRule>
  </conditionalFormatting>
  <conditionalFormatting sqref="F153:J153 Q153 M153:N153 Y153 AF153:AH153 AJ153:AK153">
    <cfRule type="expression" dxfId="5749" priority="6281">
      <formula>$E153&lt;&gt;"Yes"</formula>
    </cfRule>
  </conditionalFormatting>
  <conditionalFormatting sqref="G153">
    <cfRule type="expression" dxfId="5748" priority="6280">
      <formula>$E$7&lt;&gt;"Yes"</formula>
    </cfRule>
  </conditionalFormatting>
  <conditionalFormatting sqref="K153:L153">
    <cfRule type="expression" dxfId="5747" priority="6279">
      <formula>$E$7&lt;&gt;"Yes"</formula>
    </cfRule>
  </conditionalFormatting>
  <conditionalFormatting sqref="K153:L153">
    <cfRule type="expression" dxfId="5746" priority="6278">
      <formula>$E153&lt;&gt;"Yes"</formula>
    </cfRule>
  </conditionalFormatting>
  <conditionalFormatting sqref="W153">
    <cfRule type="expression" dxfId="5745" priority="6277">
      <formula>$E$7&lt;&gt;"Yes"</formula>
    </cfRule>
  </conditionalFormatting>
  <conditionalFormatting sqref="W153">
    <cfRule type="expression" dxfId="5744" priority="6276">
      <formula>$E153&lt;&gt;"Yes"</formula>
    </cfRule>
  </conditionalFormatting>
  <conditionalFormatting sqref="AE153">
    <cfRule type="expression" dxfId="5743" priority="6275">
      <formula>$E$7&lt;&gt;"Yes"</formula>
    </cfRule>
  </conditionalFormatting>
  <conditionalFormatting sqref="AE153">
    <cfRule type="expression" dxfId="5742" priority="6274">
      <formula>$E153&lt;&gt;"Yes"</formula>
    </cfRule>
  </conditionalFormatting>
  <conditionalFormatting sqref="AB153">
    <cfRule type="expression" dxfId="5741" priority="6261">
      <formula>$E$7&lt;&gt;"Yes"</formula>
    </cfRule>
  </conditionalFormatting>
  <conditionalFormatting sqref="AB153">
    <cfRule type="expression" dxfId="5740" priority="6260">
      <formula>$E153&lt;&gt;"Yes"</formula>
    </cfRule>
  </conditionalFormatting>
  <conditionalFormatting sqref="AA153">
    <cfRule type="expression" dxfId="5739" priority="6259">
      <formula>$E$7&lt;&gt;"Yes"</formula>
    </cfRule>
  </conditionalFormatting>
  <conditionalFormatting sqref="AA153">
    <cfRule type="expression" dxfId="5738" priority="6258">
      <formula>$E153&lt;&gt;"Yes"</formula>
    </cfRule>
  </conditionalFormatting>
  <conditionalFormatting sqref="Y153">
    <cfRule type="expression" dxfId="5737" priority="6257">
      <formula>$E$7&lt;&gt;"Yes"</formula>
    </cfRule>
  </conditionalFormatting>
  <conditionalFormatting sqref="Y153">
    <cfRule type="expression" dxfId="5736" priority="6256">
      <formula>$E153&lt;&gt;"Yes"</formula>
    </cfRule>
  </conditionalFormatting>
  <conditionalFormatting sqref="O153:P153">
    <cfRule type="expression" dxfId="5735" priority="6255">
      <formula>$E$7&lt;&gt;"Yes"</formula>
    </cfRule>
  </conditionalFormatting>
  <conditionalFormatting sqref="O153:P153">
    <cfRule type="expression" dxfId="5734" priority="6254">
      <formula>$E153&lt;&gt;"Yes"</formula>
    </cfRule>
  </conditionalFormatting>
  <conditionalFormatting sqref="X153">
    <cfRule type="expression" dxfId="5733" priority="6253">
      <formula>$E$7&lt;&gt;"Yes"</formula>
    </cfRule>
  </conditionalFormatting>
  <conditionalFormatting sqref="X153">
    <cfRule type="expression" dxfId="5732" priority="6252">
      <formula>$E153&lt;&gt;"Yes"</formula>
    </cfRule>
  </conditionalFormatting>
  <conditionalFormatting sqref="AD153">
    <cfRule type="expression" dxfId="5731" priority="6249">
      <formula>$E$7&lt;&gt;"Yes"</formula>
    </cfRule>
  </conditionalFormatting>
  <conditionalFormatting sqref="AD153">
    <cfRule type="expression" dxfId="5730" priority="6248">
      <formula>$E153&lt;&gt;"Yes"</formula>
    </cfRule>
  </conditionalFormatting>
  <conditionalFormatting sqref="AC153">
    <cfRule type="expression" dxfId="5729" priority="6247">
      <formula>$E$7&lt;&gt;"Yes"</formula>
    </cfRule>
  </conditionalFormatting>
  <conditionalFormatting sqref="AC153">
    <cfRule type="expression" dxfId="5728" priority="6246">
      <formula>$E153&lt;&gt;"Yes"</formula>
    </cfRule>
  </conditionalFormatting>
  <conditionalFormatting sqref="Y437 AF437:AH437 AJ437:AK437">
    <cfRule type="expression" dxfId="5727" priority="6233">
      <formula>$E$7&lt;&gt;"Yes"</formula>
    </cfRule>
  </conditionalFormatting>
  <conditionalFormatting sqref="Y437 AF437:AH437 AJ437:AK437">
    <cfRule type="expression" dxfId="5726" priority="6232">
      <formula>$E437&lt;&gt;"Yes"</formula>
    </cfRule>
  </conditionalFormatting>
  <conditionalFormatting sqref="Q437">
    <cfRule type="expression" dxfId="5725" priority="6231">
      <formula>$E$7&lt;&gt;"Yes"</formula>
    </cfRule>
  </conditionalFormatting>
  <conditionalFormatting sqref="Q437">
    <cfRule type="expression" dxfId="5724" priority="6230">
      <formula>$E437&lt;&gt;"Yes"</formula>
    </cfRule>
  </conditionalFormatting>
  <conditionalFormatting sqref="M437 F437:J437 Q437">
    <cfRule type="expression" dxfId="5723" priority="6229">
      <formula>$E$7&lt;&gt;"Yes"</formula>
    </cfRule>
  </conditionalFormatting>
  <conditionalFormatting sqref="M437 F437:J437 Q437">
    <cfRule type="expression" dxfId="5722" priority="6228">
      <formula>$E437&lt;&gt;"Yes"</formula>
    </cfRule>
  </conditionalFormatting>
  <conditionalFormatting sqref="G437">
    <cfRule type="expression" dxfId="5721" priority="6227">
      <formula>$E$7&lt;&gt;"Yes"</formula>
    </cfRule>
  </conditionalFormatting>
  <conditionalFormatting sqref="K437:L437">
    <cfRule type="expression" dxfId="5720" priority="6226">
      <formula>$E$7&lt;&gt;"Yes"</formula>
    </cfRule>
  </conditionalFormatting>
  <conditionalFormatting sqref="K437:L437">
    <cfRule type="expression" dxfId="5719" priority="6225">
      <formula>$E437&lt;&gt;"Yes"</formula>
    </cfRule>
  </conditionalFormatting>
  <conditionalFormatting sqref="N437">
    <cfRule type="expression" dxfId="5718" priority="6222">
      <formula>$E$7&lt;&gt;"Yes"</formula>
    </cfRule>
  </conditionalFormatting>
  <conditionalFormatting sqref="N437">
    <cfRule type="expression" dxfId="5717" priority="6221">
      <formula>$E437&lt;&gt;"Yes"</formula>
    </cfRule>
  </conditionalFormatting>
  <conditionalFormatting sqref="W437">
    <cfRule type="expression" dxfId="5716" priority="6224">
      <formula>$E$7&lt;&gt;"Yes"</formula>
    </cfRule>
  </conditionalFormatting>
  <conditionalFormatting sqref="W437">
    <cfRule type="expression" dxfId="5715" priority="6223">
      <formula>$E437&lt;&gt;"Yes"</formula>
    </cfRule>
  </conditionalFormatting>
  <conditionalFormatting sqref="AE437">
    <cfRule type="expression" dxfId="5714" priority="6220">
      <formula>$E$7&lt;&gt;"Yes"</formula>
    </cfRule>
  </conditionalFormatting>
  <conditionalFormatting sqref="AE437">
    <cfRule type="expression" dxfId="5713" priority="6219">
      <formula>$E437&lt;&gt;"Yes"</formula>
    </cfRule>
  </conditionalFormatting>
  <conditionalFormatting sqref="AB437">
    <cfRule type="expression" dxfId="5712" priority="6206">
      <formula>$E$7&lt;&gt;"Yes"</formula>
    </cfRule>
  </conditionalFormatting>
  <conditionalFormatting sqref="AB437">
    <cfRule type="expression" dxfId="5711" priority="6205">
      <formula>$E437&lt;&gt;"Yes"</formula>
    </cfRule>
  </conditionalFormatting>
  <conditionalFormatting sqref="AA437">
    <cfRule type="expression" dxfId="5710" priority="6204">
      <formula>$E$7&lt;&gt;"Yes"</formula>
    </cfRule>
  </conditionalFormatting>
  <conditionalFormatting sqref="AA437">
    <cfRule type="expression" dxfId="5709" priority="6203">
      <formula>$E437&lt;&gt;"Yes"</formula>
    </cfRule>
  </conditionalFormatting>
  <conditionalFormatting sqref="Y437">
    <cfRule type="expression" dxfId="5708" priority="6202">
      <formula>$E$7&lt;&gt;"Yes"</formula>
    </cfRule>
  </conditionalFormatting>
  <conditionalFormatting sqref="Y437">
    <cfRule type="expression" dxfId="5707" priority="6201">
      <formula>$E437&lt;&gt;"Yes"</formula>
    </cfRule>
  </conditionalFormatting>
  <conditionalFormatting sqref="O437:P437">
    <cfRule type="expression" dxfId="5706" priority="6200">
      <formula>$E$7&lt;&gt;"Yes"</formula>
    </cfRule>
  </conditionalFormatting>
  <conditionalFormatting sqref="O437:P437">
    <cfRule type="expression" dxfId="5705" priority="6199">
      <formula>$E437&lt;&gt;"Yes"</formula>
    </cfRule>
  </conditionalFormatting>
  <conditionalFormatting sqref="X437">
    <cfRule type="expression" dxfId="5704" priority="6198">
      <formula>$E$7&lt;&gt;"Yes"</formula>
    </cfRule>
  </conditionalFormatting>
  <conditionalFormatting sqref="X437">
    <cfRule type="expression" dxfId="5703" priority="6197">
      <formula>$E437&lt;&gt;"Yes"</formula>
    </cfRule>
  </conditionalFormatting>
  <conditionalFormatting sqref="AD437">
    <cfRule type="expression" dxfId="5702" priority="6194">
      <formula>$E$7&lt;&gt;"Yes"</formula>
    </cfRule>
  </conditionalFormatting>
  <conditionalFormatting sqref="AD437">
    <cfRule type="expression" dxfId="5701" priority="6193">
      <formula>$E437&lt;&gt;"Yes"</formula>
    </cfRule>
  </conditionalFormatting>
  <conditionalFormatting sqref="AC437">
    <cfRule type="expression" dxfId="5700" priority="6192">
      <formula>$E$7&lt;&gt;"Yes"</formula>
    </cfRule>
  </conditionalFormatting>
  <conditionalFormatting sqref="AC437">
    <cfRule type="expression" dxfId="5699" priority="6191">
      <formula>$E437&lt;&gt;"Yes"</formula>
    </cfRule>
  </conditionalFormatting>
  <conditionalFormatting sqref="F205:J205 Q205 Y205 AF205:AH205 M205:N205 AJ205:AK205">
    <cfRule type="expression" dxfId="5698" priority="6190">
      <formula>$E$7&lt;&gt;"Yes"</formula>
    </cfRule>
  </conditionalFormatting>
  <conditionalFormatting sqref="F205:J205 Q205 Y205 AF205:AH205 M205:N205 AJ205:AK205">
    <cfRule type="expression" dxfId="5697" priority="6189">
      <formula>$E205&lt;&gt;"Yes"</formula>
    </cfRule>
  </conditionalFormatting>
  <conditionalFormatting sqref="G205">
    <cfRule type="expression" dxfId="5696" priority="6188">
      <formula>$E$7&lt;&gt;"Yes"</formula>
    </cfRule>
  </conditionalFormatting>
  <conditionalFormatting sqref="K205:L205">
    <cfRule type="expression" dxfId="5695" priority="6187">
      <formula>$E$7&lt;&gt;"Yes"</formula>
    </cfRule>
  </conditionalFormatting>
  <conditionalFormatting sqref="K205:L205">
    <cfRule type="expression" dxfId="5694" priority="6186">
      <formula>$E205&lt;&gt;"Yes"</formula>
    </cfRule>
  </conditionalFormatting>
  <conditionalFormatting sqref="W205">
    <cfRule type="expression" dxfId="5693" priority="6185">
      <formula>$E$7&lt;&gt;"Yes"</formula>
    </cfRule>
  </conditionalFormatting>
  <conditionalFormatting sqref="W205">
    <cfRule type="expression" dxfId="5692" priority="6184">
      <formula>$E205&lt;&gt;"Yes"</formula>
    </cfRule>
  </conditionalFormatting>
  <conditionalFormatting sqref="Q205">
    <cfRule type="expression" dxfId="5691" priority="6183">
      <formula>$E$7&lt;&gt;"Yes"</formula>
    </cfRule>
  </conditionalFormatting>
  <conditionalFormatting sqref="Q205">
    <cfRule type="expression" dxfId="5690" priority="6182">
      <formula>$E205&lt;&gt;"Yes"</formula>
    </cfRule>
  </conditionalFormatting>
  <conditionalFormatting sqref="AE205">
    <cfRule type="expression" dxfId="5689" priority="6181">
      <formula>$E$7&lt;&gt;"Yes"</formula>
    </cfRule>
  </conditionalFormatting>
  <conditionalFormatting sqref="AE205">
    <cfRule type="expression" dxfId="5688" priority="6180">
      <formula>$E205&lt;&gt;"Yes"</formula>
    </cfRule>
  </conditionalFormatting>
  <conditionalFormatting sqref="AB205">
    <cfRule type="expression" dxfId="5687" priority="6167">
      <formula>$E$7&lt;&gt;"Yes"</formula>
    </cfRule>
  </conditionalFormatting>
  <conditionalFormatting sqref="AB205">
    <cfRule type="expression" dxfId="5686" priority="6166">
      <formula>$E205&lt;&gt;"Yes"</formula>
    </cfRule>
  </conditionalFormatting>
  <conditionalFormatting sqref="AA205">
    <cfRule type="expression" dxfId="5685" priority="6165">
      <formula>$E$7&lt;&gt;"Yes"</formula>
    </cfRule>
  </conditionalFormatting>
  <conditionalFormatting sqref="AA205">
    <cfRule type="expression" dxfId="5684" priority="6164">
      <formula>$E205&lt;&gt;"Yes"</formula>
    </cfRule>
  </conditionalFormatting>
  <conditionalFormatting sqref="Y205">
    <cfRule type="expression" dxfId="5683" priority="6163">
      <formula>$E$7&lt;&gt;"Yes"</formula>
    </cfRule>
  </conditionalFormatting>
  <conditionalFormatting sqref="Y205">
    <cfRule type="expression" dxfId="5682" priority="6162">
      <formula>$E205&lt;&gt;"Yes"</formula>
    </cfRule>
  </conditionalFormatting>
  <conditionalFormatting sqref="O205:P205">
    <cfRule type="expression" dxfId="5681" priority="6161">
      <formula>$E$7&lt;&gt;"Yes"</formula>
    </cfRule>
  </conditionalFormatting>
  <conditionalFormatting sqref="O205:P205">
    <cfRule type="expression" dxfId="5680" priority="6160">
      <formula>$E205&lt;&gt;"Yes"</formula>
    </cfRule>
  </conditionalFormatting>
  <conditionalFormatting sqref="X205">
    <cfRule type="expression" dxfId="5679" priority="6159">
      <formula>$E$7&lt;&gt;"Yes"</formula>
    </cfRule>
  </conditionalFormatting>
  <conditionalFormatting sqref="X205">
    <cfRule type="expression" dxfId="5678" priority="6158">
      <formula>$E205&lt;&gt;"Yes"</formula>
    </cfRule>
  </conditionalFormatting>
  <conditionalFormatting sqref="AD205">
    <cfRule type="expression" dxfId="5677" priority="6155">
      <formula>$E$7&lt;&gt;"Yes"</formula>
    </cfRule>
  </conditionalFormatting>
  <conditionalFormatting sqref="AD205">
    <cfRule type="expression" dxfId="5676" priority="6154">
      <formula>$E205&lt;&gt;"Yes"</formula>
    </cfRule>
  </conditionalFormatting>
  <conditionalFormatting sqref="AC205">
    <cfRule type="expression" dxfId="5675" priority="6153">
      <formula>$E$7&lt;&gt;"Yes"</formula>
    </cfRule>
  </conditionalFormatting>
  <conditionalFormatting sqref="AC205">
    <cfRule type="expression" dxfId="5674" priority="6152">
      <formula>$E205&lt;&gt;"Yes"</formula>
    </cfRule>
  </conditionalFormatting>
  <conditionalFormatting sqref="F206:J206 Q206 Y206 AF206:AH206 M206:N206 AJ206:AK206">
    <cfRule type="expression" dxfId="5673" priority="6151">
      <formula>$E$7&lt;&gt;"Yes"</formula>
    </cfRule>
  </conditionalFormatting>
  <conditionalFormatting sqref="F206:J206 Q206 Y206 AF206:AH206 M206:N206 AJ206:AK206">
    <cfRule type="expression" dxfId="5672" priority="6150">
      <formula>$E206&lt;&gt;"Yes"</formula>
    </cfRule>
  </conditionalFormatting>
  <conditionalFormatting sqref="G206">
    <cfRule type="expression" dxfId="5671" priority="6149">
      <formula>$E$7&lt;&gt;"Yes"</formula>
    </cfRule>
  </conditionalFormatting>
  <conditionalFormatting sqref="K206:L206">
    <cfRule type="expression" dxfId="5670" priority="6148">
      <formula>$E$7&lt;&gt;"Yes"</formula>
    </cfRule>
  </conditionalFormatting>
  <conditionalFormatting sqref="K206:L206">
    <cfRule type="expression" dxfId="5669" priority="6147">
      <formula>$E206&lt;&gt;"Yes"</formula>
    </cfRule>
  </conditionalFormatting>
  <conditionalFormatting sqref="W206">
    <cfRule type="expression" dxfId="5668" priority="6146">
      <formula>$E$7&lt;&gt;"Yes"</formula>
    </cfRule>
  </conditionalFormatting>
  <conditionalFormatting sqref="W206">
    <cfRule type="expression" dxfId="5667" priority="6145">
      <formula>$E206&lt;&gt;"Yes"</formula>
    </cfRule>
  </conditionalFormatting>
  <conditionalFormatting sqref="Q206">
    <cfRule type="expression" dxfId="5666" priority="6144">
      <formula>$E$7&lt;&gt;"Yes"</formula>
    </cfRule>
  </conditionalFormatting>
  <conditionalFormatting sqref="Q206">
    <cfRule type="expression" dxfId="5665" priority="6143">
      <formula>$E206&lt;&gt;"Yes"</formula>
    </cfRule>
  </conditionalFormatting>
  <conditionalFormatting sqref="AE206">
    <cfRule type="expression" dxfId="5664" priority="6142">
      <formula>$E$7&lt;&gt;"Yes"</formula>
    </cfRule>
  </conditionalFormatting>
  <conditionalFormatting sqref="AE206">
    <cfRule type="expression" dxfId="5663" priority="6141">
      <formula>$E206&lt;&gt;"Yes"</formula>
    </cfRule>
  </conditionalFormatting>
  <conditionalFormatting sqref="AB206">
    <cfRule type="expression" dxfId="5662" priority="6128">
      <formula>$E$7&lt;&gt;"Yes"</formula>
    </cfRule>
  </conditionalFormatting>
  <conditionalFormatting sqref="AB206">
    <cfRule type="expression" dxfId="5661" priority="6127">
      <formula>$E206&lt;&gt;"Yes"</formula>
    </cfRule>
  </conditionalFormatting>
  <conditionalFormatting sqref="AA206">
    <cfRule type="expression" dxfId="5660" priority="6126">
      <formula>$E$7&lt;&gt;"Yes"</formula>
    </cfRule>
  </conditionalFormatting>
  <conditionalFormatting sqref="AA206">
    <cfRule type="expression" dxfId="5659" priority="6125">
      <formula>$E206&lt;&gt;"Yes"</formula>
    </cfRule>
  </conditionalFormatting>
  <conditionalFormatting sqref="Y206">
    <cfRule type="expression" dxfId="5658" priority="6124">
      <formula>$E$7&lt;&gt;"Yes"</formula>
    </cfRule>
  </conditionalFormatting>
  <conditionalFormatting sqref="Y206">
    <cfRule type="expression" dxfId="5657" priority="6123">
      <formula>$E206&lt;&gt;"Yes"</formula>
    </cfRule>
  </conditionalFormatting>
  <conditionalFormatting sqref="O206:P206">
    <cfRule type="expression" dxfId="5656" priority="6122">
      <formula>$E$7&lt;&gt;"Yes"</formula>
    </cfRule>
  </conditionalFormatting>
  <conditionalFormatting sqref="O206:P206">
    <cfRule type="expression" dxfId="5655" priority="6121">
      <formula>$E206&lt;&gt;"Yes"</formula>
    </cfRule>
  </conditionalFormatting>
  <conditionalFormatting sqref="X206">
    <cfRule type="expression" dxfId="5654" priority="6120">
      <formula>$E$7&lt;&gt;"Yes"</formula>
    </cfRule>
  </conditionalFormatting>
  <conditionalFormatting sqref="X206">
    <cfRule type="expression" dxfId="5653" priority="6119">
      <formula>$E206&lt;&gt;"Yes"</formula>
    </cfRule>
  </conditionalFormatting>
  <conditionalFormatting sqref="AD206">
    <cfRule type="expression" dxfId="5652" priority="6116">
      <formula>$E$7&lt;&gt;"Yes"</formula>
    </cfRule>
  </conditionalFormatting>
  <conditionalFormatting sqref="AD206">
    <cfRule type="expression" dxfId="5651" priority="6115">
      <formula>$E206&lt;&gt;"Yes"</formula>
    </cfRule>
  </conditionalFormatting>
  <conditionalFormatting sqref="AC206">
    <cfRule type="expression" dxfId="5650" priority="6114">
      <formula>$E$7&lt;&gt;"Yes"</formula>
    </cfRule>
  </conditionalFormatting>
  <conditionalFormatting sqref="AC206">
    <cfRule type="expression" dxfId="5649" priority="6113">
      <formula>$E206&lt;&gt;"Yes"</formula>
    </cfRule>
  </conditionalFormatting>
  <conditionalFormatting sqref="F207:J207 Q207 Y207 AF207:AH207 M207:N207 AJ207:AK207">
    <cfRule type="expression" dxfId="5648" priority="6112">
      <formula>$E$7&lt;&gt;"Yes"</formula>
    </cfRule>
  </conditionalFormatting>
  <conditionalFormatting sqref="F207:J207 Q207 Y207 AF207:AH207 M207:N207 AJ207:AK207">
    <cfRule type="expression" dxfId="5647" priority="6111">
      <formula>$E207&lt;&gt;"Yes"</formula>
    </cfRule>
  </conditionalFormatting>
  <conditionalFormatting sqref="G207">
    <cfRule type="expression" dxfId="5646" priority="6110">
      <formula>$E$7&lt;&gt;"Yes"</formula>
    </cfRule>
  </conditionalFormatting>
  <conditionalFormatting sqref="K207:L207">
    <cfRule type="expression" dxfId="5645" priority="6109">
      <formula>$E$7&lt;&gt;"Yes"</formula>
    </cfRule>
  </conditionalFormatting>
  <conditionalFormatting sqref="K207:L207">
    <cfRule type="expression" dxfId="5644" priority="6108">
      <formula>$E207&lt;&gt;"Yes"</formula>
    </cfRule>
  </conditionalFormatting>
  <conditionalFormatting sqref="W207">
    <cfRule type="expression" dxfId="5643" priority="6107">
      <formula>$E$7&lt;&gt;"Yes"</formula>
    </cfRule>
  </conditionalFormatting>
  <conditionalFormatting sqref="W207">
    <cfRule type="expression" dxfId="5642" priority="6106">
      <formula>$E207&lt;&gt;"Yes"</formula>
    </cfRule>
  </conditionalFormatting>
  <conditionalFormatting sqref="Q207">
    <cfRule type="expression" dxfId="5641" priority="6105">
      <formula>$E$7&lt;&gt;"Yes"</formula>
    </cfRule>
  </conditionalFormatting>
  <conditionalFormatting sqref="Q207">
    <cfRule type="expression" dxfId="5640" priority="6104">
      <formula>$E207&lt;&gt;"Yes"</formula>
    </cfRule>
  </conditionalFormatting>
  <conditionalFormatting sqref="AE207">
    <cfRule type="expression" dxfId="5639" priority="6103">
      <formula>$E$7&lt;&gt;"Yes"</formula>
    </cfRule>
  </conditionalFormatting>
  <conditionalFormatting sqref="AE207">
    <cfRule type="expression" dxfId="5638" priority="6102">
      <formula>$E207&lt;&gt;"Yes"</formula>
    </cfRule>
  </conditionalFormatting>
  <conditionalFormatting sqref="AB207">
    <cfRule type="expression" dxfId="5637" priority="6089">
      <formula>$E$7&lt;&gt;"Yes"</formula>
    </cfRule>
  </conditionalFormatting>
  <conditionalFormatting sqref="AB207">
    <cfRule type="expression" dxfId="5636" priority="6088">
      <formula>$E207&lt;&gt;"Yes"</formula>
    </cfRule>
  </conditionalFormatting>
  <conditionalFormatting sqref="AA207">
    <cfRule type="expression" dxfId="5635" priority="6087">
      <formula>$E$7&lt;&gt;"Yes"</formula>
    </cfRule>
  </conditionalFormatting>
  <conditionalFormatting sqref="AA207">
    <cfRule type="expression" dxfId="5634" priority="6086">
      <formula>$E207&lt;&gt;"Yes"</formula>
    </cfRule>
  </conditionalFormatting>
  <conditionalFormatting sqref="Y207">
    <cfRule type="expression" dxfId="5633" priority="6085">
      <formula>$E$7&lt;&gt;"Yes"</formula>
    </cfRule>
  </conditionalFormatting>
  <conditionalFormatting sqref="Y207">
    <cfRule type="expression" dxfId="5632" priority="6084">
      <formula>$E207&lt;&gt;"Yes"</formula>
    </cfRule>
  </conditionalFormatting>
  <conditionalFormatting sqref="O207:P207">
    <cfRule type="expression" dxfId="5631" priority="6083">
      <formula>$E$7&lt;&gt;"Yes"</formula>
    </cfRule>
  </conditionalFormatting>
  <conditionalFormatting sqref="O207:P207">
    <cfRule type="expression" dxfId="5630" priority="6082">
      <formula>$E207&lt;&gt;"Yes"</formula>
    </cfRule>
  </conditionalFormatting>
  <conditionalFormatting sqref="X207">
    <cfRule type="expression" dxfId="5629" priority="6081">
      <formula>$E$7&lt;&gt;"Yes"</formula>
    </cfRule>
  </conditionalFormatting>
  <conditionalFormatting sqref="X207">
    <cfRule type="expression" dxfId="5628" priority="6080">
      <formula>$E207&lt;&gt;"Yes"</formula>
    </cfRule>
  </conditionalFormatting>
  <conditionalFormatting sqref="AD207">
    <cfRule type="expression" dxfId="5627" priority="6077">
      <formula>$E$7&lt;&gt;"Yes"</formula>
    </cfRule>
  </conditionalFormatting>
  <conditionalFormatting sqref="AD207">
    <cfRule type="expression" dxfId="5626" priority="6076">
      <formula>$E207&lt;&gt;"Yes"</formula>
    </cfRule>
  </conditionalFormatting>
  <conditionalFormatting sqref="AC207">
    <cfRule type="expression" dxfId="5625" priority="6075">
      <formula>$E$7&lt;&gt;"Yes"</formula>
    </cfRule>
  </conditionalFormatting>
  <conditionalFormatting sqref="AC207">
    <cfRule type="expression" dxfId="5624" priority="6074">
      <formula>$E207&lt;&gt;"Yes"</formula>
    </cfRule>
  </conditionalFormatting>
  <conditionalFormatting sqref="F208:J208 Q208 Y208 AF208:AH208 M208:N208 AJ208:AK208">
    <cfRule type="expression" dxfId="5623" priority="6073">
      <formula>$E$7&lt;&gt;"Yes"</formula>
    </cfRule>
  </conditionalFormatting>
  <conditionalFormatting sqref="F208:J208 Q208 Y208 AF208:AH208 M208:N208 AJ208:AK208">
    <cfRule type="expression" dxfId="5622" priority="6072">
      <formula>$E208&lt;&gt;"Yes"</formula>
    </cfRule>
  </conditionalFormatting>
  <conditionalFormatting sqref="G208">
    <cfRule type="expression" dxfId="5621" priority="6071">
      <formula>$E$7&lt;&gt;"Yes"</formula>
    </cfRule>
  </conditionalFormatting>
  <conditionalFormatting sqref="K208:L208">
    <cfRule type="expression" dxfId="5620" priority="6070">
      <formula>$E$7&lt;&gt;"Yes"</formula>
    </cfRule>
  </conditionalFormatting>
  <conditionalFormatting sqref="K208:L208">
    <cfRule type="expression" dxfId="5619" priority="6069">
      <formula>$E208&lt;&gt;"Yes"</formula>
    </cfRule>
  </conditionalFormatting>
  <conditionalFormatting sqref="W208">
    <cfRule type="expression" dxfId="5618" priority="6068">
      <formula>$E$7&lt;&gt;"Yes"</formula>
    </cfRule>
  </conditionalFormatting>
  <conditionalFormatting sqref="W208">
    <cfRule type="expression" dxfId="5617" priority="6067">
      <formula>$E208&lt;&gt;"Yes"</formula>
    </cfRule>
  </conditionalFormatting>
  <conditionalFormatting sqref="Q208">
    <cfRule type="expression" dxfId="5616" priority="6066">
      <formula>$E$7&lt;&gt;"Yes"</formula>
    </cfRule>
  </conditionalFormatting>
  <conditionalFormatting sqref="Q208">
    <cfRule type="expression" dxfId="5615" priority="6065">
      <formula>$E208&lt;&gt;"Yes"</formula>
    </cfRule>
  </conditionalFormatting>
  <conditionalFormatting sqref="AE208">
    <cfRule type="expression" dxfId="5614" priority="6064">
      <formula>$E$7&lt;&gt;"Yes"</formula>
    </cfRule>
  </conditionalFormatting>
  <conditionalFormatting sqref="AE208">
    <cfRule type="expression" dxfId="5613" priority="6063">
      <formula>$E208&lt;&gt;"Yes"</formula>
    </cfRule>
  </conditionalFormatting>
  <conditionalFormatting sqref="AB208">
    <cfRule type="expression" dxfId="5612" priority="6050">
      <formula>$E$7&lt;&gt;"Yes"</formula>
    </cfRule>
  </conditionalFormatting>
  <conditionalFormatting sqref="AB208">
    <cfRule type="expression" dxfId="5611" priority="6049">
      <formula>$E208&lt;&gt;"Yes"</formula>
    </cfRule>
  </conditionalFormatting>
  <conditionalFormatting sqref="AA208">
    <cfRule type="expression" dxfId="5610" priority="6048">
      <formula>$E$7&lt;&gt;"Yes"</formula>
    </cfRule>
  </conditionalFormatting>
  <conditionalFormatting sqref="AA208">
    <cfRule type="expression" dxfId="5609" priority="6047">
      <formula>$E208&lt;&gt;"Yes"</formula>
    </cfRule>
  </conditionalFormatting>
  <conditionalFormatting sqref="Y208">
    <cfRule type="expression" dxfId="5608" priority="6046">
      <formula>$E$7&lt;&gt;"Yes"</formula>
    </cfRule>
  </conditionalFormatting>
  <conditionalFormatting sqref="Y208">
    <cfRule type="expression" dxfId="5607" priority="6045">
      <formula>$E208&lt;&gt;"Yes"</formula>
    </cfRule>
  </conditionalFormatting>
  <conditionalFormatting sqref="O208:P208">
    <cfRule type="expression" dxfId="5606" priority="6044">
      <formula>$E$7&lt;&gt;"Yes"</formula>
    </cfRule>
  </conditionalFormatting>
  <conditionalFormatting sqref="O208:P208">
    <cfRule type="expression" dxfId="5605" priority="6043">
      <formula>$E208&lt;&gt;"Yes"</formula>
    </cfRule>
  </conditionalFormatting>
  <conditionalFormatting sqref="X208">
    <cfRule type="expression" dxfId="5604" priority="6042">
      <formula>$E$7&lt;&gt;"Yes"</formula>
    </cfRule>
  </conditionalFormatting>
  <conditionalFormatting sqref="X208">
    <cfRule type="expression" dxfId="5603" priority="6041">
      <formula>$E208&lt;&gt;"Yes"</formula>
    </cfRule>
  </conditionalFormatting>
  <conditionalFormatting sqref="AD208">
    <cfRule type="expression" dxfId="5602" priority="6038">
      <formula>$E$7&lt;&gt;"Yes"</formula>
    </cfRule>
  </conditionalFormatting>
  <conditionalFormatting sqref="AD208">
    <cfRule type="expression" dxfId="5601" priority="6037">
      <formula>$E208&lt;&gt;"Yes"</formula>
    </cfRule>
  </conditionalFormatting>
  <conditionalFormatting sqref="AC208">
    <cfRule type="expression" dxfId="5600" priority="6036">
      <formula>$E$7&lt;&gt;"Yes"</formula>
    </cfRule>
  </conditionalFormatting>
  <conditionalFormatting sqref="AC208">
    <cfRule type="expression" dxfId="5599" priority="6035">
      <formula>$E208&lt;&gt;"Yes"</formula>
    </cfRule>
  </conditionalFormatting>
  <conditionalFormatting sqref="F243:J243 M243 AF243:AH243 Y243 Q243 AJ243:AK243">
    <cfRule type="expression" dxfId="5598" priority="6034">
      <formula>$E$7&lt;&gt;"Yes"</formula>
    </cfRule>
  </conditionalFormatting>
  <conditionalFormatting sqref="G243">
    <cfRule type="expression" dxfId="5597" priority="6032">
      <formula>$E$7&lt;&gt;"Yes"</formula>
    </cfRule>
  </conditionalFormatting>
  <conditionalFormatting sqref="K243:L243">
    <cfRule type="expression" dxfId="5596" priority="6031">
      <formula>$E$7&lt;&gt;"Yes"</formula>
    </cfRule>
  </conditionalFormatting>
  <conditionalFormatting sqref="W243">
    <cfRule type="expression" dxfId="5595" priority="6029">
      <formula>$E$7&lt;&gt;"Yes"</formula>
    </cfRule>
  </conditionalFormatting>
  <conditionalFormatting sqref="AE243">
    <cfRule type="expression" dxfId="5594" priority="6027">
      <formula>$E$7&lt;&gt;"Yes"</formula>
    </cfRule>
  </conditionalFormatting>
  <conditionalFormatting sqref="N243">
    <cfRule type="expression" dxfId="5593" priority="6025">
      <formula>$E$7&lt;&gt;"Yes"</formula>
    </cfRule>
  </conditionalFormatting>
  <conditionalFormatting sqref="AB243">
    <cfRule type="expression" dxfId="5592" priority="6011">
      <formula>$E$7&lt;&gt;"Yes"</formula>
    </cfRule>
  </conditionalFormatting>
  <conditionalFormatting sqref="AA243">
    <cfRule type="expression" dxfId="5591" priority="6009">
      <formula>$E$7&lt;&gt;"Yes"</formula>
    </cfRule>
  </conditionalFormatting>
  <conditionalFormatting sqref="Y243">
    <cfRule type="expression" dxfId="5590" priority="6007">
      <formula>$E$7&lt;&gt;"Yes"</formula>
    </cfRule>
  </conditionalFormatting>
  <conditionalFormatting sqref="O243:P243">
    <cfRule type="expression" dxfId="5589" priority="6005">
      <formula>$E$7&lt;&gt;"Yes"</formula>
    </cfRule>
  </conditionalFormatting>
  <conditionalFormatting sqref="X243">
    <cfRule type="expression" dxfId="5588" priority="6003">
      <formula>$E$7&lt;&gt;"Yes"</formula>
    </cfRule>
  </conditionalFormatting>
  <conditionalFormatting sqref="AD243">
    <cfRule type="expression" dxfId="5587" priority="5999">
      <formula>$E$7&lt;&gt;"Yes"</formula>
    </cfRule>
  </conditionalFormatting>
  <conditionalFormatting sqref="AC243">
    <cfRule type="expression" dxfId="5586" priority="5997">
      <formula>$E$7&lt;&gt;"Yes"</formula>
    </cfRule>
  </conditionalFormatting>
  <conditionalFormatting sqref="F245:J245 M245 AF245:AH245 Y245 Q245 AJ245:AK245">
    <cfRule type="expression" dxfId="5585" priority="5995">
      <formula>$E$7&lt;&gt;"Yes"</formula>
    </cfRule>
  </conditionalFormatting>
  <conditionalFormatting sqref="G245">
    <cfRule type="expression" dxfId="5584" priority="5993">
      <formula>$E$7&lt;&gt;"Yes"</formula>
    </cfRule>
  </conditionalFormatting>
  <conditionalFormatting sqref="K245:L245">
    <cfRule type="expression" dxfId="5583" priority="5992">
      <formula>$E$7&lt;&gt;"Yes"</formula>
    </cfRule>
  </conditionalFormatting>
  <conditionalFormatting sqref="W245">
    <cfRule type="expression" dxfId="5582" priority="5990">
      <formula>$E$7&lt;&gt;"Yes"</formula>
    </cfRule>
  </conditionalFormatting>
  <conditionalFormatting sqref="AE245">
    <cfRule type="expression" dxfId="5581" priority="5988">
      <formula>$E$7&lt;&gt;"Yes"</formula>
    </cfRule>
  </conditionalFormatting>
  <conditionalFormatting sqref="N245">
    <cfRule type="expression" dxfId="5580" priority="5986">
      <formula>$E$7&lt;&gt;"Yes"</formula>
    </cfRule>
  </conditionalFormatting>
  <conditionalFormatting sqref="AB245">
    <cfRule type="expression" dxfId="5579" priority="5972">
      <formula>$E$7&lt;&gt;"Yes"</formula>
    </cfRule>
  </conditionalFormatting>
  <conditionalFormatting sqref="AA245">
    <cfRule type="expression" dxfId="5578" priority="5970">
      <formula>$E$7&lt;&gt;"Yes"</formula>
    </cfRule>
  </conditionalFormatting>
  <conditionalFormatting sqref="Y245">
    <cfRule type="expression" dxfId="5577" priority="5968">
      <formula>$E$7&lt;&gt;"Yes"</formula>
    </cfRule>
  </conditionalFormatting>
  <conditionalFormatting sqref="O245:P245">
    <cfRule type="expression" dxfId="5576" priority="5966">
      <formula>$E$7&lt;&gt;"Yes"</formula>
    </cfRule>
  </conditionalFormatting>
  <conditionalFormatting sqref="X245">
    <cfRule type="expression" dxfId="5575" priority="5964">
      <formula>$E$7&lt;&gt;"Yes"</formula>
    </cfRule>
  </conditionalFormatting>
  <conditionalFormatting sqref="AD245">
    <cfRule type="expression" dxfId="5574" priority="5960">
      <formula>$E$7&lt;&gt;"Yes"</formula>
    </cfRule>
  </conditionalFormatting>
  <conditionalFormatting sqref="AC245">
    <cfRule type="expression" dxfId="5573" priority="5958">
      <formula>$E$7&lt;&gt;"Yes"</formula>
    </cfRule>
  </conditionalFormatting>
  <conditionalFormatting sqref="F244:J244 M244 AF244:AH244 Y244 Q244 AJ244:AK244">
    <cfRule type="expression" dxfId="5572" priority="5956">
      <formula>$E$7&lt;&gt;"Yes"</formula>
    </cfRule>
  </conditionalFormatting>
  <conditionalFormatting sqref="G244">
    <cfRule type="expression" dxfId="5571" priority="5954">
      <formula>$E$7&lt;&gt;"Yes"</formula>
    </cfRule>
  </conditionalFormatting>
  <conditionalFormatting sqref="K244:L244">
    <cfRule type="expression" dxfId="5570" priority="5953">
      <formula>$E$7&lt;&gt;"Yes"</formula>
    </cfRule>
  </conditionalFormatting>
  <conditionalFormatting sqref="W244">
    <cfRule type="expression" dxfId="5569" priority="5951">
      <formula>$E$7&lt;&gt;"Yes"</formula>
    </cfRule>
  </conditionalFormatting>
  <conditionalFormatting sqref="AE244">
    <cfRule type="expression" dxfId="5568" priority="5949">
      <formula>$E$7&lt;&gt;"Yes"</formula>
    </cfRule>
  </conditionalFormatting>
  <conditionalFormatting sqref="N244">
    <cfRule type="expression" dxfId="5567" priority="5947">
      <formula>$E$7&lt;&gt;"Yes"</formula>
    </cfRule>
  </conditionalFormatting>
  <conditionalFormatting sqref="AB244">
    <cfRule type="expression" dxfId="5566" priority="5933">
      <formula>$E$7&lt;&gt;"Yes"</formula>
    </cfRule>
  </conditionalFormatting>
  <conditionalFormatting sqref="AA244">
    <cfRule type="expression" dxfId="5565" priority="5931">
      <formula>$E$7&lt;&gt;"Yes"</formula>
    </cfRule>
  </conditionalFormatting>
  <conditionalFormatting sqref="Y244">
    <cfRule type="expression" dxfId="5564" priority="5929">
      <formula>$E$7&lt;&gt;"Yes"</formula>
    </cfRule>
  </conditionalFormatting>
  <conditionalFormatting sqref="O244:P244">
    <cfRule type="expression" dxfId="5563" priority="5927">
      <formula>$E$7&lt;&gt;"Yes"</formula>
    </cfRule>
  </conditionalFormatting>
  <conditionalFormatting sqref="X244">
    <cfRule type="expression" dxfId="5562" priority="5925">
      <formula>$E$7&lt;&gt;"Yes"</formula>
    </cfRule>
  </conditionalFormatting>
  <conditionalFormatting sqref="AD244">
    <cfRule type="expression" dxfId="5561" priority="5921">
      <formula>$E$7&lt;&gt;"Yes"</formula>
    </cfRule>
  </conditionalFormatting>
  <conditionalFormatting sqref="AC244">
    <cfRule type="expression" dxfId="5560" priority="5919">
      <formula>$E$7&lt;&gt;"Yes"</formula>
    </cfRule>
  </conditionalFormatting>
  <conditionalFormatting sqref="M249 F249:J249 Q249 Y249 AF249:AH249 AJ249:AK249">
    <cfRule type="expression" dxfId="5559" priority="5917">
      <formula>$E$7&lt;&gt;"Yes"</formula>
    </cfRule>
  </conditionalFormatting>
  <conditionalFormatting sqref="M249 F249:J249 Q249 Y249 AF249:AH249 AJ249:AK249">
    <cfRule type="expression" dxfId="5558" priority="5916">
      <formula>$E249&lt;&gt;"Yes"</formula>
    </cfRule>
  </conditionalFormatting>
  <conditionalFormatting sqref="G249">
    <cfRule type="expression" dxfId="5557" priority="5915">
      <formula>$E$7&lt;&gt;"Yes"</formula>
    </cfRule>
  </conditionalFormatting>
  <conditionalFormatting sqref="K249:L249">
    <cfRule type="expression" dxfId="5556" priority="5914">
      <formula>$E$7&lt;&gt;"Yes"</formula>
    </cfRule>
  </conditionalFormatting>
  <conditionalFormatting sqref="K249:L249">
    <cfRule type="expression" dxfId="5555" priority="5913">
      <formula>$E249&lt;&gt;"Yes"</formula>
    </cfRule>
  </conditionalFormatting>
  <conditionalFormatting sqref="W249">
    <cfRule type="expression" dxfId="5554" priority="5912">
      <formula>$E$7&lt;&gt;"Yes"</formula>
    </cfRule>
  </conditionalFormatting>
  <conditionalFormatting sqref="W249">
    <cfRule type="expression" dxfId="5553" priority="5911">
      <formula>$E249&lt;&gt;"Yes"</formula>
    </cfRule>
  </conditionalFormatting>
  <conditionalFormatting sqref="AE249">
    <cfRule type="expression" dxfId="5552" priority="5910">
      <formula>$E$7&lt;&gt;"Yes"</formula>
    </cfRule>
  </conditionalFormatting>
  <conditionalFormatting sqref="AE249">
    <cfRule type="expression" dxfId="5551" priority="5909">
      <formula>$E249&lt;&gt;"Yes"</formula>
    </cfRule>
  </conditionalFormatting>
  <conditionalFormatting sqref="N249">
    <cfRule type="expression" dxfId="5550" priority="5908">
      <formula>$E$7&lt;&gt;"Yes"</formula>
    </cfRule>
  </conditionalFormatting>
  <conditionalFormatting sqref="N249">
    <cfRule type="expression" dxfId="5549" priority="5907">
      <formula>$E249&lt;&gt;"Yes"</formula>
    </cfRule>
  </conditionalFormatting>
  <conditionalFormatting sqref="AB249">
    <cfRule type="expression" dxfId="5548" priority="5894">
      <formula>$E$7&lt;&gt;"Yes"</formula>
    </cfRule>
  </conditionalFormatting>
  <conditionalFormatting sqref="AB249">
    <cfRule type="expression" dxfId="5547" priority="5893">
      <formula>$E249&lt;&gt;"Yes"</formula>
    </cfRule>
  </conditionalFormatting>
  <conditionalFormatting sqref="AA249">
    <cfRule type="expression" dxfId="5546" priority="5892">
      <formula>$E$7&lt;&gt;"Yes"</formula>
    </cfRule>
  </conditionalFormatting>
  <conditionalFormatting sqref="AA249">
    <cfRule type="expression" dxfId="5545" priority="5891">
      <formula>$E249&lt;&gt;"Yes"</formula>
    </cfRule>
  </conditionalFormatting>
  <conditionalFormatting sqref="Y249">
    <cfRule type="expression" dxfId="5544" priority="5890">
      <formula>$E$7&lt;&gt;"Yes"</formula>
    </cfRule>
  </conditionalFormatting>
  <conditionalFormatting sqref="Y249">
    <cfRule type="expression" dxfId="5543" priority="5889">
      <formula>$E249&lt;&gt;"Yes"</formula>
    </cfRule>
  </conditionalFormatting>
  <conditionalFormatting sqref="O249:P249">
    <cfRule type="expression" dxfId="5542" priority="5888">
      <formula>$E$7&lt;&gt;"Yes"</formula>
    </cfRule>
  </conditionalFormatting>
  <conditionalFormatting sqref="O249:P249">
    <cfRule type="expression" dxfId="5541" priority="5887">
      <formula>$E249&lt;&gt;"Yes"</formula>
    </cfRule>
  </conditionalFormatting>
  <conditionalFormatting sqref="X249">
    <cfRule type="expression" dxfId="5540" priority="5886">
      <formula>$E$7&lt;&gt;"Yes"</formula>
    </cfRule>
  </conditionalFormatting>
  <conditionalFormatting sqref="X249">
    <cfRule type="expression" dxfId="5539" priority="5885">
      <formula>$E249&lt;&gt;"Yes"</formula>
    </cfRule>
  </conditionalFormatting>
  <conditionalFormatting sqref="AD249">
    <cfRule type="expression" dxfId="5538" priority="5882">
      <formula>$E$7&lt;&gt;"Yes"</formula>
    </cfRule>
  </conditionalFormatting>
  <conditionalFormatting sqref="AD249">
    <cfRule type="expression" dxfId="5537" priority="5881">
      <formula>$E249&lt;&gt;"Yes"</formula>
    </cfRule>
  </conditionalFormatting>
  <conditionalFormatting sqref="AF252:AH252 Y252 Q252 F252:J252 M252 AJ252:AK252">
    <cfRule type="expression" dxfId="5536" priority="5878">
      <formula>$E$7&lt;&gt;"Yes"</formula>
    </cfRule>
  </conditionalFormatting>
  <conditionalFormatting sqref="AF252:AH252 Y252 Q252 F252:J252 M252 AJ252:AK252">
    <cfRule type="expression" dxfId="5535" priority="5877">
      <formula>$E252&lt;&gt;"Yes"</formula>
    </cfRule>
  </conditionalFormatting>
  <conditionalFormatting sqref="G252">
    <cfRule type="expression" dxfId="5534" priority="5876">
      <formula>$E$7&lt;&gt;"Yes"</formula>
    </cfRule>
  </conditionalFormatting>
  <conditionalFormatting sqref="K252:L252">
    <cfRule type="expression" dxfId="5533" priority="5875">
      <formula>$E$7&lt;&gt;"Yes"</formula>
    </cfRule>
  </conditionalFormatting>
  <conditionalFormatting sqref="K252:L252">
    <cfRule type="expression" dxfId="5532" priority="5874">
      <formula>$E252&lt;&gt;"Yes"</formula>
    </cfRule>
  </conditionalFormatting>
  <conditionalFormatting sqref="W252">
    <cfRule type="expression" dxfId="5531" priority="5873">
      <formula>$E$7&lt;&gt;"Yes"</formula>
    </cfRule>
  </conditionalFormatting>
  <conditionalFormatting sqref="W252">
    <cfRule type="expression" dxfId="5530" priority="5872">
      <formula>$E252&lt;&gt;"Yes"</formula>
    </cfRule>
  </conditionalFormatting>
  <conditionalFormatting sqref="AE252">
    <cfRule type="expression" dxfId="5529" priority="5871">
      <formula>$E$7&lt;&gt;"Yes"</formula>
    </cfRule>
  </conditionalFormatting>
  <conditionalFormatting sqref="AE252">
    <cfRule type="expression" dxfId="5528" priority="5870">
      <formula>$E252&lt;&gt;"Yes"</formula>
    </cfRule>
  </conditionalFormatting>
  <conditionalFormatting sqref="N252">
    <cfRule type="expression" dxfId="5527" priority="5869">
      <formula>$E$7&lt;&gt;"Yes"</formula>
    </cfRule>
  </conditionalFormatting>
  <conditionalFormatting sqref="N252">
    <cfRule type="expression" dxfId="5526" priority="5868">
      <formula>$E252&lt;&gt;"Yes"</formula>
    </cfRule>
  </conditionalFormatting>
  <conditionalFormatting sqref="AB252">
    <cfRule type="expression" dxfId="5525" priority="5855">
      <formula>$E$7&lt;&gt;"Yes"</formula>
    </cfRule>
  </conditionalFormatting>
  <conditionalFormatting sqref="AB252">
    <cfRule type="expression" dxfId="5524" priority="5854">
      <formula>$E252&lt;&gt;"Yes"</formula>
    </cfRule>
  </conditionalFormatting>
  <conditionalFormatting sqref="AA252">
    <cfRule type="expression" dxfId="5523" priority="5853">
      <formula>$E$7&lt;&gt;"Yes"</formula>
    </cfRule>
  </conditionalFormatting>
  <conditionalFormatting sqref="AA252">
    <cfRule type="expression" dxfId="5522" priority="5852">
      <formula>$E252&lt;&gt;"Yes"</formula>
    </cfRule>
  </conditionalFormatting>
  <conditionalFormatting sqref="Y252">
    <cfRule type="expression" dxfId="5521" priority="5851">
      <formula>$E$7&lt;&gt;"Yes"</formula>
    </cfRule>
  </conditionalFormatting>
  <conditionalFormatting sqref="Y252">
    <cfRule type="expression" dxfId="5520" priority="5850">
      <formula>$E252&lt;&gt;"Yes"</formula>
    </cfRule>
  </conditionalFormatting>
  <conditionalFormatting sqref="O252:P252">
    <cfRule type="expression" dxfId="5519" priority="5849">
      <formula>$E$7&lt;&gt;"Yes"</formula>
    </cfRule>
  </conditionalFormatting>
  <conditionalFormatting sqref="O252:P252">
    <cfRule type="expression" dxfId="5518" priority="5848">
      <formula>$E252&lt;&gt;"Yes"</formula>
    </cfRule>
  </conditionalFormatting>
  <conditionalFormatting sqref="X252">
    <cfRule type="expression" dxfId="5517" priority="5847">
      <formula>$E$7&lt;&gt;"Yes"</formula>
    </cfRule>
  </conditionalFormatting>
  <conditionalFormatting sqref="X252">
    <cfRule type="expression" dxfId="5516" priority="5846">
      <formula>$E252&lt;&gt;"Yes"</formula>
    </cfRule>
  </conditionalFormatting>
  <conditionalFormatting sqref="AD252">
    <cfRule type="expression" dxfId="5515" priority="5843">
      <formula>$E$7&lt;&gt;"Yes"</formula>
    </cfRule>
  </conditionalFormatting>
  <conditionalFormatting sqref="AD252">
    <cfRule type="expression" dxfId="5514" priority="5842">
      <formula>$E252&lt;&gt;"Yes"</formula>
    </cfRule>
  </conditionalFormatting>
  <conditionalFormatting sqref="M250 F250:J250 Q250 Y250 AF250:AH250 AJ250:AK250">
    <cfRule type="expression" dxfId="5513" priority="5839">
      <formula>$E$7&lt;&gt;"Yes"</formula>
    </cfRule>
  </conditionalFormatting>
  <conditionalFormatting sqref="M250 F250:J250 Q250 Y250 AF250:AH250 AJ250:AK250">
    <cfRule type="expression" dxfId="5512" priority="5838">
      <formula>$E250&lt;&gt;"Yes"</formula>
    </cfRule>
  </conditionalFormatting>
  <conditionalFormatting sqref="G250">
    <cfRule type="expression" dxfId="5511" priority="5837">
      <formula>$E$7&lt;&gt;"Yes"</formula>
    </cfRule>
  </conditionalFormatting>
  <conditionalFormatting sqref="K250:L250">
    <cfRule type="expression" dxfId="5510" priority="5836">
      <formula>$E$7&lt;&gt;"Yes"</formula>
    </cfRule>
  </conditionalFormatting>
  <conditionalFormatting sqref="K250:L250">
    <cfRule type="expression" dxfId="5509" priority="5835">
      <formula>$E250&lt;&gt;"Yes"</formula>
    </cfRule>
  </conditionalFormatting>
  <conditionalFormatting sqref="W250">
    <cfRule type="expression" dxfId="5508" priority="5834">
      <formula>$E$7&lt;&gt;"Yes"</formula>
    </cfRule>
  </conditionalFormatting>
  <conditionalFormatting sqref="W250">
    <cfRule type="expression" dxfId="5507" priority="5833">
      <formula>$E250&lt;&gt;"Yes"</formula>
    </cfRule>
  </conditionalFormatting>
  <conditionalFormatting sqref="AE250">
    <cfRule type="expression" dxfId="5506" priority="5832">
      <formula>$E$7&lt;&gt;"Yes"</formula>
    </cfRule>
  </conditionalFormatting>
  <conditionalFormatting sqref="AE250">
    <cfRule type="expression" dxfId="5505" priority="5831">
      <formula>$E250&lt;&gt;"Yes"</formula>
    </cfRule>
  </conditionalFormatting>
  <conditionalFormatting sqref="N250">
    <cfRule type="expression" dxfId="5504" priority="5830">
      <formula>$E$7&lt;&gt;"Yes"</formula>
    </cfRule>
  </conditionalFormatting>
  <conditionalFormatting sqref="N250">
    <cfRule type="expression" dxfId="5503" priority="5829">
      <formula>$E250&lt;&gt;"Yes"</formula>
    </cfRule>
  </conditionalFormatting>
  <conditionalFormatting sqref="AB250">
    <cfRule type="expression" dxfId="5502" priority="5816">
      <formula>$E$7&lt;&gt;"Yes"</formula>
    </cfRule>
  </conditionalFormatting>
  <conditionalFormatting sqref="AB250">
    <cfRule type="expression" dxfId="5501" priority="5815">
      <formula>$E250&lt;&gt;"Yes"</formula>
    </cfRule>
  </conditionalFormatting>
  <conditionalFormatting sqref="AA250">
    <cfRule type="expression" dxfId="5500" priority="5814">
      <formula>$E$7&lt;&gt;"Yes"</formula>
    </cfRule>
  </conditionalFormatting>
  <conditionalFormatting sqref="AA250">
    <cfRule type="expression" dxfId="5499" priority="5813">
      <formula>$E250&lt;&gt;"Yes"</formula>
    </cfRule>
  </conditionalFormatting>
  <conditionalFormatting sqref="Y250">
    <cfRule type="expression" dxfId="5498" priority="5812">
      <formula>$E$7&lt;&gt;"Yes"</formula>
    </cfRule>
  </conditionalFormatting>
  <conditionalFormatting sqref="Y250">
    <cfRule type="expression" dxfId="5497" priority="5811">
      <formula>$E250&lt;&gt;"Yes"</formula>
    </cfRule>
  </conditionalFormatting>
  <conditionalFormatting sqref="O250:P250">
    <cfRule type="expression" dxfId="5496" priority="5810">
      <formula>$E$7&lt;&gt;"Yes"</formula>
    </cfRule>
  </conditionalFormatting>
  <conditionalFormatting sqref="O250:P250">
    <cfRule type="expression" dxfId="5495" priority="5809">
      <formula>$E250&lt;&gt;"Yes"</formula>
    </cfRule>
  </conditionalFormatting>
  <conditionalFormatting sqref="X250">
    <cfRule type="expression" dxfId="5494" priority="5808">
      <formula>$E$7&lt;&gt;"Yes"</formula>
    </cfRule>
  </conditionalFormatting>
  <conditionalFormatting sqref="X250">
    <cfRule type="expression" dxfId="5493" priority="5807">
      <formula>$E250&lt;&gt;"Yes"</formula>
    </cfRule>
  </conditionalFormatting>
  <conditionalFormatting sqref="AD250">
    <cfRule type="expression" dxfId="5492" priority="5804">
      <formula>$E$7&lt;&gt;"Yes"</formula>
    </cfRule>
  </conditionalFormatting>
  <conditionalFormatting sqref="AD250">
    <cfRule type="expression" dxfId="5491" priority="5803">
      <formula>$E250&lt;&gt;"Yes"</formula>
    </cfRule>
  </conditionalFormatting>
  <conditionalFormatting sqref="AF253:AH253 Y253 Q253 F253:J253 M253 AJ253:AK253">
    <cfRule type="expression" dxfId="5490" priority="5800">
      <formula>$E$7&lt;&gt;"Yes"</formula>
    </cfRule>
  </conditionalFormatting>
  <conditionalFormatting sqref="AF253:AH253 Y253 Q253 F253:J253 M253 AJ253:AK253">
    <cfRule type="expression" dxfId="5489" priority="5799">
      <formula>$E253&lt;&gt;"Yes"</formula>
    </cfRule>
  </conditionalFormatting>
  <conditionalFormatting sqref="G253">
    <cfRule type="expression" dxfId="5488" priority="5798">
      <formula>$E$7&lt;&gt;"Yes"</formula>
    </cfRule>
  </conditionalFormatting>
  <conditionalFormatting sqref="K253:L253">
    <cfRule type="expression" dxfId="5487" priority="5797">
      <formula>$E$7&lt;&gt;"Yes"</formula>
    </cfRule>
  </conditionalFormatting>
  <conditionalFormatting sqref="K253:L253">
    <cfRule type="expression" dxfId="5486" priority="5796">
      <formula>$E253&lt;&gt;"Yes"</formula>
    </cfRule>
  </conditionalFormatting>
  <conditionalFormatting sqref="W253">
    <cfRule type="expression" dxfId="5485" priority="5795">
      <formula>$E$7&lt;&gt;"Yes"</formula>
    </cfRule>
  </conditionalFormatting>
  <conditionalFormatting sqref="W253">
    <cfRule type="expression" dxfId="5484" priority="5794">
      <formula>$E253&lt;&gt;"Yes"</formula>
    </cfRule>
  </conditionalFormatting>
  <conditionalFormatting sqref="AE253">
    <cfRule type="expression" dxfId="5483" priority="5793">
      <formula>$E$7&lt;&gt;"Yes"</formula>
    </cfRule>
  </conditionalFormatting>
  <conditionalFormatting sqref="AE253">
    <cfRule type="expression" dxfId="5482" priority="5792">
      <formula>$E253&lt;&gt;"Yes"</formula>
    </cfRule>
  </conditionalFormatting>
  <conditionalFormatting sqref="N253">
    <cfRule type="expression" dxfId="5481" priority="5791">
      <formula>$E$7&lt;&gt;"Yes"</formula>
    </cfRule>
  </conditionalFormatting>
  <conditionalFormatting sqref="N253">
    <cfRule type="expression" dxfId="5480" priority="5790">
      <formula>$E253&lt;&gt;"Yes"</formula>
    </cfRule>
  </conditionalFormatting>
  <conditionalFormatting sqref="AB253">
    <cfRule type="expression" dxfId="5479" priority="5777">
      <formula>$E$7&lt;&gt;"Yes"</formula>
    </cfRule>
  </conditionalFormatting>
  <conditionalFormatting sqref="AB253">
    <cfRule type="expression" dxfId="5478" priority="5776">
      <formula>$E253&lt;&gt;"Yes"</formula>
    </cfRule>
  </conditionalFormatting>
  <conditionalFormatting sqref="AA253">
    <cfRule type="expression" dxfId="5477" priority="5775">
      <formula>$E$7&lt;&gt;"Yes"</formula>
    </cfRule>
  </conditionalFormatting>
  <conditionalFormatting sqref="AA253">
    <cfRule type="expression" dxfId="5476" priority="5774">
      <formula>$E253&lt;&gt;"Yes"</formula>
    </cfRule>
  </conditionalFormatting>
  <conditionalFormatting sqref="Y253">
    <cfRule type="expression" dxfId="5475" priority="5773">
      <formula>$E$7&lt;&gt;"Yes"</formula>
    </cfRule>
  </conditionalFormatting>
  <conditionalFormatting sqref="Y253">
    <cfRule type="expression" dxfId="5474" priority="5772">
      <formula>$E253&lt;&gt;"Yes"</formula>
    </cfRule>
  </conditionalFormatting>
  <conditionalFormatting sqref="O253:P253">
    <cfRule type="expression" dxfId="5473" priority="5771">
      <formula>$E$7&lt;&gt;"Yes"</formula>
    </cfRule>
  </conditionalFormatting>
  <conditionalFormatting sqref="O253:P253">
    <cfRule type="expression" dxfId="5472" priority="5770">
      <formula>$E253&lt;&gt;"Yes"</formula>
    </cfRule>
  </conditionalFormatting>
  <conditionalFormatting sqref="X253">
    <cfRule type="expression" dxfId="5471" priority="5769">
      <formula>$E$7&lt;&gt;"Yes"</formula>
    </cfRule>
  </conditionalFormatting>
  <conditionalFormatting sqref="X253">
    <cfRule type="expression" dxfId="5470" priority="5768">
      <formula>$E253&lt;&gt;"Yes"</formula>
    </cfRule>
  </conditionalFormatting>
  <conditionalFormatting sqref="AD253">
    <cfRule type="expression" dxfId="5469" priority="5765">
      <formula>$E$7&lt;&gt;"Yes"</formula>
    </cfRule>
  </conditionalFormatting>
  <conditionalFormatting sqref="AD253">
    <cfRule type="expression" dxfId="5468" priority="5764">
      <formula>$E253&lt;&gt;"Yes"</formula>
    </cfRule>
  </conditionalFormatting>
  <conditionalFormatting sqref="Q256 Y256 AF256:AH256 F256:J256 M256 AJ256:AK256">
    <cfRule type="expression" dxfId="5467" priority="5761">
      <formula>$E$7&lt;&gt;"Yes"</formula>
    </cfRule>
  </conditionalFormatting>
  <conditionalFormatting sqref="Q256 Y256 AF256:AH256 F256:J256 M256 AJ256:AK256">
    <cfRule type="expression" dxfId="5466" priority="5760">
      <formula>$E256&lt;&gt;"Yes"</formula>
    </cfRule>
  </conditionalFormatting>
  <conditionalFormatting sqref="G256">
    <cfRule type="expression" dxfId="5465" priority="5759">
      <formula>$E$7&lt;&gt;"Yes"</formula>
    </cfRule>
  </conditionalFormatting>
  <conditionalFormatting sqref="K256:L256">
    <cfRule type="expression" dxfId="5464" priority="5758">
      <formula>$E$7&lt;&gt;"Yes"</formula>
    </cfRule>
  </conditionalFormatting>
  <conditionalFormatting sqref="K256:L256">
    <cfRule type="expression" dxfId="5463" priority="5757">
      <formula>$E256&lt;&gt;"Yes"</formula>
    </cfRule>
  </conditionalFormatting>
  <conditionalFormatting sqref="W256">
    <cfRule type="expression" dxfId="5462" priority="5756">
      <formula>$E$7&lt;&gt;"Yes"</formula>
    </cfRule>
  </conditionalFormatting>
  <conditionalFormatting sqref="W256">
    <cfRule type="expression" dxfId="5461" priority="5755">
      <formula>$E256&lt;&gt;"Yes"</formula>
    </cfRule>
  </conditionalFormatting>
  <conditionalFormatting sqref="AE256">
    <cfRule type="expression" dxfId="5460" priority="5754">
      <formula>$E$7&lt;&gt;"Yes"</formula>
    </cfRule>
  </conditionalFormatting>
  <conditionalFormatting sqref="AE256">
    <cfRule type="expression" dxfId="5459" priority="5753">
      <formula>$E256&lt;&gt;"Yes"</formula>
    </cfRule>
  </conditionalFormatting>
  <conditionalFormatting sqref="N256">
    <cfRule type="expression" dxfId="5458" priority="5752">
      <formula>$E$7&lt;&gt;"Yes"</formula>
    </cfRule>
  </conditionalFormatting>
  <conditionalFormatting sqref="N256">
    <cfRule type="expression" dxfId="5457" priority="5751">
      <formula>$E256&lt;&gt;"Yes"</formula>
    </cfRule>
  </conditionalFormatting>
  <conditionalFormatting sqref="AB256">
    <cfRule type="expression" dxfId="5456" priority="5738">
      <formula>$E$7&lt;&gt;"Yes"</formula>
    </cfRule>
  </conditionalFormatting>
  <conditionalFormatting sqref="AB256">
    <cfRule type="expression" dxfId="5455" priority="5737">
      <formula>$E256&lt;&gt;"Yes"</formula>
    </cfRule>
  </conditionalFormatting>
  <conditionalFormatting sqref="AA256">
    <cfRule type="expression" dxfId="5454" priority="5736">
      <formula>$E$7&lt;&gt;"Yes"</formula>
    </cfRule>
  </conditionalFormatting>
  <conditionalFormatting sqref="AA256">
    <cfRule type="expression" dxfId="5453" priority="5735">
      <formula>$E256&lt;&gt;"Yes"</formula>
    </cfRule>
  </conditionalFormatting>
  <conditionalFormatting sqref="Y256">
    <cfRule type="expression" dxfId="5452" priority="5734">
      <formula>$E$7&lt;&gt;"Yes"</formula>
    </cfRule>
  </conditionalFormatting>
  <conditionalFormatting sqref="Y256">
    <cfRule type="expression" dxfId="5451" priority="5733">
      <formula>$E256&lt;&gt;"Yes"</formula>
    </cfRule>
  </conditionalFormatting>
  <conditionalFormatting sqref="O256:P256">
    <cfRule type="expression" dxfId="5450" priority="5732">
      <formula>$E$7&lt;&gt;"Yes"</formula>
    </cfRule>
  </conditionalFormatting>
  <conditionalFormatting sqref="O256:P256">
    <cfRule type="expression" dxfId="5449" priority="5731">
      <formula>$E256&lt;&gt;"Yes"</formula>
    </cfRule>
  </conditionalFormatting>
  <conditionalFormatting sqref="X256">
    <cfRule type="expression" dxfId="5448" priority="5730">
      <formula>$E$7&lt;&gt;"Yes"</formula>
    </cfRule>
  </conditionalFormatting>
  <conditionalFormatting sqref="X256">
    <cfRule type="expression" dxfId="5447" priority="5729">
      <formula>$E256&lt;&gt;"Yes"</formula>
    </cfRule>
  </conditionalFormatting>
  <conditionalFormatting sqref="AD256">
    <cfRule type="expression" dxfId="5446" priority="5726">
      <formula>$E$7&lt;&gt;"Yes"</formula>
    </cfRule>
  </conditionalFormatting>
  <conditionalFormatting sqref="AD256">
    <cfRule type="expression" dxfId="5445" priority="5725">
      <formula>$E256&lt;&gt;"Yes"</formula>
    </cfRule>
  </conditionalFormatting>
  <conditionalFormatting sqref="Q257 Y257 AF257:AH257 F257:J257 M257 AJ257:AK257">
    <cfRule type="expression" dxfId="5444" priority="5722">
      <formula>$E$7&lt;&gt;"Yes"</formula>
    </cfRule>
  </conditionalFormatting>
  <conditionalFormatting sqref="Q257 Y257 AF257:AH257 F257:J257 M257 AJ257:AK257">
    <cfRule type="expression" dxfId="5443" priority="5721">
      <formula>$E257&lt;&gt;"Yes"</formula>
    </cfRule>
  </conditionalFormatting>
  <conditionalFormatting sqref="G257">
    <cfRule type="expression" dxfId="5442" priority="5720">
      <formula>$E$7&lt;&gt;"Yes"</formula>
    </cfRule>
  </conditionalFormatting>
  <conditionalFormatting sqref="K257:L257">
    <cfRule type="expression" dxfId="5441" priority="5719">
      <formula>$E$7&lt;&gt;"Yes"</formula>
    </cfRule>
  </conditionalFormatting>
  <conditionalFormatting sqref="K257:L257">
    <cfRule type="expression" dxfId="5440" priority="5718">
      <formula>$E257&lt;&gt;"Yes"</formula>
    </cfRule>
  </conditionalFormatting>
  <conditionalFormatting sqref="W257">
    <cfRule type="expression" dxfId="5439" priority="5717">
      <formula>$E$7&lt;&gt;"Yes"</formula>
    </cfRule>
  </conditionalFormatting>
  <conditionalFormatting sqref="W257">
    <cfRule type="expression" dxfId="5438" priority="5716">
      <formula>$E257&lt;&gt;"Yes"</formula>
    </cfRule>
  </conditionalFormatting>
  <conditionalFormatting sqref="AE257">
    <cfRule type="expression" dxfId="5437" priority="5715">
      <formula>$E$7&lt;&gt;"Yes"</formula>
    </cfRule>
  </conditionalFormatting>
  <conditionalFormatting sqref="AE257">
    <cfRule type="expression" dxfId="5436" priority="5714">
      <formula>$E257&lt;&gt;"Yes"</formula>
    </cfRule>
  </conditionalFormatting>
  <conditionalFormatting sqref="N257">
    <cfRule type="expression" dxfId="5435" priority="5713">
      <formula>$E$7&lt;&gt;"Yes"</formula>
    </cfRule>
  </conditionalFormatting>
  <conditionalFormatting sqref="N257">
    <cfRule type="expression" dxfId="5434" priority="5712">
      <formula>$E257&lt;&gt;"Yes"</formula>
    </cfRule>
  </conditionalFormatting>
  <conditionalFormatting sqref="AB257">
    <cfRule type="expression" dxfId="5433" priority="5699">
      <formula>$E$7&lt;&gt;"Yes"</formula>
    </cfRule>
  </conditionalFormatting>
  <conditionalFormatting sqref="AB257">
    <cfRule type="expression" dxfId="5432" priority="5698">
      <formula>$E257&lt;&gt;"Yes"</formula>
    </cfRule>
  </conditionalFormatting>
  <conditionalFormatting sqref="AA257">
    <cfRule type="expression" dxfId="5431" priority="5697">
      <formula>$E$7&lt;&gt;"Yes"</formula>
    </cfRule>
  </conditionalFormatting>
  <conditionalFormatting sqref="AA257">
    <cfRule type="expression" dxfId="5430" priority="5696">
      <formula>$E257&lt;&gt;"Yes"</formula>
    </cfRule>
  </conditionalFormatting>
  <conditionalFormatting sqref="Y257">
    <cfRule type="expression" dxfId="5429" priority="5695">
      <formula>$E$7&lt;&gt;"Yes"</formula>
    </cfRule>
  </conditionalFormatting>
  <conditionalFormatting sqref="Y257">
    <cfRule type="expression" dxfId="5428" priority="5694">
      <formula>$E257&lt;&gt;"Yes"</formula>
    </cfRule>
  </conditionalFormatting>
  <conditionalFormatting sqref="O257:P257">
    <cfRule type="expression" dxfId="5427" priority="5693">
      <formula>$E$7&lt;&gt;"Yes"</formula>
    </cfRule>
  </conditionalFormatting>
  <conditionalFormatting sqref="O257:P257">
    <cfRule type="expression" dxfId="5426" priority="5692">
      <formula>$E257&lt;&gt;"Yes"</formula>
    </cfRule>
  </conditionalFormatting>
  <conditionalFormatting sqref="X257">
    <cfRule type="expression" dxfId="5425" priority="5691">
      <formula>$E$7&lt;&gt;"Yes"</formula>
    </cfRule>
  </conditionalFormatting>
  <conditionalFormatting sqref="X257">
    <cfRule type="expression" dxfId="5424" priority="5690">
      <formula>$E257&lt;&gt;"Yes"</formula>
    </cfRule>
  </conditionalFormatting>
  <conditionalFormatting sqref="AD257">
    <cfRule type="expression" dxfId="5423" priority="5687">
      <formula>$E$7&lt;&gt;"Yes"</formula>
    </cfRule>
  </conditionalFormatting>
  <conditionalFormatting sqref="AD257">
    <cfRule type="expression" dxfId="5422" priority="5686">
      <formula>$E257&lt;&gt;"Yes"</formula>
    </cfRule>
  </conditionalFormatting>
  <conditionalFormatting sqref="M387 F387:J387 Q387 Y387 AF387:AH387 AJ387:AK387">
    <cfRule type="expression" dxfId="5421" priority="5683">
      <formula>$E$7&lt;&gt;"Yes"</formula>
    </cfRule>
  </conditionalFormatting>
  <conditionalFormatting sqref="F387:Q387 W387:Y387 AA387:AB387 AD387:AH387 AJ387:AK387">
    <cfRule type="expression" dxfId="5420" priority="5682">
      <formula>$E387&lt;&gt;"Yes"</formula>
    </cfRule>
  </conditionalFormatting>
  <conditionalFormatting sqref="G387">
    <cfRule type="expression" dxfId="5419" priority="5681">
      <formula>$E$7&lt;&gt;"Yes"</formula>
    </cfRule>
  </conditionalFormatting>
  <conditionalFormatting sqref="K387:L387">
    <cfRule type="expression" dxfId="5418" priority="5680">
      <formula>$E$7&lt;&gt;"Yes"</formula>
    </cfRule>
  </conditionalFormatting>
  <conditionalFormatting sqref="W387">
    <cfRule type="expression" dxfId="5417" priority="5679">
      <formula>$E$7&lt;&gt;"Yes"</formula>
    </cfRule>
  </conditionalFormatting>
  <conditionalFormatting sqref="AE387">
    <cfRule type="expression" dxfId="5416" priority="5678">
      <formula>$E$7&lt;&gt;"Yes"</formula>
    </cfRule>
  </conditionalFormatting>
  <conditionalFormatting sqref="N387">
    <cfRule type="expression" dxfId="5415" priority="5677">
      <formula>$E$7&lt;&gt;"Yes"</formula>
    </cfRule>
  </conditionalFormatting>
  <conditionalFormatting sqref="AD387">
    <cfRule type="expression" dxfId="5414" priority="5664">
      <formula>$E$7&lt;&gt;"Yes"</formula>
    </cfRule>
  </conditionalFormatting>
  <conditionalFormatting sqref="F387:J387 M387 AF387:AH387 Y387 Q387 AJ387:AK387">
    <cfRule type="expression" dxfId="5413" priority="5662">
      <formula>$E$7&lt;&gt;"Yes"</formula>
    </cfRule>
  </conditionalFormatting>
  <conditionalFormatting sqref="G387">
    <cfRule type="expression" dxfId="5412" priority="5661">
      <formula>$E$7&lt;&gt;"Yes"</formula>
    </cfRule>
  </conditionalFormatting>
  <conditionalFormatting sqref="K387:L387">
    <cfRule type="expression" dxfId="5411" priority="5660">
      <formula>$E$7&lt;&gt;"Yes"</formula>
    </cfRule>
  </conditionalFormatting>
  <conditionalFormatting sqref="W387">
    <cfRule type="expression" dxfId="5410" priority="5659">
      <formula>$E$7&lt;&gt;"Yes"</formula>
    </cfRule>
  </conditionalFormatting>
  <conditionalFormatting sqref="AB387">
    <cfRule type="expression" dxfId="5409" priority="5670">
      <formula>$E$7&lt;&gt;"Yes"</formula>
    </cfRule>
  </conditionalFormatting>
  <conditionalFormatting sqref="AA387">
    <cfRule type="expression" dxfId="5408" priority="5669">
      <formula>$E$7&lt;&gt;"Yes"</formula>
    </cfRule>
  </conditionalFormatting>
  <conditionalFormatting sqref="Y387">
    <cfRule type="expression" dxfId="5407" priority="5668">
      <formula>$E$7&lt;&gt;"Yes"</formula>
    </cfRule>
  </conditionalFormatting>
  <conditionalFormatting sqref="O387:P387">
    <cfRule type="expression" dxfId="5406" priority="5667">
      <formula>$E$7&lt;&gt;"Yes"</formula>
    </cfRule>
  </conditionalFormatting>
  <conditionalFormatting sqref="X387">
    <cfRule type="expression" dxfId="5405" priority="5666">
      <formula>$E$7&lt;&gt;"Yes"</formula>
    </cfRule>
  </conditionalFormatting>
  <conditionalFormatting sqref="AE387">
    <cfRule type="expression" dxfId="5404" priority="5658">
      <formula>$E$7&lt;&gt;"Yes"</formula>
    </cfRule>
  </conditionalFormatting>
  <conditionalFormatting sqref="N387">
    <cfRule type="expression" dxfId="5403" priority="5657">
      <formula>$E$7&lt;&gt;"Yes"</formula>
    </cfRule>
  </conditionalFormatting>
  <conditionalFormatting sqref="AD387">
    <cfRule type="expression" dxfId="5402" priority="5644">
      <formula>$E$7&lt;&gt;"Yes"</formula>
    </cfRule>
  </conditionalFormatting>
  <conditionalFormatting sqref="M386 F386:J386 Q386 Y386 AF386:AH386 AJ386:AK386">
    <cfRule type="expression" dxfId="5401" priority="5642">
      <formula>$E$7&lt;&gt;"Yes"</formula>
    </cfRule>
  </conditionalFormatting>
  <conditionalFormatting sqref="G386">
    <cfRule type="expression" dxfId="5400" priority="5640">
      <formula>$E$7&lt;&gt;"Yes"</formula>
    </cfRule>
  </conditionalFormatting>
  <conditionalFormatting sqref="K386:L386">
    <cfRule type="expression" dxfId="5399" priority="5639">
      <formula>$E$7&lt;&gt;"Yes"</formula>
    </cfRule>
  </conditionalFormatting>
  <conditionalFormatting sqref="AB387">
    <cfRule type="expression" dxfId="5398" priority="5650">
      <formula>$E$7&lt;&gt;"Yes"</formula>
    </cfRule>
  </conditionalFormatting>
  <conditionalFormatting sqref="AA387">
    <cfRule type="expression" dxfId="5397" priority="5649">
      <formula>$E$7&lt;&gt;"Yes"</formula>
    </cfRule>
  </conditionalFormatting>
  <conditionalFormatting sqref="Y387">
    <cfRule type="expression" dxfId="5396" priority="5648">
      <formula>$E$7&lt;&gt;"Yes"</formula>
    </cfRule>
  </conditionalFormatting>
  <conditionalFormatting sqref="O387:P387">
    <cfRule type="expression" dxfId="5395" priority="5647">
      <formula>$E$7&lt;&gt;"Yes"</formula>
    </cfRule>
  </conditionalFormatting>
  <conditionalFormatting sqref="X387">
    <cfRule type="expression" dxfId="5394" priority="5646">
      <formula>$E$7&lt;&gt;"Yes"</formula>
    </cfRule>
  </conditionalFormatting>
  <conditionalFormatting sqref="W386">
    <cfRule type="expression" dxfId="5393" priority="5638">
      <formula>$E$7&lt;&gt;"Yes"</formula>
    </cfRule>
  </conditionalFormatting>
  <conditionalFormatting sqref="AE386">
    <cfRule type="expression" dxfId="5392" priority="5637">
      <formula>$E$7&lt;&gt;"Yes"</formula>
    </cfRule>
  </conditionalFormatting>
  <conditionalFormatting sqref="N386">
    <cfRule type="expression" dxfId="5391" priority="5636">
      <formula>$E$7&lt;&gt;"Yes"</formula>
    </cfRule>
  </conditionalFormatting>
  <conditionalFormatting sqref="AD386">
    <cfRule type="expression" dxfId="5390" priority="5623">
      <formula>$E$7&lt;&gt;"Yes"</formula>
    </cfRule>
  </conditionalFormatting>
  <conditionalFormatting sqref="AC386">
    <cfRule type="expression" dxfId="5389" priority="5622">
      <formula>$E$7&lt;&gt;"Yes"</formula>
    </cfRule>
  </conditionalFormatting>
  <conditionalFormatting sqref="F386:J386 M386 AF386:AH386 Y386 Q386 AJ386:AK386">
    <cfRule type="expression" dxfId="5388" priority="5621">
      <formula>$E$7&lt;&gt;"Yes"</formula>
    </cfRule>
  </conditionalFormatting>
  <conditionalFormatting sqref="G386">
    <cfRule type="expression" dxfId="5387" priority="5620">
      <formula>$E$7&lt;&gt;"Yes"</formula>
    </cfRule>
  </conditionalFormatting>
  <conditionalFormatting sqref="K386:L386">
    <cfRule type="expression" dxfId="5386" priority="5619">
      <formula>$E$7&lt;&gt;"Yes"</formula>
    </cfRule>
  </conditionalFormatting>
  <conditionalFormatting sqref="W386">
    <cfRule type="expression" dxfId="5385" priority="5618">
      <formula>$E$7&lt;&gt;"Yes"</formula>
    </cfRule>
  </conditionalFormatting>
  <conditionalFormatting sqref="AB386">
    <cfRule type="expression" dxfId="5384" priority="5629">
      <formula>$E$7&lt;&gt;"Yes"</formula>
    </cfRule>
  </conditionalFormatting>
  <conditionalFormatting sqref="AA386">
    <cfRule type="expression" dxfId="5383" priority="5628">
      <formula>$E$7&lt;&gt;"Yes"</formula>
    </cfRule>
  </conditionalFormatting>
  <conditionalFormatting sqref="Y386">
    <cfRule type="expression" dxfId="5382" priority="5627">
      <formula>$E$7&lt;&gt;"Yes"</formula>
    </cfRule>
  </conditionalFormatting>
  <conditionalFormatting sqref="O386:P386">
    <cfRule type="expression" dxfId="5381" priority="5626">
      <formula>$E$7&lt;&gt;"Yes"</formula>
    </cfRule>
  </conditionalFormatting>
  <conditionalFormatting sqref="X386">
    <cfRule type="expression" dxfId="5380" priority="5625">
      <formula>$E$7&lt;&gt;"Yes"</formula>
    </cfRule>
  </conditionalFormatting>
  <conditionalFormatting sqref="AE386">
    <cfRule type="expression" dxfId="5379" priority="5617">
      <formula>$E$7&lt;&gt;"Yes"</formula>
    </cfRule>
  </conditionalFormatting>
  <conditionalFormatting sqref="N386">
    <cfRule type="expression" dxfId="5378" priority="5616">
      <formula>$E$7&lt;&gt;"Yes"</formula>
    </cfRule>
  </conditionalFormatting>
  <conditionalFormatting sqref="AD386">
    <cfRule type="expression" dxfId="5377" priority="5603">
      <formula>$E$7&lt;&gt;"Yes"</formula>
    </cfRule>
  </conditionalFormatting>
  <conditionalFormatting sqref="AC386">
    <cfRule type="expression" dxfId="5376" priority="5602">
      <formula>$E$7&lt;&gt;"Yes"</formula>
    </cfRule>
  </conditionalFormatting>
  <conditionalFormatting sqref="R8:V8">
    <cfRule type="expression" dxfId="5375" priority="5598">
      <formula>$E$7&lt;&gt;"Yes"</formula>
    </cfRule>
  </conditionalFormatting>
  <conditionalFormatting sqref="AB386">
    <cfRule type="expression" dxfId="5374" priority="5609">
      <formula>$E$7&lt;&gt;"Yes"</formula>
    </cfRule>
  </conditionalFormatting>
  <conditionalFormatting sqref="AA386">
    <cfRule type="expression" dxfId="5373" priority="5608">
      <formula>$E$7&lt;&gt;"Yes"</formula>
    </cfRule>
  </conditionalFormatting>
  <conditionalFormatting sqref="Y386">
    <cfRule type="expression" dxfId="5372" priority="5607">
      <formula>$E$7&lt;&gt;"Yes"</formula>
    </cfRule>
  </conditionalFormatting>
  <conditionalFormatting sqref="O386:P386">
    <cfRule type="expression" dxfId="5371" priority="5606">
      <formula>$E$7&lt;&gt;"Yes"</formula>
    </cfRule>
  </conditionalFormatting>
  <conditionalFormatting sqref="X386">
    <cfRule type="expression" dxfId="5370" priority="5605">
      <formula>$E$7&lt;&gt;"Yes"</formula>
    </cfRule>
  </conditionalFormatting>
  <conditionalFormatting sqref="V8">
    <cfRule type="expression" dxfId="5369" priority="5589">
      <formula>$E8&lt;&gt;"Yes"</formula>
    </cfRule>
  </conditionalFormatting>
  <conditionalFormatting sqref="R8:V8">
    <cfRule type="expression" dxfId="5368" priority="5588">
      <formula>$E$7&lt;&gt;"Yes"</formula>
    </cfRule>
  </conditionalFormatting>
  <conditionalFormatting sqref="R8:V8">
    <cfRule type="expression" dxfId="5367" priority="5597">
      <formula>$E8&lt;&gt;"Yes"</formula>
    </cfRule>
  </conditionalFormatting>
  <conditionalFormatting sqref="S8">
    <cfRule type="expression" dxfId="5366" priority="5596">
      <formula>$E$7&lt;&gt;"Yes"</formula>
    </cfRule>
  </conditionalFormatting>
  <conditionalFormatting sqref="S8">
    <cfRule type="expression" dxfId="5365" priority="5595">
      <formula>$E8&lt;&gt;"Yes"</formula>
    </cfRule>
  </conditionalFormatting>
  <conditionalFormatting sqref="T8">
    <cfRule type="expression" dxfId="5364" priority="5594">
      <formula>$E$7&lt;&gt;"Yes"</formula>
    </cfRule>
  </conditionalFormatting>
  <conditionalFormatting sqref="T8">
    <cfRule type="expression" dxfId="5363" priority="5593">
      <formula>$E8&lt;&gt;"Yes"</formula>
    </cfRule>
  </conditionalFormatting>
  <conditionalFormatting sqref="U8">
    <cfRule type="expression" dxfId="5362" priority="5592">
      <formula>$E$7&lt;&gt;"Yes"</formula>
    </cfRule>
  </conditionalFormatting>
  <conditionalFormatting sqref="U8">
    <cfRule type="expression" dxfId="5361" priority="5591">
      <formula>$E8&lt;&gt;"Yes"</formula>
    </cfRule>
  </conditionalFormatting>
  <conditionalFormatting sqref="V8">
    <cfRule type="expression" dxfId="5360" priority="5590">
      <formula>$E$7&lt;&gt;"Yes"</formula>
    </cfRule>
  </conditionalFormatting>
  <conditionalFormatting sqref="R8:V8">
    <cfRule type="expression" dxfId="5359" priority="5587">
      <formula>$E8&lt;&gt;"Yes"</formula>
    </cfRule>
  </conditionalFormatting>
  <conditionalFormatting sqref="R9:V9">
    <cfRule type="expression" dxfId="5358" priority="5586">
      <formula>$E$7&lt;&gt;"Yes"</formula>
    </cfRule>
  </conditionalFormatting>
  <conditionalFormatting sqref="R9:V9">
    <cfRule type="expression" dxfId="5357" priority="5585">
      <formula>$E9&lt;&gt;"Yes"</formula>
    </cfRule>
  </conditionalFormatting>
  <conditionalFormatting sqref="S9">
    <cfRule type="expression" dxfId="5356" priority="5584">
      <formula>$E$7&lt;&gt;"Yes"</formula>
    </cfRule>
  </conditionalFormatting>
  <conditionalFormatting sqref="S9">
    <cfRule type="expression" dxfId="5355" priority="5583">
      <formula>$E9&lt;&gt;"Yes"</formula>
    </cfRule>
  </conditionalFormatting>
  <conditionalFormatting sqref="T9">
    <cfRule type="expression" dxfId="5354" priority="5582">
      <formula>$E$7&lt;&gt;"Yes"</formula>
    </cfRule>
  </conditionalFormatting>
  <conditionalFormatting sqref="T9">
    <cfRule type="expression" dxfId="5353" priority="5581">
      <formula>$E9&lt;&gt;"Yes"</formula>
    </cfRule>
  </conditionalFormatting>
  <conditionalFormatting sqref="U9">
    <cfRule type="expression" dxfId="5352" priority="5580">
      <formula>$E$7&lt;&gt;"Yes"</formula>
    </cfRule>
  </conditionalFormatting>
  <conditionalFormatting sqref="U9">
    <cfRule type="expression" dxfId="5351" priority="5579">
      <formula>$E9&lt;&gt;"Yes"</formula>
    </cfRule>
  </conditionalFormatting>
  <conditionalFormatting sqref="V9">
    <cfRule type="expression" dxfId="5350" priority="5578">
      <formula>$E$7&lt;&gt;"Yes"</formula>
    </cfRule>
  </conditionalFormatting>
  <conditionalFormatting sqref="V9">
    <cfRule type="expression" dxfId="5349" priority="5577">
      <formula>$E9&lt;&gt;"Yes"</formula>
    </cfRule>
  </conditionalFormatting>
  <conditionalFormatting sqref="R9:V9">
    <cfRule type="expression" dxfId="5348" priority="5576">
      <formula>$E$7&lt;&gt;"Yes"</formula>
    </cfRule>
  </conditionalFormatting>
  <conditionalFormatting sqref="R9:V9">
    <cfRule type="expression" dxfId="5347" priority="5575">
      <formula>$E9&lt;&gt;"Yes"</formula>
    </cfRule>
  </conditionalFormatting>
  <conditionalFormatting sqref="R10:V11 R22:V33 R132:V146 R100:V113 R193:V210 R119:V119 R62:V85 R90:V90 R460:V461 R121:V123 R126:V129 R149:V150 R153:V153 R164:V171 R248:V257 R357:V360 R35:V37 R212:V215 R40:V56 R217:V223 R230:V245 R159:V161 R311:V330 R392:V401 R414:V414 R416:V416 R418:V426 R429:V452 R262:V272 R333:V354 R279:V305 R369:V374 R378:V390 R405:V412">
    <cfRule type="expression" dxfId="5346" priority="5574">
      <formula>$E$7&lt;&gt;"Yes"</formula>
    </cfRule>
  </conditionalFormatting>
  <conditionalFormatting sqref="R10:V11 R22:V33 R132:V146 R100:V113 R193:V210 R119:V119 R62:V85 R90:V90 R460:V461 R121:V123 R126:V129 R149:V150 R153:V153 R164:V171 R248:V257 R357:V360 R35:V37 R212:V215 R40:V56 R217:V223 R230:V245 R159:V161 R311:V330 R392:V401 R414:V414 R416:V416 R418:V426 R429:V452 R262:V272 R333:V354 R279:V305 R369:V374 R378:V390 R405:V412">
    <cfRule type="expression" dxfId="5345" priority="5573">
      <formula>$E10&lt;&gt;"Yes"</formula>
    </cfRule>
  </conditionalFormatting>
  <conditionalFormatting sqref="S10:S11 S22:S33 S132:S146 S100:S113 S193:S210 S119 S62:S85 S90 S460:S461 S121:S123 S126:S129 S149:S150 S153 S164:S171 S248:S257 S357:S360 S35:S37 S212:S215 S40:S56 S217:S223 S230:S245 S159:S161 S311:S330 S392:S401 S414 S416 S418:S426 S429:S452 S262:S272 S333:S354 S279:S305 S369:S374 S378:S390 S405:S412">
    <cfRule type="expression" dxfId="5344" priority="5572">
      <formula>$E$7&lt;&gt;"Yes"</formula>
    </cfRule>
  </conditionalFormatting>
  <conditionalFormatting sqref="S10:S11 S22:S33 S132:S146 S100:S113 S193:S210 S119 S62:S85 S90 S460:S461 S121:S123 S126:S129 S149:S150 S153 S164:S171 S248:S257 S357:S360 S35:S37 S212:S215 S40:S56 S217:S223 S230:S245 S159:S161 S311:S330 S392:S401 S414 S416 S418:S426 S429:S452 S262:S272 S333:S354 S279:S305 S369:S374 S378:S390 S405:S412">
    <cfRule type="expression" dxfId="5343" priority="5571">
      <formula>$E10&lt;&gt;"Yes"</formula>
    </cfRule>
  </conditionalFormatting>
  <conditionalFormatting sqref="T10:T11 T22:T33 T132:T146 T100:T113 T193:T210 T119 T62:T85 T90 T460:T461 T121:T123 T126:T129 T149:T150 T153 T164:T171 T248:T257 T357:T360 T35:T37 T212:T215 T40:T56 T217:T223 T230:T245 T159:T161 T311:T330 T392:T401 T414 T416 T418:T426 T429:T452 T262:T272 T333:T354 T279:T305 T369:T374 T378:T390 T405:T412">
    <cfRule type="expression" dxfId="5342" priority="5570">
      <formula>$E$7&lt;&gt;"Yes"</formula>
    </cfRule>
  </conditionalFormatting>
  <conditionalFormatting sqref="T10:T11 T22:T33 T132:T146 T100:T113 T193:T210 T119 T62:T85 T90 T460:T461 T121:T123 T126:T129 T149:T150 T153 T164:T171 T248:T257 T357:T360 T35:T37 T212:T215 T40:T56 T217:T223 T230:T245 T159:T161 T311:T330 T392:T401 T414 T416 T418:T426 T429:T452 T262:T272 T333:T354 T279:T305 T369:T374 T378:T390 T405:T412">
    <cfRule type="expression" dxfId="5341" priority="5569">
      <formula>$E10&lt;&gt;"Yes"</formula>
    </cfRule>
  </conditionalFormatting>
  <conditionalFormatting sqref="U10:U11 U22:U33 U132:U146 U100:U113 U193:U210 U119 U62:U85 U90 U460:U461 U121:U123 U126:U129 U149:U150 U153 U164:U171 U248:U257 U357:U360 U35:U37 U212:U215 U40:U56 U217:U223 U230:U245 U159:U161 U311:U330 U392:U401 U414 U416 U418:U426 U429:U452 U262:U272 U333:U354 U279:U305 U369:U374 U378:U390 U405:U412">
    <cfRule type="expression" dxfId="5340" priority="5568">
      <formula>$E$7&lt;&gt;"Yes"</formula>
    </cfRule>
  </conditionalFormatting>
  <conditionalFormatting sqref="U10:U11 U22:U33 U132:U146 U100:U113 U193:U210 U119 U62:U85 U90 U460:U461 U121:U123 U126:U129 U149:U150 U153 U164:U171 U248:U257 U357:U360 U35:U37 U212:U215 U40:U56 U217:U223 U230:U245 U159:U161 U311:U330 U392:U401 U414 U416 U418:U426 U429:U452 U262:U272 U333:U354 U279:U305 U369:U374 U378:U390 U405:U412">
    <cfRule type="expression" dxfId="5339" priority="5567">
      <formula>$E10&lt;&gt;"Yes"</formula>
    </cfRule>
  </conditionalFormatting>
  <conditionalFormatting sqref="V10:V11 V22:V33 V132:V146 V100:V113 V193:V210 V119 V62:V85 V90 V460:V461 V121:V123 V126:V129 V149:V150 V153 V164:V171 V248:V257 V357:V360 V35:V37 V212:V215 V40:V56 V217:V223 V230:V245 V159:V161 V311:V330 V392:V401 V414 V416 V418:V426 V429:V452 V262:V272 V333:V354 V279:V305 V369:V374 V378:V390 V405:V412">
    <cfRule type="expression" dxfId="5338" priority="5566">
      <formula>$E$7&lt;&gt;"Yes"</formula>
    </cfRule>
  </conditionalFormatting>
  <conditionalFormatting sqref="V10:V11 V22:V33 V132:V146 V100:V113 V193:V210 V119 V62:V85 V90 V460:V461 V121:V123 V126:V129 V149:V150 V153 V164:V171 V248:V257 V357:V360 V35:V37 V212:V215 V40:V56 V217:V223 V230:V245 V159:V161 V311:V330 V392:V401 V414 V416 V418:V426 V429:V452 V262:V272 V333:V354 V279:V305 V369:V374 V378:V390 V405:V412">
    <cfRule type="expression" dxfId="5337" priority="5565">
      <formula>$E10&lt;&gt;"Yes"</formula>
    </cfRule>
  </conditionalFormatting>
  <conditionalFormatting sqref="R10:V11 R22:V33 R132:V146 R100:V113 R193:V210 R119:V119 R62:V85 R90:V90 R460:V461 R121:V123 R126:V129 R149:V150 R153:V153 R164:V171 R248:V257 R357:V360 R35:V37 R212:V215 R40:V56 R217:V223 R230:V245 R159:V161 R311:V330 R392:V401 R414:V414 R416:V416 R418:V426 R429:V452 R262:V272 R333:V354 R279:V305 R369:V374 R378:V390 R405:V412">
    <cfRule type="expression" dxfId="5336" priority="5564">
      <formula>$E$7&lt;&gt;"Yes"</formula>
    </cfRule>
  </conditionalFormatting>
  <conditionalFormatting sqref="R10:V11 R22:V33 R132:V146 R100:V113 R193:V210 R119:V119 R62:V85 R90:V90 R460:V461 R121:V123 R126:V129 R149:V150 R153:V153 R164:V171 R248:V257 R357:V360 R35:V37 R212:V215 R40:V56 R217:V223 R230:V245 R159:V161 R311:V330 R392:V401 R414:V414 R416:V416 R418:V426 R429:V452 R262:V272 R333:V354 R279:V305 R369:V374 R378:V390 R405:V412">
    <cfRule type="expression" dxfId="5335" priority="5563">
      <formula>$E10&lt;&gt;"Yes"</formula>
    </cfRule>
  </conditionalFormatting>
  <conditionalFormatting sqref="Z8:Z11 Z22:Z33 Z132:Z146 Z100:Z113 Z193:Z210 Z119 Z62:Z85 Z90 Z460:Z461 Z121:Z123 Z126:Z129 Z149:Z150 Z153 Z164:Z171 Z248:Z257 Z357:Z360 Z35:Z37 Z212:Z215 Z40:Z56 Z217:Z223 Z230:Z245 Z159:Z161 Z311:Z330 Z392:Z401 Z414 Z416 Z418:Z426 Z429:Z452 Z262:Z272 Z333:Z354 Z279:Z305 Z369:Z374 Z378:Z390 Z405:Z412">
    <cfRule type="expression" dxfId="5334" priority="5560">
      <formula>$E$7&lt;&gt;"Yes"</formula>
    </cfRule>
  </conditionalFormatting>
  <conditionalFormatting sqref="Z8:Z11 Z22:Z33 Z132:Z146 Z100:Z113 Z193:Z210 Z119 Z62:Z85 Z90 Z460:Z461 Z121:Z123 Z126:Z129 Z149:Z150 Z153 Z164:Z171 Z248:Z257 Z357:Z360 Z35:Z37 Z212:Z215 Z40:Z56 Z217:Z223 Z230:Z245 Z159:Z161 Z311:Z330 Z392:Z401 Z414 Z416 Z418:Z426 Z429:Z452 Z262:Z272 Z333:Z354 Z279:Z305 Z369:Z374 Z378:Z390 Z405:Z412">
    <cfRule type="expression" dxfId="5333" priority="5559">
      <formula>$E8&lt;&gt;"Yes"</formula>
    </cfRule>
  </conditionalFormatting>
  <conditionalFormatting sqref="AC244:AC245 AC248">
    <cfRule type="expression" dxfId="5332" priority="5558">
      <formula>$E$7&lt;&gt;"Yes"</formula>
    </cfRule>
  </conditionalFormatting>
  <conditionalFormatting sqref="AC249:AC253">
    <cfRule type="expression" dxfId="5331" priority="5557">
      <formula>$E249&lt;&gt;"Yes"</formula>
    </cfRule>
  </conditionalFormatting>
  <conditionalFormatting sqref="AC249:AC253">
    <cfRule type="expression" dxfId="5330" priority="5556">
      <formula>$E$7&lt;&gt;"Yes"</formula>
    </cfRule>
  </conditionalFormatting>
  <conditionalFormatting sqref="AC249:AC253">
    <cfRule type="expression" dxfId="5329" priority="5555">
      <formula>$E$7&lt;&gt;"Yes"</formula>
    </cfRule>
  </conditionalFormatting>
  <conditionalFormatting sqref="AC256:AC257 AC262">
    <cfRule type="expression" dxfId="5328" priority="5554">
      <formula>$E$7&lt;&gt;"Yes"</formula>
    </cfRule>
  </conditionalFormatting>
  <conditionalFormatting sqref="AC256:AC257 AC262">
    <cfRule type="expression" dxfId="5327" priority="5553">
      <formula>$E256&lt;&gt;"Yes"</formula>
    </cfRule>
  </conditionalFormatting>
  <conditionalFormatting sqref="AC387">
    <cfRule type="expression" dxfId="5326" priority="5552">
      <formula>$E387&lt;&gt;"Yes"</formula>
    </cfRule>
  </conditionalFormatting>
  <conditionalFormatting sqref="AC387">
    <cfRule type="expression" dxfId="5325" priority="5551">
      <formula>$E$7&lt;&gt;"Yes"</formula>
    </cfRule>
  </conditionalFormatting>
  <conditionalFormatting sqref="AC387">
    <cfRule type="expression" dxfId="5324" priority="5550">
      <formula>$E$7&lt;&gt;"Yes"</formula>
    </cfRule>
  </conditionalFormatting>
  <conditionalFormatting sqref="AC387">
    <cfRule type="expression" dxfId="5323" priority="5549">
      <formula>$E$7&lt;&gt;"Yes"</formula>
    </cfRule>
  </conditionalFormatting>
  <conditionalFormatting sqref="AC420:AC426 AC429">
    <cfRule type="expression" dxfId="5322" priority="5548">
      <formula>$E$7&lt;&gt;"Yes"</formula>
    </cfRule>
  </conditionalFormatting>
  <conditionalFormatting sqref="AC420:AC426 AC429">
    <cfRule type="expression" dxfId="5321" priority="5547">
      <formula>$E420&lt;&gt;"Yes"</formula>
    </cfRule>
  </conditionalFormatting>
  <conditionalFormatting sqref="AN9">
    <cfRule type="expression" dxfId="5320" priority="5546">
      <formula>$E$7&lt;&gt;"Yes"</formula>
    </cfRule>
  </conditionalFormatting>
  <conditionalFormatting sqref="AN9">
    <cfRule type="expression" dxfId="5319" priority="5545">
      <formula>$E9&lt;&gt;"Yes"</formula>
    </cfRule>
  </conditionalFormatting>
  <conditionalFormatting sqref="AN7:AO11 AN22:AO33 AN132:AO146 AN100:AO113 AN193:AO210 AN119:AO119 AN62:AO85 AN90:AO90 AN460:AO461 AN121:AO123 AN126:AO129 AN149:AO150 AN153:AO153 AN164:AO171 AN248:AO257 AN357:AO360 AN35:AO37 AN212:AO215 AN40:AO56 AN217:AO223 AN230:AO245 AN159:AO161 AN311:AO330 AN392:AO401 AN414:AO414 AN416:AO416 AN418:AO426 AN429:AO452 AN262:AO272 AN333:AO354 AN279:AO305 AN369:AO374 AN378:AO390 AN405:AO412">
    <cfRule type="expression" dxfId="5318" priority="5544">
      <formula>$E$7&lt;&gt;"Yes"</formula>
    </cfRule>
  </conditionalFormatting>
  <conditionalFormatting sqref="AN7:AO11 AN22:AO33 AN132:AO146 AN100:AO113 AN193:AO210 AN119:AO119 AN62:AO85 AN90:AO90 AN460:AO461 AN121:AO123 AN126:AO129 AN149:AO150 AN153:AO153 AN164:AO171 AN248:AO257 AN357:AO360 AN35:AO37 AN212:AO215 AN40:AO56 AN217:AO223 AN230:AO245 AN159:AO161 AN311:AO330 AN392:AO401 AN414:AO414 AN416:AO416 AN418:AO426 AN429:AO452 AN262:AO272 AN333:AO354 AN279:AO305 AN369:AO374 AN378:AO390 AN405:AO412">
    <cfRule type="expression" dxfId="5317" priority="5543">
      <formula>$E7&lt;&gt;"Yes"</formula>
    </cfRule>
  </conditionalFormatting>
  <conditionalFormatting sqref="AI8:AI11 AI22:AI33 AI132:AI146 AI100:AI113 AI193:AI210 AI119 AI62:AI85 AI90 AI460:AI461 AI121:AI123 AI126:AI129 AI149:AI150 AI153 AI164:AI171 AI248:AI257 AI357:AI360 AI35:AI37 AI212:AI215 AI40:AI56 AI217:AI223 AI230:AI245 AI159:AI161 AI311:AI330 AI392:AI401 AI414 AI416 AI418:AI426 AI429:AI452 AI262:AI272 AI333:AI354 AI279:AI305 AI369:AI374 AI378:AI390 AI405:AI412">
    <cfRule type="expression" dxfId="5316" priority="5542">
      <formula>$E$7&lt;&gt;"Yes"</formula>
    </cfRule>
  </conditionalFormatting>
  <conditionalFormatting sqref="AI8:AI11 AI22:AI33 AI132:AI146 AI100:AI113 AI193:AI210 AI119 AI62:AI85 AI90 AI460:AI461 AI121:AI123 AI126:AI129 AI149:AI150 AI153 AI164:AI171 AI248:AI257 AI357:AI360 AI35:AI37 AI212:AI215 AI40:AI56 AI217:AI223 AI230:AI245 AI159:AI161 AI311:AI330 AI392:AI401 AI414 AI416 AI418:AI426 AI429:AI452 AI262:AI272 AI333:AI354 AI279:AI305 AI369:AI374 AI378:AI390 AI405:AI412">
    <cfRule type="expression" dxfId="5315" priority="5541">
      <formula>$E8&lt;&gt;"Yes"</formula>
    </cfRule>
  </conditionalFormatting>
  <conditionalFormatting sqref="Q12 Y12 AF12:AH12 AJ12:AK12">
    <cfRule type="expression" dxfId="5314" priority="5540">
      <formula>$E$7&lt;&gt;"Yes"</formula>
    </cfRule>
  </conditionalFormatting>
  <conditionalFormatting sqref="Q12 Y12 AF12:AH12 AJ12:AK12">
    <cfRule type="expression" dxfId="5313" priority="5539">
      <formula>$E12&lt;&gt;"Yes"</formula>
    </cfRule>
  </conditionalFormatting>
  <conditionalFormatting sqref="G12">
    <cfRule type="expression" dxfId="5312" priority="5536">
      <formula>$E$7&lt;&gt;"Yes"</formula>
    </cfRule>
  </conditionalFormatting>
  <conditionalFormatting sqref="M12 F12:J12 Q12">
    <cfRule type="expression" dxfId="5311" priority="5538">
      <formula>$E$7&lt;&gt;"Yes"</formula>
    </cfRule>
  </conditionalFormatting>
  <conditionalFormatting sqref="M12 F12:J12 Q12">
    <cfRule type="expression" dxfId="5310" priority="5537">
      <formula>$E12&lt;&gt;"Yes"</formula>
    </cfRule>
  </conditionalFormatting>
  <conditionalFormatting sqref="K12:L12">
    <cfRule type="expression" dxfId="5309" priority="5535">
      <formula>$E$7&lt;&gt;"Yes"</formula>
    </cfRule>
  </conditionalFormatting>
  <conditionalFormatting sqref="K12:L12">
    <cfRule type="expression" dxfId="5308" priority="5534">
      <formula>$E12&lt;&gt;"Yes"</formula>
    </cfRule>
  </conditionalFormatting>
  <conditionalFormatting sqref="W12">
    <cfRule type="expression" dxfId="5307" priority="5533">
      <formula>$E$7&lt;&gt;"Yes"</formula>
    </cfRule>
  </conditionalFormatting>
  <conditionalFormatting sqref="W12">
    <cfRule type="expression" dxfId="5306" priority="5532">
      <formula>$E12&lt;&gt;"Yes"</formula>
    </cfRule>
  </conditionalFormatting>
  <conditionalFormatting sqref="AE12">
    <cfRule type="expression" dxfId="5305" priority="5531">
      <formula>$E$7&lt;&gt;"Yes"</formula>
    </cfRule>
  </conditionalFormatting>
  <conditionalFormatting sqref="AE12">
    <cfRule type="expression" dxfId="5304" priority="5530">
      <formula>$E12&lt;&gt;"Yes"</formula>
    </cfRule>
  </conditionalFormatting>
  <conditionalFormatting sqref="N12">
    <cfRule type="expression" dxfId="5303" priority="5529">
      <formula>$E$7&lt;&gt;"Yes"</formula>
    </cfRule>
  </conditionalFormatting>
  <conditionalFormatting sqref="N12">
    <cfRule type="expression" dxfId="5302" priority="5528">
      <formula>$E12&lt;&gt;"Yes"</formula>
    </cfRule>
  </conditionalFormatting>
  <conditionalFormatting sqref="AB12">
    <cfRule type="expression" dxfId="5301" priority="5527">
      <formula>$E$7&lt;&gt;"Yes"</formula>
    </cfRule>
  </conditionalFormatting>
  <conditionalFormatting sqref="AB12">
    <cfRule type="expression" dxfId="5300" priority="5526">
      <formula>$E12&lt;&gt;"Yes"</formula>
    </cfRule>
  </conditionalFormatting>
  <conditionalFormatting sqref="AA12">
    <cfRule type="expression" dxfId="5299" priority="5525">
      <formula>$E$7&lt;&gt;"Yes"</formula>
    </cfRule>
  </conditionalFormatting>
  <conditionalFormatting sqref="AA12">
    <cfRule type="expression" dxfId="5298" priority="5524">
      <formula>$E12&lt;&gt;"Yes"</formula>
    </cfRule>
  </conditionalFormatting>
  <conditionalFormatting sqref="Y12">
    <cfRule type="expression" dxfId="5297" priority="5523">
      <formula>$E$7&lt;&gt;"Yes"</formula>
    </cfRule>
  </conditionalFormatting>
  <conditionalFormatting sqref="Y12">
    <cfRule type="expression" dxfId="5296" priority="5522">
      <formula>$E12&lt;&gt;"Yes"</formula>
    </cfRule>
  </conditionalFormatting>
  <conditionalFormatting sqref="O12:P12">
    <cfRule type="expression" dxfId="5295" priority="5521">
      <formula>$E$7&lt;&gt;"Yes"</formula>
    </cfRule>
  </conditionalFormatting>
  <conditionalFormatting sqref="O12:P12">
    <cfRule type="expression" dxfId="5294" priority="5520">
      <formula>$E12&lt;&gt;"Yes"</formula>
    </cfRule>
  </conditionalFormatting>
  <conditionalFormatting sqref="X12">
    <cfRule type="expression" dxfId="5293" priority="5519">
      <formula>$E$7&lt;&gt;"Yes"</formula>
    </cfRule>
  </conditionalFormatting>
  <conditionalFormatting sqref="X12">
    <cfRule type="expression" dxfId="5292" priority="5518">
      <formula>$E12&lt;&gt;"Yes"</formula>
    </cfRule>
  </conditionalFormatting>
  <conditionalFormatting sqref="AD12">
    <cfRule type="expression" dxfId="5291" priority="5517">
      <formula>$E$7&lt;&gt;"Yes"</formula>
    </cfRule>
  </conditionalFormatting>
  <conditionalFormatting sqref="AD12">
    <cfRule type="expression" dxfId="5290" priority="5516">
      <formula>$E12&lt;&gt;"Yes"</formula>
    </cfRule>
  </conditionalFormatting>
  <conditionalFormatting sqref="AC12">
    <cfRule type="expression" dxfId="5289" priority="5515">
      <formula>$E$7&lt;&gt;"Yes"</formula>
    </cfRule>
  </conditionalFormatting>
  <conditionalFormatting sqref="AC12">
    <cfRule type="expression" dxfId="5288" priority="5514">
      <formula>$E12&lt;&gt;"Yes"</formula>
    </cfRule>
  </conditionalFormatting>
  <conditionalFormatting sqref="R12:V12">
    <cfRule type="expression" dxfId="5287" priority="5513">
      <formula>$E$7&lt;&gt;"Yes"</formula>
    </cfRule>
  </conditionalFormatting>
  <conditionalFormatting sqref="R12:V12">
    <cfRule type="expression" dxfId="5286" priority="5512">
      <formula>$E12&lt;&gt;"Yes"</formula>
    </cfRule>
  </conditionalFormatting>
  <conditionalFormatting sqref="S12">
    <cfRule type="expression" dxfId="5285" priority="5511">
      <formula>$E$7&lt;&gt;"Yes"</formula>
    </cfRule>
  </conditionalFormatting>
  <conditionalFormatting sqref="S12">
    <cfRule type="expression" dxfId="5284" priority="5510">
      <formula>$E12&lt;&gt;"Yes"</formula>
    </cfRule>
  </conditionalFormatting>
  <conditionalFormatting sqref="T12">
    <cfRule type="expression" dxfId="5283" priority="5509">
      <formula>$E$7&lt;&gt;"Yes"</formula>
    </cfRule>
  </conditionalFormatting>
  <conditionalFormatting sqref="T12">
    <cfRule type="expression" dxfId="5282" priority="5508">
      <formula>$E12&lt;&gt;"Yes"</formula>
    </cfRule>
  </conditionalFormatting>
  <conditionalFormatting sqref="U12">
    <cfRule type="expression" dxfId="5281" priority="5507">
      <formula>$E$7&lt;&gt;"Yes"</formula>
    </cfRule>
  </conditionalFormatting>
  <conditionalFormatting sqref="U12">
    <cfRule type="expression" dxfId="5280" priority="5506">
      <formula>$E12&lt;&gt;"Yes"</formula>
    </cfRule>
  </conditionalFormatting>
  <conditionalFormatting sqref="V12">
    <cfRule type="expression" dxfId="5279" priority="5505">
      <formula>$E$7&lt;&gt;"Yes"</formula>
    </cfRule>
  </conditionalFormatting>
  <conditionalFormatting sqref="V12">
    <cfRule type="expression" dxfId="5278" priority="5504">
      <formula>$E12&lt;&gt;"Yes"</formula>
    </cfRule>
  </conditionalFormatting>
  <conditionalFormatting sqref="R12:V12">
    <cfRule type="expression" dxfId="5277" priority="5503">
      <formula>$E$7&lt;&gt;"Yes"</formula>
    </cfRule>
  </conditionalFormatting>
  <conditionalFormatting sqref="R12:V12">
    <cfRule type="expression" dxfId="5276" priority="5502">
      <formula>$E12&lt;&gt;"Yes"</formula>
    </cfRule>
  </conditionalFormatting>
  <conditionalFormatting sqref="Z12">
    <cfRule type="expression" dxfId="5275" priority="5501">
      <formula>$E$7&lt;&gt;"Yes"</formula>
    </cfRule>
  </conditionalFormatting>
  <conditionalFormatting sqref="Z12">
    <cfRule type="expression" dxfId="5274" priority="5500">
      <formula>$E12&lt;&gt;"Yes"</formula>
    </cfRule>
  </conditionalFormatting>
  <conditionalFormatting sqref="AN12:AO12">
    <cfRule type="expression" dxfId="5273" priority="5499">
      <formula>$E$7&lt;&gt;"Yes"</formula>
    </cfRule>
  </conditionalFormatting>
  <conditionalFormatting sqref="AN12:AO12">
    <cfRule type="expression" dxfId="5272" priority="5498">
      <formula>$E12&lt;&gt;"Yes"</formula>
    </cfRule>
  </conditionalFormatting>
  <conditionalFormatting sqref="AI12">
    <cfRule type="expression" dxfId="5271" priority="5497">
      <formula>$E$7&lt;&gt;"Yes"</formula>
    </cfRule>
  </conditionalFormatting>
  <conditionalFormatting sqref="AI12">
    <cfRule type="expression" dxfId="5270" priority="5496">
      <formula>$E12&lt;&gt;"Yes"</formula>
    </cfRule>
  </conditionalFormatting>
  <conditionalFormatting sqref="Q13 Y13 AF13:AH13 AJ13:AK13">
    <cfRule type="expression" dxfId="5269" priority="5495">
      <formula>$E$7&lt;&gt;"Yes"</formula>
    </cfRule>
  </conditionalFormatting>
  <conditionalFormatting sqref="Q13 Y13 AF13:AH13 AJ13:AK13">
    <cfRule type="expression" dxfId="5268" priority="5494">
      <formula>$E13&lt;&gt;"Yes"</formula>
    </cfRule>
  </conditionalFormatting>
  <conditionalFormatting sqref="G13">
    <cfRule type="expression" dxfId="5267" priority="5491">
      <formula>$E$7&lt;&gt;"Yes"</formula>
    </cfRule>
  </conditionalFormatting>
  <conditionalFormatting sqref="M13 F13:J13 Q13">
    <cfRule type="expression" dxfId="5266" priority="5493">
      <formula>$E$7&lt;&gt;"Yes"</formula>
    </cfRule>
  </conditionalFormatting>
  <conditionalFormatting sqref="M13 F13:J13 Q13">
    <cfRule type="expression" dxfId="5265" priority="5492">
      <formula>$E13&lt;&gt;"Yes"</formula>
    </cfRule>
  </conditionalFormatting>
  <conditionalFormatting sqref="K13:L13">
    <cfRule type="expression" dxfId="5264" priority="5490">
      <formula>$E$7&lt;&gt;"Yes"</formula>
    </cfRule>
  </conditionalFormatting>
  <conditionalFormatting sqref="K13:L13">
    <cfRule type="expression" dxfId="5263" priority="5489">
      <formula>$E13&lt;&gt;"Yes"</formula>
    </cfRule>
  </conditionalFormatting>
  <conditionalFormatting sqref="W13">
    <cfRule type="expression" dxfId="5262" priority="5488">
      <formula>$E$7&lt;&gt;"Yes"</formula>
    </cfRule>
  </conditionalFormatting>
  <conditionalFormatting sqref="W13">
    <cfRule type="expression" dxfId="5261" priority="5487">
      <formula>$E13&lt;&gt;"Yes"</formula>
    </cfRule>
  </conditionalFormatting>
  <conditionalFormatting sqref="AE13">
    <cfRule type="expression" dxfId="5260" priority="5486">
      <formula>$E$7&lt;&gt;"Yes"</formula>
    </cfRule>
  </conditionalFormatting>
  <conditionalFormatting sqref="AE13">
    <cfRule type="expression" dxfId="5259" priority="5485">
      <formula>$E13&lt;&gt;"Yes"</formula>
    </cfRule>
  </conditionalFormatting>
  <conditionalFormatting sqref="N13">
    <cfRule type="expression" dxfId="5258" priority="5484">
      <formula>$E$7&lt;&gt;"Yes"</formula>
    </cfRule>
  </conditionalFormatting>
  <conditionalFormatting sqref="N13">
    <cfRule type="expression" dxfId="5257" priority="5483">
      <formula>$E13&lt;&gt;"Yes"</formula>
    </cfRule>
  </conditionalFormatting>
  <conditionalFormatting sqref="AB13">
    <cfRule type="expression" dxfId="5256" priority="5482">
      <formula>$E$7&lt;&gt;"Yes"</formula>
    </cfRule>
  </conditionalFormatting>
  <conditionalFormatting sqref="AB13">
    <cfRule type="expression" dxfId="5255" priority="5481">
      <formula>$E13&lt;&gt;"Yes"</formula>
    </cfRule>
  </conditionalFormatting>
  <conditionalFormatting sqref="AA13">
    <cfRule type="expression" dxfId="5254" priority="5480">
      <formula>$E$7&lt;&gt;"Yes"</formula>
    </cfRule>
  </conditionalFormatting>
  <conditionalFormatting sqref="AA13">
    <cfRule type="expression" dxfId="5253" priority="5479">
      <formula>$E13&lt;&gt;"Yes"</formula>
    </cfRule>
  </conditionalFormatting>
  <conditionalFormatting sqref="Y13">
    <cfRule type="expression" dxfId="5252" priority="5478">
      <formula>$E$7&lt;&gt;"Yes"</formula>
    </cfRule>
  </conditionalFormatting>
  <conditionalFormatting sqref="Y13">
    <cfRule type="expression" dxfId="5251" priority="5477">
      <formula>$E13&lt;&gt;"Yes"</formula>
    </cfRule>
  </conditionalFormatting>
  <conditionalFormatting sqref="O13:P13">
    <cfRule type="expression" dxfId="5250" priority="5476">
      <formula>$E$7&lt;&gt;"Yes"</formula>
    </cfRule>
  </conditionalFormatting>
  <conditionalFormatting sqref="O13:P13">
    <cfRule type="expression" dxfId="5249" priority="5475">
      <formula>$E13&lt;&gt;"Yes"</formula>
    </cfRule>
  </conditionalFormatting>
  <conditionalFormatting sqref="X13">
    <cfRule type="expression" dxfId="5248" priority="5474">
      <formula>$E$7&lt;&gt;"Yes"</formula>
    </cfRule>
  </conditionalFormatting>
  <conditionalFormatting sqref="X13">
    <cfRule type="expression" dxfId="5247" priority="5473">
      <formula>$E13&lt;&gt;"Yes"</formula>
    </cfRule>
  </conditionalFormatting>
  <conditionalFormatting sqref="AD13">
    <cfRule type="expression" dxfId="5246" priority="5472">
      <formula>$E$7&lt;&gt;"Yes"</formula>
    </cfRule>
  </conditionalFormatting>
  <conditionalFormatting sqref="AD13">
    <cfRule type="expression" dxfId="5245" priority="5471">
      <formula>$E13&lt;&gt;"Yes"</formula>
    </cfRule>
  </conditionalFormatting>
  <conditionalFormatting sqref="AC13">
    <cfRule type="expression" dxfId="5244" priority="5470">
      <formula>$E$7&lt;&gt;"Yes"</formula>
    </cfRule>
  </conditionalFormatting>
  <conditionalFormatting sqref="AC13">
    <cfRule type="expression" dxfId="5243" priority="5469">
      <formula>$E13&lt;&gt;"Yes"</formula>
    </cfRule>
  </conditionalFormatting>
  <conditionalFormatting sqref="R13:V13">
    <cfRule type="expression" dxfId="5242" priority="5468">
      <formula>$E$7&lt;&gt;"Yes"</formula>
    </cfRule>
  </conditionalFormatting>
  <conditionalFormatting sqref="R13:V13">
    <cfRule type="expression" dxfId="5241" priority="5467">
      <formula>$E13&lt;&gt;"Yes"</formula>
    </cfRule>
  </conditionalFormatting>
  <conditionalFormatting sqref="S13">
    <cfRule type="expression" dxfId="5240" priority="5466">
      <formula>$E$7&lt;&gt;"Yes"</formula>
    </cfRule>
  </conditionalFormatting>
  <conditionalFormatting sqref="S13">
    <cfRule type="expression" dxfId="5239" priority="5465">
      <formula>$E13&lt;&gt;"Yes"</formula>
    </cfRule>
  </conditionalFormatting>
  <conditionalFormatting sqref="T13">
    <cfRule type="expression" dxfId="5238" priority="5464">
      <formula>$E$7&lt;&gt;"Yes"</formula>
    </cfRule>
  </conditionalFormatting>
  <conditionalFormatting sqref="T13">
    <cfRule type="expression" dxfId="5237" priority="5463">
      <formula>$E13&lt;&gt;"Yes"</formula>
    </cfRule>
  </conditionalFormatting>
  <conditionalFormatting sqref="U13">
    <cfRule type="expression" dxfId="5236" priority="5462">
      <formula>$E$7&lt;&gt;"Yes"</formula>
    </cfRule>
  </conditionalFormatting>
  <conditionalFormatting sqref="U13">
    <cfRule type="expression" dxfId="5235" priority="5461">
      <formula>$E13&lt;&gt;"Yes"</formula>
    </cfRule>
  </conditionalFormatting>
  <conditionalFormatting sqref="V13">
    <cfRule type="expression" dxfId="5234" priority="5460">
      <formula>$E$7&lt;&gt;"Yes"</formula>
    </cfRule>
  </conditionalFormatting>
  <conditionalFormatting sqref="V13">
    <cfRule type="expression" dxfId="5233" priority="5459">
      <formula>$E13&lt;&gt;"Yes"</formula>
    </cfRule>
  </conditionalFormatting>
  <conditionalFormatting sqref="R13:V13">
    <cfRule type="expression" dxfId="5232" priority="5458">
      <formula>$E$7&lt;&gt;"Yes"</formula>
    </cfRule>
  </conditionalFormatting>
  <conditionalFormatting sqref="R13:V13">
    <cfRule type="expression" dxfId="5231" priority="5457">
      <formula>$E13&lt;&gt;"Yes"</formula>
    </cfRule>
  </conditionalFormatting>
  <conditionalFormatting sqref="Z13">
    <cfRule type="expression" dxfId="5230" priority="5456">
      <formula>$E$7&lt;&gt;"Yes"</formula>
    </cfRule>
  </conditionalFormatting>
  <conditionalFormatting sqref="Z13">
    <cfRule type="expression" dxfId="5229" priority="5455">
      <formula>$E13&lt;&gt;"Yes"</formula>
    </cfRule>
  </conditionalFormatting>
  <conditionalFormatting sqref="AN13:AO13">
    <cfRule type="expression" dxfId="5228" priority="5454">
      <formula>$E$7&lt;&gt;"Yes"</formula>
    </cfRule>
  </conditionalFormatting>
  <conditionalFormatting sqref="AN13:AO13">
    <cfRule type="expression" dxfId="5227" priority="5453">
      <formula>$E13&lt;&gt;"Yes"</formula>
    </cfRule>
  </conditionalFormatting>
  <conditionalFormatting sqref="AI13">
    <cfRule type="expression" dxfId="5226" priority="5452">
      <formula>$E$7&lt;&gt;"Yes"</formula>
    </cfRule>
  </conditionalFormatting>
  <conditionalFormatting sqref="AI13">
    <cfRule type="expression" dxfId="5225" priority="5451">
      <formula>$E13&lt;&gt;"Yes"</formula>
    </cfRule>
  </conditionalFormatting>
  <conditionalFormatting sqref="Q130:Q131 N130:N131 AJ130:AK131 AF130:AH131 Y130:Y131">
    <cfRule type="expression" dxfId="5224" priority="5450">
      <formula>$E$7&lt;&gt;"Yes"</formula>
    </cfRule>
  </conditionalFormatting>
  <conditionalFormatting sqref="Q130:Q131 N130:N131 AJ130:AK131 AF130:AH131 Y130:Y131">
    <cfRule type="expression" dxfId="5223" priority="5449">
      <formula>$E130&lt;&gt;"Yes"</formula>
    </cfRule>
  </conditionalFormatting>
  <conditionalFormatting sqref="G130">
    <cfRule type="expression" dxfId="5222" priority="5446">
      <formula>$E$7&lt;&gt;"Yes"</formula>
    </cfRule>
  </conditionalFormatting>
  <conditionalFormatting sqref="F130:J130 M130 Q130">
    <cfRule type="expression" dxfId="5221" priority="5448">
      <formula>$E$7&lt;&gt;"Yes"</formula>
    </cfRule>
  </conditionalFormatting>
  <conditionalFormatting sqref="F130:J130 M130 Q130">
    <cfRule type="expression" dxfId="5220" priority="5447">
      <formula>$E130&lt;&gt;"Yes"</formula>
    </cfRule>
  </conditionalFormatting>
  <conditionalFormatting sqref="K130:L130">
    <cfRule type="expression" dxfId="5219" priority="5445">
      <formula>$E$7&lt;&gt;"Yes"</formula>
    </cfRule>
  </conditionalFormatting>
  <conditionalFormatting sqref="K130:L130">
    <cfRule type="expression" dxfId="5218" priority="5444">
      <formula>$E130&lt;&gt;"Yes"</formula>
    </cfRule>
  </conditionalFormatting>
  <conditionalFormatting sqref="G131">
    <cfRule type="expression" dxfId="5217" priority="5437">
      <formula>$E$7&lt;&gt;"Yes"</formula>
    </cfRule>
  </conditionalFormatting>
  <conditionalFormatting sqref="W130">
    <cfRule type="expression" dxfId="5216" priority="5443">
      <formula>$E$7&lt;&gt;"Yes"</formula>
    </cfRule>
  </conditionalFormatting>
  <conditionalFormatting sqref="W130">
    <cfRule type="expression" dxfId="5215" priority="5442">
      <formula>$E130&lt;&gt;"Yes"</formula>
    </cfRule>
  </conditionalFormatting>
  <conditionalFormatting sqref="AE130">
    <cfRule type="expression" dxfId="5214" priority="5441">
      <formula>$E$7&lt;&gt;"Yes"</formula>
    </cfRule>
  </conditionalFormatting>
  <conditionalFormatting sqref="AE130">
    <cfRule type="expression" dxfId="5213" priority="5440">
      <formula>$E130&lt;&gt;"Yes"</formula>
    </cfRule>
  </conditionalFormatting>
  <conditionalFormatting sqref="F131:J131 M131 Q131">
    <cfRule type="expression" dxfId="5212" priority="5439">
      <formula>$E$7&lt;&gt;"Yes"</formula>
    </cfRule>
  </conditionalFormatting>
  <conditionalFormatting sqref="F131:J131 M131 Q131">
    <cfRule type="expression" dxfId="5211" priority="5438">
      <formula>$E131&lt;&gt;"Yes"</formula>
    </cfRule>
  </conditionalFormatting>
  <conditionalFormatting sqref="K131:L131">
    <cfRule type="expression" dxfId="5210" priority="5436">
      <formula>$E$7&lt;&gt;"Yes"</formula>
    </cfRule>
  </conditionalFormatting>
  <conditionalFormatting sqref="K131:L131">
    <cfRule type="expression" dxfId="5209" priority="5435">
      <formula>$E131&lt;&gt;"Yes"</formula>
    </cfRule>
  </conditionalFormatting>
  <conditionalFormatting sqref="W131">
    <cfRule type="expression" dxfId="5208" priority="5434">
      <formula>$E$7&lt;&gt;"Yes"</formula>
    </cfRule>
  </conditionalFormatting>
  <conditionalFormatting sqref="W131">
    <cfRule type="expression" dxfId="5207" priority="5433">
      <formula>$E131&lt;&gt;"Yes"</formula>
    </cfRule>
  </conditionalFormatting>
  <conditionalFormatting sqref="AE131">
    <cfRule type="expression" dxfId="5206" priority="5432">
      <formula>$E$7&lt;&gt;"Yes"</formula>
    </cfRule>
  </conditionalFormatting>
  <conditionalFormatting sqref="AE131">
    <cfRule type="expression" dxfId="5205" priority="5431">
      <formula>$E131&lt;&gt;"Yes"</formula>
    </cfRule>
  </conditionalFormatting>
  <conditionalFormatting sqref="AB130:AB131">
    <cfRule type="expression" dxfId="5204" priority="5430">
      <formula>$E$7&lt;&gt;"Yes"</formula>
    </cfRule>
  </conditionalFormatting>
  <conditionalFormatting sqref="AB130:AB131">
    <cfRule type="expression" dxfId="5203" priority="5429">
      <formula>$E130&lt;&gt;"Yes"</formula>
    </cfRule>
  </conditionalFormatting>
  <conditionalFormatting sqref="AA130:AA131">
    <cfRule type="expression" dxfId="5202" priority="5428">
      <formula>$E$7&lt;&gt;"Yes"</formula>
    </cfRule>
  </conditionalFormatting>
  <conditionalFormatting sqref="AA130:AA131">
    <cfRule type="expression" dxfId="5201" priority="5427">
      <formula>$E130&lt;&gt;"Yes"</formula>
    </cfRule>
  </conditionalFormatting>
  <conditionalFormatting sqref="Y130:Y131">
    <cfRule type="expression" dxfId="5200" priority="5426">
      <formula>$E$7&lt;&gt;"Yes"</formula>
    </cfRule>
  </conditionalFormatting>
  <conditionalFormatting sqref="Y130:Y131">
    <cfRule type="expression" dxfId="5199" priority="5425">
      <formula>$E130&lt;&gt;"Yes"</formula>
    </cfRule>
  </conditionalFormatting>
  <conditionalFormatting sqref="AC130:AC131">
    <cfRule type="expression" dxfId="5198" priority="5416">
      <formula>$E$7&lt;&gt;"Yes"</formula>
    </cfRule>
  </conditionalFormatting>
  <conditionalFormatting sqref="AC130:AC131">
    <cfRule type="expression" dxfId="5197" priority="5415">
      <formula>$E130&lt;&gt;"Yes"</formula>
    </cfRule>
  </conditionalFormatting>
  <conditionalFormatting sqref="R130:V131">
    <cfRule type="expression" dxfId="5196" priority="5414">
      <formula>$E$7&lt;&gt;"Yes"</formula>
    </cfRule>
  </conditionalFormatting>
  <conditionalFormatting sqref="R130:V131">
    <cfRule type="expression" dxfId="5195" priority="5413">
      <formula>$E130&lt;&gt;"Yes"</formula>
    </cfRule>
  </conditionalFormatting>
  <conditionalFormatting sqref="X130:X131">
    <cfRule type="expression" dxfId="5194" priority="5420">
      <formula>$E$7&lt;&gt;"Yes"</formula>
    </cfRule>
  </conditionalFormatting>
  <conditionalFormatting sqref="X130:X131">
    <cfRule type="expression" dxfId="5193" priority="5419">
      <formula>$E130&lt;&gt;"Yes"</formula>
    </cfRule>
  </conditionalFormatting>
  <conditionalFormatting sqref="AD130:AD131">
    <cfRule type="expression" dxfId="5192" priority="5418">
      <formula>$E$7&lt;&gt;"Yes"</formula>
    </cfRule>
  </conditionalFormatting>
  <conditionalFormatting sqref="AD130:AD131">
    <cfRule type="expression" dxfId="5191" priority="5417">
      <formula>$E130&lt;&gt;"Yes"</formula>
    </cfRule>
  </conditionalFormatting>
  <conditionalFormatting sqref="S130:S131">
    <cfRule type="expression" dxfId="5190" priority="5412">
      <formula>$E$7&lt;&gt;"Yes"</formula>
    </cfRule>
  </conditionalFormatting>
  <conditionalFormatting sqref="S130:S131">
    <cfRule type="expression" dxfId="5189" priority="5411">
      <formula>$E130&lt;&gt;"Yes"</formula>
    </cfRule>
  </conditionalFormatting>
  <conditionalFormatting sqref="T130:T131">
    <cfRule type="expression" dxfId="5188" priority="5410">
      <formula>$E$7&lt;&gt;"Yes"</formula>
    </cfRule>
  </conditionalFormatting>
  <conditionalFormatting sqref="T130:T131">
    <cfRule type="expression" dxfId="5187" priority="5409">
      <formula>$E130&lt;&gt;"Yes"</formula>
    </cfRule>
  </conditionalFormatting>
  <conditionalFormatting sqref="U130:U131">
    <cfRule type="expression" dxfId="5186" priority="5408">
      <formula>$E$7&lt;&gt;"Yes"</formula>
    </cfRule>
  </conditionalFormatting>
  <conditionalFormatting sqref="U130:U131">
    <cfRule type="expression" dxfId="5185" priority="5407">
      <formula>$E130&lt;&gt;"Yes"</formula>
    </cfRule>
  </conditionalFormatting>
  <conditionalFormatting sqref="V130:V131">
    <cfRule type="expression" dxfId="5184" priority="5406">
      <formula>$E$7&lt;&gt;"Yes"</formula>
    </cfRule>
  </conditionalFormatting>
  <conditionalFormatting sqref="V130:V131">
    <cfRule type="expression" dxfId="5183" priority="5405">
      <formula>$E130&lt;&gt;"Yes"</formula>
    </cfRule>
  </conditionalFormatting>
  <conditionalFormatting sqref="R130:V131">
    <cfRule type="expression" dxfId="5182" priority="5404">
      <formula>$E$7&lt;&gt;"Yes"</formula>
    </cfRule>
  </conditionalFormatting>
  <conditionalFormatting sqref="R130:V131">
    <cfRule type="expression" dxfId="5181" priority="5403">
      <formula>$E130&lt;&gt;"Yes"</formula>
    </cfRule>
  </conditionalFormatting>
  <conditionalFormatting sqref="Z130:Z131">
    <cfRule type="expression" dxfId="5180" priority="5402">
      <formula>$E$7&lt;&gt;"Yes"</formula>
    </cfRule>
  </conditionalFormatting>
  <conditionalFormatting sqref="Z130:Z131">
    <cfRule type="expression" dxfId="5179" priority="5401">
      <formula>$E130&lt;&gt;"Yes"</formula>
    </cfRule>
  </conditionalFormatting>
  <conditionalFormatting sqref="AO130:AO131">
    <cfRule type="expression" dxfId="5178" priority="5400">
      <formula>$E$7&lt;&gt;"Yes"</formula>
    </cfRule>
  </conditionalFormatting>
  <conditionalFormatting sqref="AO130:AO131">
    <cfRule type="expression" dxfId="5177" priority="5399">
      <formula>$E130&lt;&gt;"Yes"</formula>
    </cfRule>
  </conditionalFormatting>
  <conditionalFormatting sqref="AI130:AI131">
    <cfRule type="expression" dxfId="5176" priority="5398">
      <formula>$E$7&lt;&gt;"Yes"</formula>
    </cfRule>
  </conditionalFormatting>
  <conditionalFormatting sqref="AI130:AI131">
    <cfRule type="expression" dxfId="5175" priority="5397">
      <formula>$E130&lt;&gt;"Yes"</formula>
    </cfRule>
  </conditionalFormatting>
  <conditionalFormatting sqref="O129:P129">
    <cfRule type="expression" dxfId="5174" priority="5396">
      <formula>$E$7&lt;&gt;"Yes"</formula>
    </cfRule>
  </conditionalFormatting>
  <conditionalFormatting sqref="O129:P129">
    <cfRule type="expression" dxfId="5173" priority="5395">
      <formula>$E129&lt;&gt;"Yes"</formula>
    </cfRule>
  </conditionalFormatting>
  <conditionalFormatting sqref="O130:P130">
    <cfRule type="expression" dxfId="5172" priority="5394">
      <formula>$E$7&lt;&gt;"Yes"</formula>
    </cfRule>
  </conditionalFormatting>
  <conditionalFormatting sqref="O130:P130">
    <cfRule type="expression" dxfId="5171" priority="5393">
      <formula>$E130&lt;&gt;"Yes"</formula>
    </cfRule>
  </conditionalFormatting>
  <conditionalFormatting sqref="O131:P131">
    <cfRule type="expression" dxfId="5170" priority="5392">
      <formula>$E$7&lt;&gt;"Yes"</formula>
    </cfRule>
  </conditionalFormatting>
  <conditionalFormatting sqref="O131:P131">
    <cfRule type="expression" dxfId="5169" priority="5391">
      <formula>$E131&lt;&gt;"Yes"</formula>
    </cfRule>
  </conditionalFormatting>
  <conditionalFormatting sqref="AN130:AN131">
    <cfRule type="expression" dxfId="5168" priority="5390">
      <formula>$E$7&lt;&gt;"Yes"</formula>
    </cfRule>
  </conditionalFormatting>
  <conditionalFormatting sqref="AN130:AN131">
    <cfRule type="expression" dxfId="5167" priority="5389">
      <formula>$E130&lt;&gt;"Yes"</formula>
    </cfRule>
  </conditionalFormatting>
  <conditionalFormatting sqref="F91:J91 Q91 M91:N91 AJ91:AK91 AF91:AH91 Y91">
    <cfRule type="expression" dxfId="5166" priority="5388">
      <formula>$E$7&lt;&gt;"Yes"</formula>
    </cfRule>
  </conditionalFormatting>
  <conditionalFormatting sqref="F91:J91 Q91 M91:N91 AJ91:AK91 AF91:AH91 Y91">
    <cfRule type="expression" dxfId="5165" priority="5387">
      <formula>$E91&lt;&gt;"Yes"</formula>
    </cfRule>
  </conditionalFormatting>
  <conditionalFormatting sqref="G91">
    <cfRule type="expression" dxfId="5164" priority="5386">
      <formula>$E$7&lt;&gt;"Yes"</formula>
    </cfRule>
  </conditionalFormatting>
  <conditionalFormatting sqref="K91:L91">
    <cfRule type="expression" dxfId="5163" priority="5385">
      <formula>$E$7&lt;&gt;"Yes"</formula>
    </cfRule>
  </conditionalFormatting>
  <conditionalFormatting sqref="K91:L91">
    <cfRule type="expression" dxfId="5162" priority="5384">
      <formula>$E91&lt;&gt;"Yes"</formula>
    </cfRule>
  </conditionalFormatting>
  <conditionalFormatting sqref="W91">
    <cfRule type="expression" dxfId="5161" priority="5383">
      <formula>$E$7&lt;&gt;"Yes"</formula>
    </cfRule>
  </conditionalFormatting>
  <conditionalFormatting sqref="W91">
    <cfRule type="expression" dxfId="5160" priority="5382">
      <formula>$E91&lt;&gt;"Yes"</formula>
    </cfRule>
  </conditionalFormatting>
  <conditionalFormatting sqref="AE91">
    <cfRule type="expression" dxfId="5159" priority="5381">
      <formula>$E$7&lt;&gt;"Yes"</formula>
    </cfRule>
  </conditionalFormatting>
  <conditionalFormatting sqref="AE91">
    <cfRule type="expression" dxfId="5158" priority="5380">
      <formula>$E91&lt;&gt;"Yes"</formula>
    </cfRule>
  </conditionalFormatting>
  <conditionalFormatting sqref="AB91">
    <cfRule type="expression" dxfId="5157" priority="5379">
      <formula>$E$7&lt;&gt;"Yes"</formula>
    </cfRule>
  </conditionalFormatting>
  <conditionalFormatting sqref="AB91">
    <cfRule type="expression" dxfId="5156" priority="5378">
      <formula>$E91&lt;&gt;"Yes"</formula>
    </cfRule>
  </conditionalFormatting>
  <conditionalFormatting sqref="AA91">
    <cfRule type="expression" dxfId="5155" priority="5377">
      <formula>$E$7&lt;&gt;"Yes"</formula>
    </cfRule>
  </conditionalFormatting>
  <conditionalFormatting sqref="AA91">
    <cfRule type="expression" dxfId="5154" priority="5376">
      <formula>$E91&lt;&gt;"Yes"</formula>
    </cfRule>
  </conditionalFormatting>
  <conditionalFormatting sqref="Y91">
    <cfRule type="expression" dxfId="5153" priority="5375">
      <formula>$E$7&lt;&gt;"Yes"</formula>
    </cfRule>
  </conditionalFormatting>
  <conditionalFormatting sqref="Y91">
    <cfRule type="expression" dxfId="5152" priority="5374">
      <formula>$E91&lt;&gt;"Yes"</formula>
    </cfRule>
  </conditionalFormatting>
  <conditionalFormatting sqref="O91:P91">
    <cfRule type="expression" dxfId="5151" priority="5373">
      <formula>$E$7&lt;&gt;"Yes"</formula>
    </cfRule>
  </conditionalFormatting>
  <conditionalFormatting sqref="O91:P91">
    <cfRule type="expression" dxfId="5150" priority="5372">
      <formula>$E91&lt;&gt;"Yes"</formula>
    </cfRule>
  </conditionalFormatting>
  <conditionalFormatting sqref="X91">
    <cfRule type="expression" dxfId="5149" priority="5371">
      <formula>$E$7&lt;&gt;"Yes"</formula>
    </cfRule>
  </conditionalFormatting>
  <conditionalFormatting sqref="X91">
    <cfRule type="expression" dxfId="5148" priority="5370">
      <formula>$E91&lt;&gt;"Yes"</formula>
    </cfRule>
  </conditionalFormatting>
  <conditionalFormatting sqref="AD91">
    <cfRule type="expression" dxfId="5147" priority="5369">
      <formula>$E$7&lt;&gt;"Yes"</formula>
    </cfRule>
  </conditionalFormatting>
  <conditionalFormatting sqref="AD91">
    <cfRule type="expression" dxfId="5146" priority="5368">
      <formula>$E91&lt;&gt;"Yes"</formula>
    </cfRule>
  </conditionalFormatting>
  <conditionalFormatting sqref="AC91">
    <cfRule type="expression" dxfId="5145" priority="5367">
      <formula>$E$7&lt;&gt;"Yes"</formula>
    </cfRule>
  </conditionalFormatting>
  <conditionalFormatting sqref="AC91">
    <cfRule type="expression" dxfId="5144" priority="5366">
      <formula>$E91&lt;&gt;"Yes"</formula>
    </cfRule>
  </conditionalFormatting>
  <conditionalFormatting sqref="R91:V91">
    <cfRule type="expression" dxfId="5143" priority="5365">
      <formula>$E$7&lt;&gt;"Yes"</formula>
    </cfRule>
  </conditionalFormatting>
  <conditionalFormatting sqref="R91:V91">
    <cfRule type="expression" dxfId="5142" priority="5364">
      <formula>$E91&lt;&gt;"Yes"</formula>
    </cfRule>
  </conditionalFormatting>
  <conditionalFormatting sqref="S91">
    <cfRule type="expression" dxfId="5141" priority="5363">
      <formula>$E$7&lt;&gt;"Yes"</formula>
    </cfRule>
  </conditionalFormatting>
  <conditionalFormatting sqref="S91">
    <cfRule type="expression" dxfId="5140" priority="5362">
      <formula>$E91&lt;&gt;"Yes"</formula>
    </cfRule>
  </conditionalFormatting>
  <conditionalFormatting sqref="T91">
    <cfRule type="expression" dxfId="5139" priority="5361">
      <formula>$E$7&lt;&gt;"Yes"</formula>
    </cfRule>
  </conditionalFormatting>
  <conditionalFormatting sqref="T91">
    <cfRule type="expression" dxfId="5138" priority="5360">
      <formula>$E91&lt;&gt;"Yes"</formula>
    </cfRule>
  </conditionalFormatting>
  <conditionalFormatting sqref="U91">
    <cfRule type="expression" dxfId="5137" priority="5359">
      <formula>$E$7&lt;&gt;"Yes"</formula>
    </cfRule>
  </conditionalFormatting>
  <conditionalFormatting sqref="U91">
    <cfRule type="expression" dxfId="5136" priority="5358">
      <formula>$E91&lt;&gt;"Yes"</formula>
    </cfRule>
  </conditionalFormatting>
  <conditionalFormatting sqref="V91">
    <cfRule type="expression" dxfId="5135" priority="5357">
      <formula>$E$7&lt;&gt;"Yes"</formula>
    </cfRule>
  </conditionalFormatting>
  <conditionalFormatting sqref="V91">
    <cfRule type="expression" dxfId="5134" priority="5356">
      <formula>$E91&lt;&gt;"Yes"</formula>
    </cfRule>
  </conditionalFormatting>
  <conditionalFormatting sqref="R91:V91">
    <cfRule type="expression" dxfId="5133" priority="5355">
      <formula>$E$7&lt;&gt;"Yes"</formula>
    </cfRule>
  </conditionalFormatting>
  <conditionalFormatting sqref="R91:V91">
    <cfRule type="expression" dxfId="5132" priority="5354">
      <formula>$E91&lt;&gt;"Yes"</formula>
    </cfRule>
  </conditionalFormatting>
  <conditionalFormatting sqref="Z91">
    <cfRule type="expression" dxfId="5131" priority="5353">
      <formula>$E$7&lt;&gt;"Yes"</formula>
    </cfRule>
  </conditionalFormatting>
  <conditionalFormatting sqref="Z91">
    <cfRule type="expression" dxfId="5130" priority="5352">
      <formula>$E91&lt;&gt;"Yes"</formula>
    </cfRule>
  </conditionalFormatting>
  <conditionalFormatting sqref="AN91:AO91">
    <cfRule type="expression" dxfId="5129" priority="5351">
      <formula>$E$7&lt;&gt;"Yes"</formula>
    </cfRule>
  </conditionalFormatting>
  <conditionalFormatting sqref="AN91:AO91">
    <cfRule type="expression" dxfId="5128" priority="5350">
      <formula>$E91&lt;&gt;"Yes"</formula>
    </cfRule>
  </conditionalFormatting>
  <conditionalFormatting sqref="AI91">
    <cfRule type="expression" dxfId="5127" priority="5349">
      <formula>$E$7&lt;&gt;"Yes"</formula>
    </cfRule>
  </conditionalFormatting>
  <conditionalFormatting sqref="AI91">
    <cfRule type="expression" dxfId="5126" priority="5348">
      <formula>$E91&lt;&gt;"Yes"</formula>
    </cfRule>
  </conditionalFormatting>
  <conditionalFormatting sqref="F92:J92 Q92 M92:N92 AJ92:AK92 AF92:AH92 Y92">
    <cfRule type="expression" dxfId="5125" priority="5347">
      <formula>$E$7&lt;&gt;"Yes"</formula>
    </cfRule>
  </conditionalFormatting>
  <conditionalFormatting sqref="F92:J92 Q92 M92:N92 AJ92:AK92 AF92:AH92 Y92">
    <cfRule type="expression" dxfId="5124" priority="5346">
      <formula>$E92&lt;&gt;"Yes"</formula>
    </cfRule>
  </conditionalFormatting>
  <conditionalFormatting sqref="G92">
    <cfRule type="expression" dxfId="5123" priority="5345">
      <formula>$E$7&lt;&gt;"Yes"</formula>
    </cfRule>
  </conditionalFormatting>
  <conditionalFormatting sqref="K92:L92">
    <cfRule type="expression" dxfId="5122" priority="5344">
      <formula>$E$7&lt;&gt;"Yes"</formula>
    </cfRule>
  </conditionalFormatting>
  <conditionalFormatting sqref="K92:L92">
    <cfRule type="expression" dxfId="5121" priority="5343">
      <formula>$E92&lt;&gt;"Yes"</formula>
    </cfRule>
  </conditionalFormatting>
  <conditionalFormatting sqref="W92">
    <cfRule type="expression" dxfId="5120" priority="5342">
      <formula>$E$7&lt;&gt;"Yes"</formula>
    </cfRule>
  </conditionalFormatting>
  <conditionalFormatting sqref="W92">
    <cfRule type="expression" dxfId="5119" priority="5341">
      <formula>$E92&lt;&gt;"Yes"</formula>
    </cfRule>
  </conditionalFormatting>
  <conditionalFormatting sqref="AE92">
    <cfRule type="expression" dxfId="5118" priority="5340">
      <formula>$E$7&lt;&gt;"Yes"</formula>
    </cfRule>
  </conditionalFormatting>
  <conditionalFormatting sqref="AE92">
    <cfRule type="expression" dxfId="5117" priority="5339">
      <formula>$E92&lt;&gt;"Yes"</formula>
    </cfRule>
  </conditionalFormatting>
  <conditionalFormatting sqref="AB92">
    <cfRule type="expression" dxfId="5116" priority="5338">
      <formula>$E$7&lt;&gt;"Yes"</formula>
    </cfRule>
  </conditionalFormatting>
  <conditionalFormatting sqref="AB92">
    <cfRule type="expression" dxfId="5115" priority="5337">
      <formula>$E92&lt;&gt;"Yes"</formula>
    </cfRule>
  </conditionalFormatting>
  <conditionalFormatting sqref="AA92">
    <cfRule type="expression" dxfId="5114" priority="5336">
      <formula>$E$7&lt;&gt;"Yes"</formula>
    </cfRule>
  </conditionalFormatting>
  <conditionalFormatting sqref="AA92">
    <cfRule type="expression" dxfId="5113" priority="5335">
      <formula>$E92&lt;&gt;"Yes"</formula>
    </cfRule>
  </conditionalFormatting>
  <conditionalFormatting sqref="Y92">
    <cfRule type="expression" dxfId="5112" priority="5334">
      <formula>$E$7&lt;&gt;"Yes"</formula>
    </cfRule>
  </conditionalFormatting>
  <conditionalFormatting sqref="Y92">
    <cfRule type="expression" dxfId="5111" priority="5333">
      <formula>$E92&lt;&gt;"Yes"</formula>
    </cfRule>
  </conditionalFormatting>
  <conditionalFormatting sqref="O92:P92">
    <cfRule type="expression" dxfId="5110" priority="5332">
      <formula>$E$7&lt;&gt;"Yes"</formula>
    </cfRule>
  </conditionalFormatting>
  <conditionalFormatting sqref="O92:P92">
    <cfRule type="expression" dxfId="5109" priority="5331">
      <formula>$E92&lt;&gt;"Yes"</formula>
    </cfRule>
  </conditionalFormatting>
  <conditionalFormatting sqref="X92">
    <cfRule type="expression" dxfId="5108" priority="5330">
      <formula>$E$7&lt;&gt;"Yes"</formula>
    </cfRule>
  </conditionalFormatting>
  <conditionalFormatting sqref="X92">
    <cfRule type="expression" dxfId="5107" priority="5329">
      <formula>$E92&lt;&gt;"Yes"</formula>
    </cfRule>
  </conditionalFormatting>
  <conditionalFormatting sqref="AD92">
    <cfRule type="expression" dxfId="5106" priority="5328">
      <formula>$E$7&lt;&gt;"Yes"</formula>
    </cfRule>
  </conditionalFormatting>
  <conditionalFormatting sqref="AD92">
    <cfRule type="expression" dxfId="5105" priority="5327">
      <formula>$E92&lt;&gt;"Yes"</formula>
    </cfRule>
  </conditionalFormatting>
  <conditionalFormatting sqref="AC92">
    <cfRule type="expression" dxfId="5104" priority="5326">
      <formula>$E$7&lt;&gt;"Yes"</formula>
    </cfRule>
  </conditionalFormatting>
  <conditionalFormatting sqref="AC92">
    <cfRule type="expression" dxfId="5103" priority="5325">
      <formula>$E92&lt;&gt;"Yes"</formula>
    </cfRule>
  </conditionalFormatting>
  <conditionalFormatting sqref="R92:V92">
    <cfRule type="expression" dxfId="5102" priority="5324">
      <formula>$E$7&lt;&gt;"Yes"</formula>
    </cfRule>
  </conditionalFormatting>
  <conditionalFormatting sqref="R92:V92">
    <cfRule type="expression" dxfId="5101" priority="5323">
      <formula>$E92&lt;&gt;"Yes"</formula>
    </cfRule>
  </conditionalFormatting>
  <conditionalFormatting sqref="S92">
    <cfRule type="expression" dxfId="5100" priority="5322">
      <formula>$E$7&lt;&gt;"Yes"</formula>
    </cfRule>
  </conditionalFormatting>
  <conditionalFormatting sqref="S92">
    <cfRule type="expression" dxfId="5099" priority="5321">
      <formula>$E92&lt;&gt;"Yes"</formula>
    </cfRule>
  </conditionalFormatting>
  <conditionalFormatting sqref="T92">
    <cfRule type="expression" dxfId="5098" priority="5320">
      <formula>$E$7&lt;&gt;"Yes"</formula>
    </cfRule>
  </conditionalFormatting>
  <conditionalFormatting sqref="T92">
    <cfRule type="expression" dxfId="5097" priority="5319">
      <formula>$E92&lt;&gt;"Yes"</formula>
    </cfRule>
  </conditionalFormatting>
  <conditionalFormatting sqref="U92">
    <cfRule type="expression" dxfId="5096" priority="5318">
      <formula>$E$7&lt;&gt;"Yes"</formula>
    </cfRule>
  </conditionalFormatting>
  <conditionalFormatting sqref="U92">
    <cfRule type="expression" dxfId="5095" priority="5317">
      <formula>$E92&lt;&gt;"Yes"</formula>
    </cfRule>
  </conditionalFormatting>
  <conditionalFormatting sqref="V92">
    <cfRule type="expression" dxfId="5094" priority="5316">
      <formula>$E$7&lt;&gt;"Yes"</formula>
    </cfRule>
  </conditionalFormatting>
  <conditionalFormatting sqref="V92">
    <cfRule type="expression" dxfId="5093" priority="5315">
      <formula>$E92&lt;&gt;"Yes"</formula>
    </cfRule>
  </conditionalFormatting>
  <conditionalFormatting sqref="R92:V92">
    <cfRule type="expression" dxfId="5092" priority="5314">
      <formula>$E$7&lt;&gt;"Yes"</formula>
    </cfRule>
  </conditionalFormatting>
  <conditionalFormatting sqref="R92:V92">
    <cfRule type="expression" dxfId="5091" priority="5313">
      <formula>$E92&lt;&gt;"Yes"</formula>
    </cfRule>
  </conditionalFormatting>
  <conditionalFormatting sqref="Z92">
    <cfRule type="expression" dxfId="5090" priority="5312">
      <formula>$E$7&lt;&gt;"Yes"</formula>
    </cfRule>
  </conditionalFormatting>
  <conditionalFormatting sqref="Z92">
    <cfRule type="expression" dxfId="5089" priority="5311">
      <formula>$E92&lt;&gt;"Yes"</formula>
    </cfRule>
  </conditionalFormatting>
  <conditionalFormatting sqref="AN92:AO92">
    <cfRule type="expression" dxfId="5088" priority="5310">
      <formula>$E$7&lt;&gt;"Yes"</formula>
    </cfRule>
  </conditionalFormatting>
  <conditionalFormatting sqref="AN92:AO92">
    <cfRule type="expression" dxfId="5087" priority="5309">
      <formula>$E92&lt;&gt;"Yes"</formula>
    </cfRule>
  </conditionalFormatting>
  <conditionalFormatting sqref="AI92">
    <cfRule type="expression" dxfId="5086" priority="5308">
      <formula>$E$7&lt;&gt;"Yes"</formula>
    </cfRule>
  </conditionalFormatting>
  <conditionalFormatting sqref="AI92">
    <cfRule type="expression" dxfId="5085" priority="5307">
      <formula>$E92&lt;&gt;"Yes"</formula>
    </cfRule>
  </conditionalFormatting>
  <conditionalFormatting sqref="F172:J172 AF172:AH172 Y172 M172:N172 Q172 AJ172:AK172">
    <cfRule type="expression" dxfId="5084" priority="5306">
      <formula>$E$7&lt;&gt;"Yes"</formula>
    </cfRule>
  </conditionalFormatting>
  <conditionalFormatting sqref="F172:J172 AF172:AH172 Y172 M172:N172 Q172 AJ172:AK172">
    <cfRule type="expression" dxfId="5083" priority="5305">
      <formula>$E172&lt;&gt;"Yes"</formula>
    </cfRule>
  </conditionalFormatting>
  <conditionalFormatting sqref="G172">
    <cfRule type="expression" dxfId="5082" priority="5304">
      <formula>$E$7&lt;&gt;"Yes"</formula>
    </cfRule>
  </conditionalFormatting>
  <conditionalFormatting sqref="K172:L172">
    <cfRule type="expression" dxfId="5081" priority="5303">
      <formula>$E$7&lt;&gt;"Yes"</formula>
    </cfRule>
  </conditionalFormatting>
  <conditionalFormatting sqref="K172:L172">
    <cfRule type="expression" dxfId="5080" priority="5302">
      <formula>$E172&lt;&gt;"Yes"</formula>
    </cfRule>
  </conditionalFormatting>
  <conditionalFormatting sqref="W172">
    <cfRule type="expression" dxfId="5079" priority="5301">
      <formula>$E$7&lt;&gt;"Yes"</formula>
    </cfRule>
  </conditionalFormatting>
  <conditionalFormatting sqref="W172">
    <cfRule type="expression" dxfId="5078" priority="5300">
      <formula>$E172&lt;&gt;"Yes"</formula>
    </cfRule>
  </conditionalFormatting>
  <conditionalFormatting sqref="AE172">
    <cfRule type="expression" dxfId="5077" priority="5299">
      <formula>$E$7&lt;&gt;"Yes"</formula>
    </cfRule>
  </conditionalFormatting>
  <conditionalFormatting sqref="AE172">
    <cfRule type="expression" dxfId="5076" priority="5298">
      <formula>$E172&lt;&gt;"Yes"</formula>
    </cfRule>
  </conditionalFormatting>
  <conditionalFormatting sqref="AB172">
    <cfRule type="expression" dxfId="5075" priority="5297">
      <formula>$E$7&lt;&gt;"Yes"</formula>
    </cfRule>
  </conditionalFormatting>
  <conditionalFormatting sqref="AB172">
    <cfRule type="expression" dxfId="5074" priority="5296">
      <formula>$E172&lt;&gt;"Yes"</formula>
    </cfRule>
  </conditionalFormatting>
  <conditionalFormatting sqref="AA172">
    <cfRule type="expression" dxfId="5073" priority="5295">
      <formula>$E$7&lt;&gt;"Yes"</formula>
    </cfRule>
  </conditionalFormatting>
  <conditionalFormatting sqref="AA172">
    <cfRule type="expression" dxfId="5072" priority="5294">
      <formula>$E172&lt;&gt;"Yes"</formula>
    </cfRule>
  </conditionalFormatting>
  <conditionalFormatting sqref="Y172">
    <cfRule type="expression" dxfId="5071" priority="5293">
      <formula>$E$7&lt;&gt;"Yes"</formula>
    </cfRule>
  </conditionalFormatting>
  <conditionalFormatting sqref="Y172">
    <cfRule type="expression" dxfId="5070" priority="5292">
      <formula>$E172&lt;&gt;"Yes"</formula>
    </cfRule>
  </conditionalFormatting>
  <conditionalFormatting sqref="O172:P172">
    <cfRule type="expression" dxfId="5069" priority="5291">
      <formula>$E$7&lt;&gt;"Yes"</formula>
    </cfRule>
  </conditionalFormatting>
  <conditionalFormatting sqref="O172:P172">
    <cfRule type="expression" dxfId="5068" priority="5290">
      <formula>$E172&lt;&gt;"Yes"</formula>
    </cfRule>
  </conditionalFormatting>
  <conditionalFormatting sqref="X172">
    <cfRule type="expression" dxfId="5067" priority="5289">
      <formula>$E$7&lt;&gt;"Yes"</formula>
    </cfRule>
  </conditionalFormatting>
  <conditionalFormatting sqref="X172">
    <cfRule type="expression" dxfId="5066" priority="5288">
      <formula>$E172&lt;&gt;"Yes"</formula>
    </cfRule>
  </conditionalFormatting>
  <conditionalFormatting sqref="AD172">
    <cfRule type="expression" dxfId="5065" priority="5287">
      <formula>$E$7&lt;&gt;"Yes"</formula>
    </cfRule>
  </conditionalFormatting>
  <conditionalFormatting sqref="AD172">
    <cfRule type="expression" dxfId="5064" priority="5286">
      <formula>$E172&lt;&gt;"Yes"</formula>
    </cfRule>
  </conditionalFormatting>
  <conditionalFormatting sqref="AC172">
    <cfRule type="expression" dxfId="5063" priority="5285">
      <formula>$E$7&lt;&gt;"Yes"</formula>
    </cfRule>
  </conditionalFormatting>
  <conditionalFormatting sqref="AC172">
    <cfRule type="expression" dxfId="5062" priority="5284">
      <formula>$E172&lt;&gt;"Yes"</formula>
    </cfRule>
  </conditionalFormatting>
  <conditionalFormatting sqref="R172:V172">
    <cfRule type="expression" dxfId="5061" priority="5283">
      <formula>$E$7&lt;&gt;"Yes"</formula>
    </cfRule>
  </conditionalFormatting>
  <conditionalFormatting sqref="R172:V172">
    <cfRule type="expression" dxfId="5060" priority="5282">
      <formula>$E172&lt;&gt;"Yes"</formula>
    </cfRule>
  </conditionalFormatting>
  <conditionalFormatting sqref="S172">
    <cfRule type="expression" dxfId="5059" priority="5281">
      <formula>$E$7&lt;&gt;"Yes"</formula>
    </cfRule>
  </conditionalFormatting>
  <conditionalFormatting sqref="S172">
    <cfRule type="expression" dxfId="5058" priority="5280">
      <formula>$E172&lt;&gt;"Yes"</formula>
    </cfRule>
  </conditionalFormatting>
  <conditionalFormatting sqref="T172">
    <cfRule type="expression" dxfId="5057" priority="5279">
      <formula>$E$7&lt;&gt;"Yes"</formula>
    </cfRule>
  </conditionalFormatting>
  <conditionalFormatting sqref="T172">
    <cfRule type="expression" dxfId="5056" priority="5278">
      <formula>$E172&lt;&gt;"Yes"</formula>
    </cfRule>
  </conditionalFormatting>
  <conditionalFormatting sqref="U172">
    <cfRule type="expression" dxfId="5055" priority="5277">
      <formula>$E$7&lt;&gt;"Yes"</formula>
    </cfRule>
  </conditionalFormatting>
  <conditionalFormatting sqref="U172">
    <cfRule type="expression" dxfId="5054" priority="5276">
      <formula>$E172&lt;&gt;"Yes"</formula>
    </cfRule>
  </conditionalFormatting>
  <conditionalFormatting sqref="V172">
    <cfRule type="expression" dxfId="5053" priority="5275">
      <formula>$E$7&lt;&gt;"Yes"</formula>
    </cfRule>
  </conditionalFormatting>
  <conditionalFormatting sqref="V172">
    <cfRule type="expression" dxfId="5052" priority="5274">
      <formula>$E172&lt;&gt;"Yes"</formula>
    </cfRule>
  </conditionalFormatting>
  <conditionalFormatting sqref="R172:V172">
    <cfRule type="expression" dxfId="5051" priority="5273">
      <formula>$E$7&lt;&gt;"Yes"</formula>
    </cfRule>
  </conditionalFormatting>
  <conditionalFormatting sqref="R172:V172">
    <cfRule type="expression" dxfId="5050" priority="5272">
      <formula>$E172&lt;&gt;"Yes"</formula>
    </cfRule>
  </conditionalFormatting>
  <conditionalFormatting sqref="Z172">
    <cfRule type="expression" dxfId="5049" priority="5271">
      <formula>$E$7&lt;&gt;"Yes"</formula>
    </cfRule>
  </conditionalFormatting>
  <conditionalFormatting sqref="Z172">
    <cfRule type="expression" dxfId="5048" priority="5270">
      <formula>$E172&lt;&gt;"Yes"</formula>
    </cfRule>
  </conditionalFormatting>
  <conditionalFormatting sqref="AN172:AO172">
    <cfRule type="expression" dxfId="5047" priority="5269">
      <formula>$E$7&lt;&gt;"Yes"</formula>
    </cfRule>
  </conditionalFormatting>
  <conditionalFormatting sqref="AN172:AO172">
    <cfRule type="expression" dxfId="5046" priority="5268">
      <formula>$E172&lt;&gt;"Yes"</formula>
    </cfRule>
  </conditionalFormatting>
  <conditionalFormatting sqref="AI172">
    <cfRule type="expression" dxfId="5045" priority="5267">
      <formula>$E$7&lt;&gt;"Yes"</formula>
    </cfRule>
  </conditionalFormatting>
  <conditionalFormatting sqref="AI172">
    <cfRule type="expression" dxfId="5044" priority="5266">
      <formula>$E172&lt;&gt;"Yes"</formula>
    </cfRule>
  </conditionalFormatting>
  <conditionalFormatting sqref="M97 F97:J97 F99:J99 M99 Q97:Q99 AJ97:AK99 AF97:AH99 Y97:Y99">
    <cfRule type="expression" dxfId="5043" priority="5265">
      <formula>$E$7&lt;&gt;"Yes"</formula>
    </cfRule>
  </conditionalFormatting>
  <conditionalFormatting sqref="M97 F97:J97 F99:J99 M99 Q97:Q99 AJ97:AK99 AF97:AH99 Y97:Y99">
    <cfRule type="expression" dxfId="5042" priority="5264">
      <formula>$E97&lt;&gt;"Yes"</formula>
    </cfRule>
  </conditionalFormatting>
  <conditionalFormatting sqref="G97 G99">
    <cfRule type="expression" dxfId="5041" priority="5263">
      <formula>$E$7&lt;&gt;"Yes"</formula>
    </cfRule>
  </conditionalFormatting>
  <conditionalFormatting sqref="K97:L97 K99:L99">
    <cfRule type="expression" dxfId="5040" priority="5262">
      <formula>$E$7&lt;&gt;"Yes"</formula>
    </cfRule>
  </conditionalFormatting>
  <conditionalFormatting sqref="K97:L97 K99:L99">
    <cfRule type="expression" dxfId="5039" priority="5261">
      <formula>$E97&lt;&gt;"Yes"</formula>
    </cfRule>
  </conditionalFormatting>
  <conditionalFormatting sqref="W97 W99">
    <cfRule type="expression" dxfId="5038" priority="5260">
      <formula>$E$7&lt;&gt;"Yes"</formula>
    </cfRule>
  </conditionalFormatting>
  <conditionalFormatting sqref="W97 W99">
    <cfRule type="expression" dxfId="5037" priority="5259">
      <formula>$E97&lt;&gt;"Yes"</formula>
    </cfRule>
  </conditionalFormatting>
  <conditionalFormatting sqref="F98:J98 M98 Q98">
    <cfRule type="expression" dxfId="5036" priority="5258">
      <formula>$E$7&lt;&gt;"Yes"</formula>
    </cfRule>
  </conditionalFormatting>
  <conditionalFormatting sqref="F98:J98 M98 Q98">
    <cfRule type="expression" dxfId="5035" priority="5257">
      <formula>$E98&lt;&gt;"Yes"</formula>
    </cfRule>
  </conditionalFormatting>
  <conditionalFormatting sqref="G98">
    <cfRule type="expression" dxfId="5034" priority="5256">
      <formula>$E$7&lt;&gt;"Yes"</formula>
    </cfRule>
  </conditionalFormatting>
  <conditionalFormatting sqref="K98:L98">
    <cfRule type="expression" dxfId="5033" priority="5255">
      <formula>$E$7&lt;&gt;"Yes"</formula>
    </cfRule>
  </conditionalFormatting>
  <conditionalFormatting sqref="K98:L98">
    <cfRule type="expression" dxfId="5032" priority="5254">
      <formula>$E98&lt;&gt;"Yes"</formula>
    </cfRule>
  </conditionalFormatting>
  <conditionalFormatting sqref="W98">
    <cfRule type="expression" dxfId="5031" priority="5253">
      <formula>$E$7&lt;&gt;"Yes"</formula>
    </cfRule>
  </conditionalFormatting>
  <conditionalFormatting sqref="W98">
    <cfRule type="expression" dxfId="5030" priority="5252">
      <formula>$E98&lt;&gt;"Yes"</formula>
    </cfRule>
  </conditionalFormatting>
  <conditionalFormatting sqref="N97:N99">
    <cfRule type="expression" dxfId="5029" priority="5251">
      <formula>$E$7&lt;&gt;"Yes"</formula>
    </cfRule>
  </conditionalFormatting>
  <conditionalFormatting sqref="N97:N99">
    <cfRule type="expression" dxfId="5028" priority="5250">
      <formula>$E97&lt;&gt;"Yes"</formula>
    </cfRule>
  </conditionalFormatting>
  <conditionalFormatting sqref="AE97">
    <cfRule type="expression" dxfId="5027" priority="5249">
      <formula>$E$7&lt;&gt;"Yes"</formula>
    </cfRule>
  </conditionalFormatting>
  <conditionalFormatting sqref="AE97">
    <cfRule type="expression" dxfId="5026" priority="5248">
      <formula>$E97&lt;&gt;"Yes"</formula>
    </cfRule>
  </conditionalFormatting>
  <conditionalFormatting sqref="AE98">
    <cfRule type="expression" dxfId="5025" priority="5247">
      <formula>$E$7&lt;&gt;"Yes"</formula>
    </cfRule>
  </conditionalFormatting>
  <conditionalFormatting sqref="AE98">
    <cfRule type="expression" dxfId="5024" priority="5246">
      <formula>$E98&lt;&gt;"Yes"</formula>
    </cfRule>
  </conditionalFormatting>
  <conditionalFormatting sqref="AE99">
    <cfRule type="expression" dxfId="5023" priority="5245">
      <formula>$E$7&lt;&gt;"Yes"</formula>
    </cfRule>
  </conditionalFormatting>
  <conditionalFormatting sqref="AE99">
    <cfRule type="expression" dxfId="5022" priority="5244">
      <formula>$E99&lt;&gt;"Yes"</formula>
    </cfRule>
  </conditionalFormatting>
  <conditionalFormatting sqref="AB97:AB99">
    <cfRule type="expression" dxfId="5021" priority="5243">
      <formula>$E$7&lt;&gt;"Yes"</formula>
    </cfRule>
  </conditionalFormatting>
  <conditionalFormatting sqref="AB97:AB99">
    <cfRule type="expression" dxfId="5020" priority="5242">
      <formula>$E97&lt;&gt;"Yes"</formula>
    </cfRule>
  </conditionalFormatting>
  <conditionalFormatting sqref="AA97:AA99">
    <cfRule type="expression" dxfId="5019" priority="5241">
      <formula>$E$7&lt;&gt;"Yes"</formula>
    </cfRule>
  </conditionalFormatting>
  <conditionalFormatting sqref="AA97:AA99">
    <cfRule type="expression" dxfId="5018" priority="5240">
      <formula>$E97&lt;&gt;"Yes"</formula>
    </cfRule>
  </conditionalFormatting>
  <conditionalFormatting sqref="Y97:Y99">
    <cfRule type="expression" dxfId="5017" priority="5239">
      <formula>$E$7&lt;&gt;"Yes"</formula>
    </cfRule>
  </conditionalFormatting>
  <conditionalFormatting sqref="Y97:Y99">
    <cfRule type="expression" dxfId="5016" priority="5238">
      <formula>$E97&lt;&gt;"Yes"</formula>
    </cfRule>
  </conditionalFormatting>
  <conditionalFormatting sqref="O99:P99 O97:P97">
    <cfRule type="expression" dxfId="5015" priority="5237">
      <formula>$E$7&lt;&gt;"Yes"</formula>
    </cfRule>
  </conditionalFormatting>
  <conditionalFormatting sqref="O99:P99 O97:P97">
    <cfRule type="expression" dxfId="5014" priority="5236">
      <formula>$E97&lt;&gt;"Yes"</formula>
    </cfRule>
  </conditionalFormatting>
  <conditionalFormatting sqref="O98:P98">
    <cfRule type="expression" dxfId="5013" priority="5235">
      <formula>$E$7&lt;&gt;"Yes"</formula>
    </cfRule>
  </conditionalFormatting>
  <conditionalFormatting sqref="O98:P98">
    <cfRule type="expression" dxfId="5012" priority="5234">
      <formula>$E98&lt;&gt;"Yes"</formula>
    </cfRule>
  </conditionalFormatting>
  <conditionalFormatting sqref="X97:X99">
    <cfRule type="expression" dxfId="5011" priority="5233">
      <formula>$E$7&lt;&gt;"Yes"</formula>
    </cfRule>
  </conditionalFormatting>
  <conditionalFormatting sqref="X97:X99">
    <cfRule type="expression" dxfId="5010" priority="5232">
      <formula>$E97&lt;&gt;"Yes"</formula>
    </cfRule>
  </conditionalFormatting>
  <conditionalFormatting sqref="AD97:AD99">
    <cfRule type="expression" dxfId="5009" priority="5231">
      <formula>$E$7&lt;&gt;"Yes"</formula>
    </cfRule>
  </conditionalFormatting>
  <conditionalFormatting sqref="AD97:AD99">
    <cfRule type="expression" dxfId="5008" priority="5230">
      <formula>$E97&lt;&gt;"Yes"</formula>
    </cfRule>
  </conditionalFormatting>
  <conditionalFormatting sqref="AC97:AC99">
    <cfRule type="expression" dxfId="5007" priority="5229">
      <formula>$E$7&lt;&gt;"Yes"</formula>
    </cfRule>
  </conditionalFormatting>
  <conditionalFormatting sqref="AC97:AC99">
    <cfRule type="expression" dxfId="5006" priority="5228">
      <formula>$E97&lt;&gt;"Yes"</formula>
    </cfRule>
  </conditionalFormatting>
  <conditionalFormatting sqref="R97:V99">
    <cfRule type="expression" dxfId="5005" priority="5227">
      <formula>$E$7&lt;&gt;"Yes"</formula>
    </cfRule>
  </conditionalFormatting>
  <conditionalFormatting sqref="R97:V99">
    <cfRule type="expression" dxfId="5004" priority="5226">
      <formula>$E97&lt;&gt;"Yes"</formula>
    </cfRule>
  </conditionalFormatting>
  <conditionalFormatting sqref="S97:S99">
    <cfRule type="expression" dxfId="5003" priority="5225">
      <formula>$E$7&lt;&gt;"Yes"</formula>
    </cfRule>
  </conditionalFormatting>
  <conditionalFormatting sqref="S97:S99">
    <cfRule type="expression" dxfId="5002" priority="5224">
      <formula>$E97&lt;&gt;"Yes"</formula>
    </cfRule>
  </conditionalFormatting>
  <conditionalFormatting sqref="T97:T99">
    <cfRule type="expression" dxfId="5001" priority="5223">
      <formula>$E$7&lt;&gt;"Yes"</formula>
    </cfRule>
  </conditionalFormatting>
  <conditionalFormatting sqref="T97:T99">
    <cfRule type="expression" dxfId="5000" priority="5222">
      <formula>$E97&lt;&gt;"Yes"</formula>
    </cfRule>
  </conditionalFormatting>
  <conditionalFormatting sqref="U97:U99">
    <cfRule type="expression" dxfId="4999" priority="5221">
      <formula>$E$7&lt;&gt;"Yes"</formula>
    </cfRule>
  </conditionalFormatting>
  <conditionalFormatting sqref="U97:U99">
    <cfRule type="expression" dxfId="4998" priority="5220">
      <formula>$E97&lt;&gt;"Yes"</formula>
    </cfRule>
  </conditionalFormatting>
  <conditionalFormatting sqref="V97:V99">
    <cfRule type="expression" dxfId="4997" priority="5219">
      <formula>$E$7&lt;&gt;"Yes"</formula>
    </cfRule>
  </conditionalFormatting>
  <conditionalFormatting sqref="V97:V99">
    <cfRule type="expression" dxfId="4996" priority="5218">
      <formula>$E97&lt;&gt;"Yes"</formula>
    </cfRule>
  </conditionalFormatting>
  <conditionalFormatting sqref="R97:V99">
    <cfRule type="expression" dxfId="4995" priority="5217">
      <formula>$E$7&lt;&gt;"Yes"</formula>
    </cfRule>
  </conditionalFormatting>
  <conditionalFormatting sqref="R97:V99">
    <cfRule type="expression" dxfId="4994" priority="5216">
      <formula>$E97&lt;&gt;"Yes"</formula>
    </cfRule>
  </conditionalFormatting>
  <conditionalFormatting sqref="Z97:Z99">
    <cfRule type="expression" dxfId="4993" priority="5215">
      <formula>$E$7&lt;&gt;"Yes"</formula>
    </cfRule>
  </conditionalFormatting>
  <conditionalFormatting sqref="Z97:Z99">
    <cfRule type="expression" dxfId="4992" priority="5214">
      <formula>$E97&lt;&gt;"Yes"</formula>
    </cfRule>
  </conditionalFormatting>
  <conditionalFormatting sqref="AN97:AO99">
    <cfRule type="expression" dxfId="4991" priority="5213">
      <formula>$E$7&lt;&gt;"Yes"</formula>
    </cfRule>
  </conditionalFormatting>
  <conditionalFormatting sqref="AN97:AO99">
    <cfRule type="expression" dxfId="4990" priority="5212">
      <formula>$E97&lt;&gt;"Yes"</formula>
    </cfRule>
  </conditionalFormatting>
  <conditionalFormatting sqref="AI97:AI99">
    <cfRule type="expression" dxfId="4989" priority="5211">
      <formula>$E$7&lt;&gt;"Yes"</formula>
    </cfRule>
  </conditionalFormatting>
  <conditionalFormatting sqref="AI97:AI99">
    <cfRule type="expression" dxfId="4988" priority="5210">
      <formula>$E97&lt;&gt;"Yes"</formula>
    </cfRule>
  </conditionalFormatting>
  <conditionalFormatting sqref="Q178:Q182 AJ178:AK182 Y178:Y182 AF178:AH182 M178:M180 F178:J180">
    <cfRule type="expression" dxfId="4987" priority="5209">
      <formula>$E$7&lt;&gt;"Yes"</formula>
    </cfRule>
  </conditionalFormatting>
  <conditionalFormatting sqref="M178:M180 F178:J180">
    <cfRule type="expression" dxfId="4986" priority="5208">
      <formula>$E178&lt;&gt;"Yes"</formula>
    </cfRule>
  </conditionalFormatting>
  <conditionalFormatting sqref="G178:G180">
    <cfRule type="expression" dxfId="4985" priority="5207">
      <formula>$E$7&lt;&gt;"Yes"</formula>
    </cfRule>
  </conditionalFormatting>
  <conditionalFormatting sqref="K178:L180">
    <cfRule type="expression" dxfId="4984" priority="5206">
      <formula>$E$7&lt;&gt;"Yes"</formula>
    </cfRule>
  </conditionalFormatting>
  <conditionalFormatting sqref="K178:L180">
    <cfRule type="expression" dxfId="4983" priority="5205">
      <formula>$E178&lt;&gt;"Yes"</formula>
    </cfRule>
  </conditionalFormatting>
  <conditionalFormatting sqref="W178:W180">
    <cfRule type="expression" dxfId="4982" priority="5204">
      <formula>$E$7&lt;&gt;"Yes"</formula>
    </cfRule>
  </conditionalFormatting>
  <conditionalFormatting sqref="W178:W180">
    <cfRule type="expression" dxfId="4981" priority="5203">
      <formula>$E178&lt;&gt;"Yes"</formula>
    </cfRule>
  </conditionalFormatting>
  <conditionalFormatting sqref="Q178">
    <cfRule type="expression" dxfId="4980" priority="5202">
      <formula>$E$7&lt;&gt;"Yes"</formula>
    </cfRule>
  </conditionalFormatting>
  <conditionalFormatting sqref="Q178">
    <cfRule type="expression" dxfId="4979" priority="5201">
      <formula>$E178&lt;&gt;"Yes"</formula>
    </cfRule>
  </conditionalFormatting>
  <conditionalFormatting sqref="Q180">
    <cfRule type="expression" dxfId="4978" priority="5200">
      <formula>$E$7&lt;&gt;"Yes"</formula>
    </cfRule>
  </conditionalFormatting>
  <conditionalFormatting sqref="Q180">
    <cfRule type="expression" dxfId="4977" priority="5199">
      <formula>$E180&lt;&gt;"Yes"</formula>
    </cfRule>
  </conditionalFormatting>
  <conditionalFormatting sqref="AE178:AE180">
    <cfRule type="expression" dxfId="4976" priority="5194">
      <formula>$E$7&lt;&gt;"Yes"</formula>
    </cfRule>
  </conditionalFormatting>
  <conditionalFormatting sqref="AE178:AE180">
    <cfRule type="expression" dxfId="4975" priority="5193">
      <formula>$E178&lt;&gt;"Yes"</formula>
    </cfRule>
  </conditionalFormatting>
  <conditionalFormatting sqref="N178:N179">
    <cfRule type="expression" dxfId="4974" priority="5192">
      <formula>$E$7&lt;&gt;"Yes"</formula>
    </cfRule>
  </conditionalFormatting>
  <conditionalFormatting sqref="N178:N179">
    <cfRule type="expression" dxfId="4973" priority="5191">
      <formula>$E178&lt;&gt;"Yes"</formula>
    </cfRule>
  </conditionalFormatting>
  <conditionalFormatting sqref="G181">
    <cfRule type="expression" dxfId="4972" priority="5188">
      <formula>$E$7&lt;&gt;"Yes"</formula>
    </cfRule>
  </conditionalFormatting>
  <conditionalFormatting sqref="M181 F181:J181">
    <cfRule type="expression" dxfId="4971" priority="5190">
      <formula>$E$7&lt;&gt;"Yes"</formula>
    </cfRule>
  </conditionalFormatting>
  <conditionalFormatting sqref="M181 F181:J181">
    <cfRule type="expression" dxfId="4970" priority="5189">
      <formula>$E181&lt;&gt;"Yes"</formula>
    </cfRule>
  </conditionalFormatting>
  <conditionalFormatting sqref="K181:L181">
    <cfRule type="expression" dxfId="4969" priority="5187">
      <formula>$E$7&lt;&gt;"Yes"</formula>
    </cfRule>
  </conditionalFormatting>
  <conditionalFormatting sqref="K181:L181">
    <cfRule type="expression" dxfId="4968" priority="5186">
      <formula>$E181&lt;&gt;"Yes"</formula>
    </cfRule>
  </conditionalFormatting>
  <conditionalFormatting sqref="W181">
    <cfRule type="expression" dxfId="4967" priority="5185">
      <formula>$E$7&lt;&gt;"Yes"</formula>
    </cfRule>
  </conditionalFormatting>
  <conditionalFormatting sqref="W181">
    <cfRule type="expression" dxfId="4966" priority="5184">
      <formula>$E181&lt;&gt;"Yes"</formula>
    </cfRule>
  </conditionalFormatting>
  <conditionalFormatting sqref="Q181">
    <cfRule type="expression" dxfId="4965" priority="5183">
      <formula>$E$7&lt;&gt;"Yes"</formula>
    </cfRule>
  </conditionalFormatting>
  <conditionalFormatting sqref="Q181">
    <cfRule type="expression" dxfId="4964" priority="5182">
      <formula>$E181&lt;&gt;"Yes"</formula>
    </cfRule>
  </conditionalFormatting>
  <conditionalFormatting sqref="G182">
    <cfRule type="expression" dxfId="4963" priority="5177">
      <formula>$E$7&lt;&gt;"Yes"</formula>
    </cfRule>
  </conditionalFormatting>
  <conditionalFormatting sqref="M182 F182:J182">
    <cfRule type="expression" dxfId="4962" priority="5179">
      <formula>$E$7&lt;&gt;"Yes"</formula>
    </cfRule>
  </conditionalFormatting>
  <conditionalFormatting sqref="M182 F182:J182">
    <cfRule type="expression" dxfId="4961" priority="5178">
      <formula>$E182&lt;&gt;"Yes"</formula>
    </cfRule>
  </conditionalFormatting>
  <conditionalFormatting sqref="K182:L182">
    <cfRule type="expression" dxfId="4960" priority="5176">
      <formula>$E$7&lt;&gt;"Yes"</formula>
    </cfRule>
  </conditionalFormatting>
  <conditionalFormatting sqref="K182:L182">
    <cfRule type="expression" dxfId="4959" priority="5175">
      <formula>$E182&lt;&gt;"Yes"</formula>
    </cfRule>
  </conditionalFormatting>
  <conditionalFormatting sqref="W182">
    <cfRule type="expression" dxfId="4958" priority="5174">
      <formula>$E$7&lt;&gt;"Yes"</formula>
    </cfRule>
  </conditionalFormatting>
  <conditionalFormatting sqref="W182">
    <cfRule type="expression" dxfId="4957" priority="5173">
      <formula>$E182&lt;&gt;"Yes"</formula>
    </cfRule>
  </conditionalFormatting>
  <conditionalFormatting sqref="Q182">
    <cfRule type="expression" dxfId="4956" priority="5172">
      <formula>$E$7&lt;&gt;"Yes"</formula>
    </cfRule>
  </conditionalFormatting>
  <conditionalFormatting sqref="Q182">
    <cfRule type="expression" dxfId="4955" priority="5171">
      <formula>$E182&lt;&gt;"Yes"</formula>
    </cfRule>
  </conditionalFormatting>
  <conditionalFormatting sqref="AB178:AB182">
    <cfRule type="expression" dxfId="4954" priority="5164">
      <formula>$E$7&lt;&gt;"Yes"</formula>
    </cfRule>
  </conditionalFormatting>
  <conditionalFormatting sqref="AA178:AA182">
    <cfRule type="expression" dxfId="4953" priority="5162">
      <formula>$E$7&lt;&gt;"Yes"</formula>
    </cfRule>
  </conditionalFormatting>
  <conditionalFormatting sqref="Y178:Y182">
    <cfRule type="expression" dxfId="4952" priority="5160">
      <formula>$E$7&lt;&gt;"Yes"</formula>
    </cfRule>
  </conditionalFormatting>
  <conditionalFormatting sqref="P180 O178:P179">
    <cfRule type="expression" dxfId="4951" priority="5158">
      <formula>$E$7&lt;&gt;"Yes"</formula>
    </cfRule>
  </conditionalFormatting>
  <conditionalFormatting sqref="P180 O178:P179">
    <cfRule type="expression" dxfId="4950" priority="5157">
      <formula>$E178&lt;&gt;"Yes"</formula>
    </cfRule>
  </conditionalFormatting>
  <conditionalFormatting sqref="P181">
    <cfRule type="expression" dxfId="4949" priority="5156">
      <formula>$E$7&lt;&gt;"Yes"</formula>
    </cfRule>
  </conditionalFormatting>
  <conditionalFormatting sqref="P181">
    <cfRule type="expression" dxfId="4948" priority="5155">
      <formula>$E181&lt;&gt;"Yes"</formula>
    </cfRule>
  </conditionalFormatting>
  <conditionalFormatting sqref="P182">
    <cfRule type="expression" dxfId="4947" priority="5154">
      <formula>$E$7&lt;&gt;"Yes"</formula>
    </cfRule>
  </conditionalFormatting>
  <conditionalFormatting sqref="P182">
    <cfRule type="expression" dxfId="4946" priority="5153">
      <formula>$E182&lt;&gt;"Yes"</formula>
    </cfRule>
  </conditionalFormatting>
  <conditionalFormatting sqref="X178:X182">
    <cfRule type="expression" dxfId="4945" priority="5152">
      <formula>$E$7&lt;&gt;"Yes"</formula>
    </cfRule>
  </conditionalFormatting>
  <conditionalFormatting sqref="AD178:AD182">
    <cfRule type="expression" dxfId="4944" priority="5150">
      <formula>$E$7&lt;&gt;"Yes"</formula>
    </cfRule>
  </conditionalFormatting>
  <conditionalFormatting sqref="AC178:AC182">
    <cfRule type="expression" dxfId="4943" priority="5148">
      <formula>$E$7&lt;&gt;"Yes"</formula>
    </cfRule>
  </conditionalFormatting>
  <conditionalFormatting sqref="R178:V182">
    <cfRule type="expression" dxfId="4942" priority="5146">
      <formula>$E$7&lt;&gt;"Yes"</formula>
    </cfRule>
  </conditionalFormatting>
  <conditionalFormatting sqref="S178:S182">
    <cfRule type="expression" dxfId="4941" priority="5144">
      <formula>$E$7&lt;&gt;"Yes"</formula>
    </cfRule>
  </conditionalFormatting>
  <conditionalFormatting sqref="T178:T182">
    <cfRule type="expression" dxfId="4940" priority="5142">
      <formula>$E$7&lt;&gt;"Yes"</formula>
    </cfRule>
  </conditionalFormatting>
  <conditionalFormatting sqref="U178:U182">
    <cfRule type="expression" dxfId="4939" priority="5140">
      <formula>$E$7&lt;&gt;"Yes"</formula>
    </cfRule>
  </conditionalFormatting>
  <conditionalFormatting sqref="V178:V182">
    <cfRule type="expression" dxfId="4938" priority="5138">
      <formula>$E$7&lt;&gt;"Yes"</formula>
    </cfRule>
  </conditionalFormatting>
  <conditionalFormatting sqref="R178:V182">
    <cfRule type="expression" dxfId="4937" priority="5136">
      <formula>$E$7&lt;&gt;"Yes"</formula>
    </cfRule>
  </conditionalFormatting>
  <conditionalFormatting sqref="Z178:Z182">
    <cfRule type="expression" dxfId="4936" priority="5134">
      <formula>$E$7&lt;&gt;"Yes"</formula>
    </cfRule>
  </conditionalFormatting>
  <conditionalFormatting sqref="AN178:AO182">
    <cfRule type="expression" dxfId="4935" priority="5132">
      <formula>$E$7&lt;&gt;"Yes"</formula>
    </cfRule>
  </conditionalFormatting>
  <conditionalFormatting sqref="AI178:AI182">
    <cfRule type="expression" dxfId="4934" priority="5130">
      <formula>$E$7&lt;&gt;"Yes"</formula>
    </cfRule>
  </conditionalFormatting>
  <conditionalFormatting sqref="O180:O182">
    <cfRule type="expression" dxfId="4933" priority="5128">
      <formula>$E$7&lt;&gt;"Yes"</formula>
    </cfRule>
  </conditionalFormatting>
  <conditionalFormatting sqref="O180:O182">
    <cfRule type="expression" dxfId="4932" priority="5127">
      <formula>$E180&lt;&gt;"Yes"</formula>
    </cfRule>
  </conditionalFormatting>
  <conditionalFormatting sqref="AE181:AE182">
    <cfRule type="expression" dxfId="4931" priority="5126">
      <formula>$E$7&lt;&gt;"Yes"</formula>
    </cfRule>
  </conditionalFormatting>
  <conditionalFormatting sqref="AE181:AE182">
    <cfRule type="expression" dxfId="4930" priority="5125">
      <formula>$E181&lt;&gt;"Yes"</formula>
    </cfRule>
  </conditionalFormatting>
  <conditionalFormatting sqref="N180:N182">
    <cfRule type="expression" dxfId="4929" priority="5124">
      <formula>$E$7&lt;&gt;"Yes"</formula>
    </cfRule>
  </conditionalFormatting>
  <conditionalFormatting sqref="N180:N182">
    <cfRule type="expression" dxfId="4928" priority="5123">
      <formula>$E180&lt;&gt;"Yes"</formula>
    </cfRule>
  </conditionalFormatting>
  <conditionalFormatting sqref="Q183:V185 AN183:AO185 AF183:AK185 X183:AD185">
    <cfRule type="expression" dxfId="4927" priority="5122">
      <formula>$E183&lt;&gt;"Yes"</formula>
    </cfRule>
  </conditionalFormatting>
  <conditionalFormatting sqref="F183:J183 M183 AF183:AH185 Y183:Y185 Q183:Q185 AJ183:AK185">
    <cfRule type="expression" dxfId="4926" priority="5121">
      <formula>$E$7&lt;&gt;"Yes"</formula>
    </cfRule>
  </conditionalFormatting>
  <conditionalFormatting sqref="F183:J183 M183">
    <cfRule type="expression" dxfId="4925" priority="5120">
      <formula>$E183&lt;&gt;"Yes"</formula>
    </cfRule>
  </conditionalFormatting>
  <conditionalFormatting sqref="G183">
    <cfRule type="expression" dxfId="4924" priority="5119">
      <formula>$E$7&lt;&gt;"Yes"</formula>
    </cfRule>
  </conditionalFormatting>
  <conditionalFormatting sqref="K183:L183">
    <cfRule type="expression" dxfId="4923" priority="5118">
      <formula>$E$7&lt;&gt;"Yes"</formula>
    </cfRule>
  </conditionalFormatting>
  <conditionalFormatting sqref="K183:L183">
    <cfRule type="expression" dxfId="4922" priority="5117">
      <formula>$E183&lt;&gt;"Yes"</formula>
    </cfRule>
  </conditionalFormatting>
  <conditionalFormatting sqref="W183">
    <cfRule type="expression" dxfId="4921" priority="5116">
      <formula>$E$7&lt;&gt;"Yes"</formula>
    </cfRule>
  </conditionalFormatting>
  <conditionalFormatting sqref="W183">
    <cfRule type="expression" dxfId="4920" priority="5115">
      <formula>$E183&lt;&gt;"Yes"</formula>
    </cfRule>
  </conditionalFormatting>
  <conditionalFormatting sqref="Q183">
    <cfRule type="expression" dxfId="4919" priority="5114">
      <formula>$E$7&lt;&gt;"Yes"</formula>
    </cfRule>
  </conditionalFormatting>
  <conditionalFormatting sqref="Q183">
    <cfRule type="expression" dxfId="4918" priority="5113">
      <formula>$E183&lt;&gt;"Yes"</formula>
    </cfRule>
  </conditionalFormatting>
  <conditionalFormatting sqref="AE183">
    <cfRule type="expression" dxfId="4917" priority="5112">
      <formula>$E$7&lt;&gt;"Yes"</formula>
    </cfRule>
  </conditionalFormatting>
  <conditionalFormatting sqref="AE183">
    <cfRule type="expression" dxfId="4916" priority="5111">
      <formula>$E183&lt;&gt;"Yes"</formula>
    </cfRule>
  </conditionalFormatting>
  <conditionalFormatting sqref="G184">
    <cfRule type="expression" dxfId="4915" priority="5108">
      <formula>$E$7&lt;&gt;"Yes"</formula>
    </cfRule>
  </conditionalFormatting>
  <conditionalFormatting sqref="M184 F184:J184">
    <cfRule type="expression" dxfId="4914" priority="5110">
      <formula>$E$7&lt;&gt;"Yes"</formula>
    </cfRule>
  </conditionalFormatting>
  <conditionalFormatting sqref="M184 F184:J184">
    <cfRule type="expression" dxfId="4913" priority="5109">
      <formula>$E184&lt;&gt;"Yes"</formula>
    </cfRule>
  </conditionalFormatting>
  <conditionalFormatting sqref="K184:L184">
    <cfRule type="expression" dxfId="4912" priority="5107">
      <formula>$E$7&lt;&gt;"Yes"</formula>
    </cfRule>
  </conditionalFormatting>
  <conditionalFormatting sqref="K184:L184">
    <cfRule type="expression" dxfId="4911" priority="5106">
      <formula>$E184&lt;&gt;"Yes"</formula>
    </cfRule>
  </conditionalFormatting>
  <conditionalFormatting sqref="W184">
    <cfRule type="expression" dxfId="4910" priority="5105">
      <formula>$E$7&lt;&gt;"Yes"</formula>
    </cfRule>
  </conditionalFormatting>
  <conditionalFormatting sqref="W184">
    <cfRule type="expression" dxfId="4909" priority="5104">
      <formula>$E184&lt;&gt;"Yes"</formula>
    </cfRule>
  </conditionalFormatting>
  <conditionalFormatting sqref="Q184">
    <cfRule type="expression" dxfId="4908" priority="5103">
      <formula>$E$7&lt;&gt;"Yes"</formula>
    </cfRule>
  </conditionalFormatting>
  <conditionalFormatting sqref="Q184">
    <cfRule type="expression" dxfId="4907" priority="5102">
      <formula>$E184&lt;&gt;"Yes"</formula>
    </cfRule>
  </conditionalFormatting>
  <conditionalFormatting sqref="G185">
    <cfRule type="expression" dxfId="4906" priority="5099">
      <formula>$E$7&lt;&gt;"Yes"</formula>
    </cfRule>
  </conditionalFormatting>
  <conditionalFormatting sqref="M185 F185:J185">
    <cfRule type="expression" dxfId="4905" priority="5101">
      <formula>$E$7&lt;&gt;"Yes"</formula>
    </cfRule>
  </conditionalFormatting>
  <conditionalFormatting sqref="M185 F185:J185">
    <cfRule type="expression" dxfId="4904" priority="5100">
      <formula>$E185&lt;&gt;"Yes"</formula>
    </cfRule>
  </conditionalFormatting>
  <conditionalFormatting sqref="K185:L185">
    <cfRule type="expression" dxfId="4903" priority="5098">
      <formula>$E$7&lt;&gt;"Yes"</formula>
    </cfRule>
  </conditionalFormatting>
  <conditionalFormatting sqref="K185:L185">
    <cfRule type="expression" dxfId="4902" priority="5097">
      <formula>$E185&lt;&gt;"Yes"</formula>
    </cfRule>
  </conditionalFormatting>
  <conditionalFormatting sqref="W185">
    <cfRule type="expression" dxfId="4901" priority="5096">
      <formula>$E$7&lt;&gt;"Yes"</formula>
    </cfRule>
  </conditionalFormatting>
  <conditionalFormatting sqref="W185">
    <cfRule type="expression" dxfId="4900" priority="5095">
      <formula>$E185&lt;&gt;"Yes"</formula>
    </cfRule>
  </conditionalFormatting>
  <conditionalFormatting sqref="Q185">
    <cfRule type="expression" dxfId="4899" priority="5094">
      <formula>$E$7&lt;&gt;"Yes"</formula>
    </cfRule>
  </conditionalFormatting>
  <conditionalFormatting sqref="Q185">
    <cfRule type="expression" dxfId="4898" priority="5093">
      <formula>$E185&lt;&gt;"Yes"</formula>
    </cfRule>
  </conditionalFormatting>
  <conditionalFormatting sqref="AB183:AB185">
    <cfRule type="expression" dxfId="4897" priority="5092">
      <formula>$E$7&lt;&gt;"Yes"</formula>
    </cfRule>
  </conditionalFormatting>
  <conditionalFormatting sqref="AA183:AA185">
    <cfRule type="expression" dxfId="4896" priority="5091">
      <formula>$E$7&lt;&gt;"Yes"</formula>
    </cfRule>
  </conditionalFormatting>
  <conditionalFormatting sqref="Y183:Y185">
    <cfRule type="expression" dxfId="4895" priority="5090">
      <formula>$E$7&lt;&gt;"Yes"</formula>
    </cfRule>
  </conditionalFormatting>
  <conditionalFormatting sqref="P183">
    <cfRule type="expression" dxfId="4894" priority="5089">
      <formula>$E$7&lt;&gt;"Yes"</formula>
    </cfRule>
  </conditionalFormatting>
  <conditionalFormatting sqref="P183">
    <cfRule type="expression" dxfId="4893" priority="5088">
      <formula>$E183&lt;&gt;"Yes"</formula>
    </cfRule>
  </conditionalFormatting>
  <conditionalFormatting sqref="P184">
    <cfRule type="expression" dxfId="4892" priority="5087">
      <formula>$E$7&lt;&gt;"Yes"</formula>
    </cfRule>
  </conditionalFormatting>
  <conditionalFormatting sqref="P184">
    <cfRule type="expression" dxfId="4891" priority="5086">
      <formula>$E184&lt;&gt;"Yes"</formula>
    </cfRule>
  </conditionalFormatting>
  <conditionalFormatting sqref="P185">
    <cfRule type="expression" dxfId="4890" priority="5085">
      <formula>$E$7&lt;&gt;"Yes"</formula>
    </cfRule>
  </conditionalFormatting>
  <conditionalFormatting sqref="P185">
    <cfRule type="expression" dxfId="4889" priority="5084">
      <formula>$E185&lt;&gt;"Yes"</formula>
    </cfRule>
  </conditionalFormatting>
  <conditionalFormatting sqref="X183:X185">
    <cfRule type="expression" dxfId="4888" priority="5083">
      <formula>$E$7&lt;&gt;"Yes"</formula>
    </cfRule>
  </conditionalFormatting>
  <conditionalFormatting sqref="AD183:AD185">
    <cfRule type="expression" dxfId="4887" priority="5082">
      <formula>$E$7&lt;&gt;"Yes"</formula>
    </cfRule>
  </conditionalFormatting>
  <conditionalFormatting sqref="AC183:AC185">
    <cfRule type="expression" dxfId="4886" priority="5081">
      <formula>$E$7&lt;&gt;"Yes"</formula>
    </cfRule>
  </conditionalFormatting>
  <conditionalFormatting sqref="R183:V185">
    <cfRule type="expression" dxfId="4885" priority="5080">
      <formula>$E$7&lt;&gt;"Yes"</formula>
    </cfRule>
  </conditionalFormatting>
  <conditionalFormatting sqref="S183:S185">
    <cfRule type="expression" dxfId="4884" priority="5079">
      <formula>$E$7&lt;&gt;"Yes"</formula>
    </cfRule>
  </conditionalFormatting>
  <conditionalFormatting sqref="T183:T185">
    <cfRule type="expression" dxfId="4883" priority="5078">
      <formula>$E$7&lt;&gt;"Yes"</formula>
    </cfRule>
  </conditionalFormatting>
  <conditionalFormatting sqref="U183:U185">
    <cfRule type="expression" dxfId="4882" priority="5077">
      <formula>$E$7&lt;&gt;"Yes"</formula>
    </cfRule>
  </conditionalFormatting>
  <conditionalFormatting sqref="V183:V185">
    <cfRule type="expression" dxfId="4881" priority="5076">
      <formula>$E$7&lt;&gt;"Yes"</formula>
    </cfRule>
  </conditionalFormatting>
  <conditionalFormatting sqref="R183:V185">
    <cfRule type="expression" dxfId="4880" priority="5075">
      <formula>$E$7&lt;&gt;"Yes"</formula>
    </cfRule>
  </conditionalFormatting>
  <conditionalFormatting sqref="Z183:Z185">
    <cfRule type="expression" dxfId="4879" priority="5074">
      <formula>$E$7&lt;&gt;"Yes"</formula>
    </cfRule>
  </conditionalFormatting>
  <conditionalFormatting sqref="AN183:AO185">
    <cfRule type="expression" dxfId="4878" priority="5073">
      <formula>$E$7&lt;&gt;"Yes"</formula>
    </cfRule>
  </conditionalFormatting>
  <conditionalFormatting sqref="AI183:AI185">
    <cfRule type="expression" dxfId="4877" priority="5072">
      <formula>$E$7&lt;&gt;"Yes"</formula>
    </cfRule>
  </conditionalFormatting>
  <conditionalFormatting sqref="O183:O185">
    <cfRule type="expression" dxfId="4876" priority="5071">
      <formula>$E$7&lt;&gt;"Yes"</formula>
    </cfRule>
  </conditionalFormatting>
  <conditionalFormatting sqref="O183:O185">
    <cfRule type="expression" dxfId="4875" priority="5070">
      <formula>$E183&lt;&gt;"Yes"</formula>
    </cfRule>
  </conditionalFormatting>
  <conditionalFormatting sqref="AE184:AE185">
    <cfRule type="expression" dxfId="4874" priority="5069">
      <formula>$E$7&lt;&gt;"Yes"</formula>
    </cfRule>
  </conditionalFormatting>
  <conditionalFormatting sqref="AE184:AE185">
    <cfRule type="expression" dxfId="4873" priority="5068">
      <formula>$E184&lt;&gt;"Yes"</formula>
    </cfRule>
  </conditionalFormatting>
  <conditionalFormatting sqref="N183:N185">
    <cfRule type="expression" dxfId="4872" priority="5067">
      <formula>$E$7&lt;&gt;"Yes"</formula>
    </cfRule>
  </conditionalFormatting>
  <conditionalFormatting sqref="N183:N185">
    <cfRule type="expression" dxfId="4871" priority="5066">
      <formula>$E183&lt;&gt;"Yes"</formula>
    </cfRule>
  </conditionalFormatting>
  <conditionalFormatting sqref="Q181:Q182">
    <cfRule type="expression" dxfId="4870" priority="5065">
      <formula>$E$7&lt;&gt;"Yes"</formula>
    </cfRule>
  </conditionalFormatting>
  <conditionalFormatting sqref="Q181:Q182">
    <cfRule type="expression" dxfId="4869" priority="5064">
      <formula>$E181&lt;&gt;"Yes"</formula>
    </cfRule>
  </conditionalFormatting>
  <conditionalFormatting sqref="Q186:V188 AN186:AO188 AF186:AK188 X186:AD188">
    <cfRule type="expression" dxfId="4868" priority="5063">
      <formula>$E186&lt;&gt;"Yes"</formula>
    </cfRule>
  </conditionalFormatting>
  <conditionalFormatting sqref="F186:J186 M186 AF186:AH188 Y186:Y188 Q186:Q188 AJ186:AK188">
    <cfRule type="expression" dxfId="4867" priority="5062">
      <formula>$E$7&lt;&gt;"Yes"</formula>
    </cfRule>
  </conditionalFormatting>
  <conditionalFormatting sqref="F186:J186 M186">
    <cfRule type="expression" dxfId="4866" priority="5061">
      <formula>$E186&lt;&gt;"Yes"</formula>
    </cfRule>
  </conditionalFormatting>
  <conditionalFormatting sqref="G186">
    <cfRule type="expression" dxfId="4865" priority="5060">
      <formula>$E$7&lt;&gt;"Yes"</formula>
    </cfRule>
  </conditionalFormatting>
  <conditionalFormatting sqref="K186:L186">
    <cfRule type="expression" dxfId="4864" priority="5059">
      <formula>$E$7&lt;&gt;"Yes"</formula>
    </cfRule>
  </conditionalFormatting>
  <conditionalFormatting sqref="K186:L186">
    <cfRule type="expression" dxfId="4863" priority="5058">
      <formula>$E186&lt;&gt;"Yes"</formula>
    </cfRule>
  </conditionalFormatting>
  <conditionalFormatting sqref="W186">
    <cfRule type="expression" dxfId="4862" priority="5057">
      <formula>$E$7&lt;&gt;"Yes"</formula>
    </cfRule>
  </conditionalFormatting>
  <conditionalFormatting sqref="W186">
    <cfRule type="expression" dxfId="4861" priority="5056">
      <formula>$E186&lt;&gt;"Yes"</formula>
    </cfRule>
  </conditionalFormatting>
  <conditionalFormatting sqref="Q186">
    <cfRule type="expression" dxfId="4860" priority="5055">
      <formula>$E$7&lt;&gt;"Yes"</formula>
    </cfRule>
  </conditionalFormatting>
  <conditionalFormatting sqref="Q186">
    <cfRule type="expression" dxfId="4859" priority="5054">
      <formula>$E186&lt;&gt;"Yes"</formula>
    </cfRule>
  </conditionalFormatting>
  <conditionalFormatting sqref="AE186">
    <cfRule type="expression" dxfId="4858" priority="5053">
      <formula>$E$7&lt;&gt;"Yes"</formula>
    </cfRule>
  </conditionalFormatting>
  <conditionalFormatting sqref="AE186">
    <cfRule type="expression" dxfId="4857" priority="5052">
      <formula>$E186&lt;&gt;"Yes"</formula>
    </cfRule>
  </conditionalFormatting>
  <conditionalFormatting sqref="G187">
    <cfRule type="expression" dxfId="4856" priority="5049">
      <formula>$E$7&lt;&gt;"Yes"</formula>
    </cfRule>
  </conditionalFormatting>
  <conditionalFormatting sqref="M187 F187:J187">
    <cfRule type="expression" dxfId="4855" priority="5051">
      <formula>$E$7&lt;&gt;"Yes"</formula>
    </cfRule>
  </conditionalFormatting>
  <conditionalFormatting sqref="M187 F187:J187">
    <cfRule type="expression" dxfId="4854" priority="5050">
      <formula>$E187&lt;&gt;"Yes"</formula>
    </cfRule>
  </conditionalFormatting>
  <conditionalFormatting sqref="K187:L187">
    <cfRule type="expression" dxfId="4853" priority="5048">
      <formula>$E$7&lt;&gt;"Yes"</formula>
    </cfRule>
  </conditionalFormatting>
  <conditionalFormatting sqref="K187:L187">
    <cfRule type="expression" dxfId="4852" priority="5047">
      <formula>$E187&lt;&gt;"Yes"</formula>
    </cfRule>
  </conditionalFormatting>
  <conditionalFormatting sqref="W187">
    <cfRule type="expression" dxfId="4851" priority="5046">
      <formula>$E$7&lt;&gt;"Yes"</formula>
    </cfRule>
  </conditionalFormatting>
  <conditionalFormatting sqref="W187">
    <cfRule type="expression" dxfId="4850" priority="5045">
      <formula>$E187&lt;&gt;"Yes"</formula>
    </cfRule>
  </conditionalFormatting>
  <conditionalFormatting sqref="Q187">
    <cfRule type="expression" dxfId="4849" priority="5044">
      <formula>$E$7&lt;&gt;"Yes"</formula>
    </cfRule>
  </conditionalFormatting>
  <conditionalFormatting sqref="Q187">
    <cfRule type="expression" dxfId="4848" priority="5043">
      <formula>$E187&lt;&gt;"Yes"</formula>
    </cfRule>
  </conditionalFormatting>
  <conditionalFormatting sqref="G188">
    <cfRule type="expression" dxfId="4847" priority="5040">
      <formula>$E$7&lt;&gt;"Yes"</formula>
    </cfRule>
  </conditionalFormatting>
  <conditionalFormatting sqref="M188 F188:J188">
    <cfRule type="expression" dxfId="4846" priority="5042">
      <formula>$E$7&lt;&gt;"Yes"</formula>
    </cfRule>
  </conditionalFormatting>
  <conditionalFormatting sqref="M188 F188:J188">
    <cfRule type="expression" dxfId="4845" priority="5041">
      <formula>$E188&lt;&gt;"Yes"</formula>
    </cfRule>
  </conditionalFormatting>
  <conditionalFormatting sqref="K188:L188">
    <cfRule type="expression" dxfId="4844" priority="5039">
      <formula>$E$7&lt;&gt;"Yes"</formula>
    </cfRule>
  </conditionalFormatting>
  <conditionalFormatting sqref="K188:L188">
    <cfRule type="expression" dxfId="4843" priority="5038">
      <formula>$E188&lt;&gt;"Yes"</formula>
    </cfRule>
  </conditionalFormatting>
  <conditionalFormatting sqref="W188">
    <cfRule type="expression" dxfId="4842" priority="5037">
      <formula>$E$7&lt;&gt;"Yes"</formula>
    </cfRule>
  </conditionalFormatting>
  <conditionalFormatting sqref="W188">
    <cfRule type="expression" dxfId="4841" priority="5036">
      <formula>$E188&lt;&gt;"Yes"</formula>
    </cfRule>
  </conditionalFormatting>
  <conditionalFormatting sqref="Q188">
    <cfRule type="expression" dxfId="4840" priority="5035">
      <formula>$E$7&lt;&gt;"Yes"</formula>
    </cfRule>
  </conditionalFormatting>
  <conditionalFormatting sqref="Q188">
    <cfRule type="expression" dxfId="4839" priority="5034">
      <formula>$E188&lt;&gt;"Yes"</formula>
    </cfRule>
  </conditionalFormatting>
  <conditionalFormatting sqref="AB186:AB188">
    <cfRule type="expression" dxfId="4838" priority="5033">
      <formula>$E$7&lt;&gt;"Yes"</formula>
    </cfRule>
  </conditionalFormatting>
  <conditionalFormatting sqref="AA186:AA188">
    <cfRule type="expression" dxfId="4837" priority="5032">
      <formula>$E$7&lt;&gt;"Yes"</formula>
    </cfRule>
  </conditionalFormatting>
  <conditionalFormatting sqref="Y186:Y188">
    <cfRule type="expression" dxfId="4836" priority="5031">
      <formula>$E$7&lt;&gt;"Yes"</formula>
    </cfRule>
  </conditionalFormatting>
  <conditionalFormatting sqref="P186">
    <cfRule type="expression" dxfId="4835" priority="5030">
      <formula>$E$7&lt;&gt;"Yes"</formula>
    </cfRule>
  </conditionalFormatting>
  <conditionalFormatting sqref="P186">
    <cfRule type="expression" dxfId="4834" priority="5029">
      <formula>$E186&lt;&gt;"Yes"</formula>
    </cfRule>
  </conditionalFormatting>
  <conditionalFormatting sqref="P187">
    <cfRule type="expression" dxfId="4833" priority="5028">
      <formula>$E$7&lt;&gt;"Yes"</formula>
    </cfRule>
  </conditionalFormatting>
  <conditionalFormatting sqref="P187">
    <cfRule type="expression" dxfId="4832" priority="5027">
      <formula>$E187&lt;&gt;"Yes"</formula>
    </cfRule>
  </conditionalFormatting>
  <conditionalFormatting sqref="P188">
    <cfRule type="expression" dxfId="4831" priority="5026">
      <formula>$E$7&lt;&gt;"Yes"</formula>
    </cfRule>
  </conditionalFormatting>
  <conditionalFormatting sqref="P188">
    <cfRule type="expression" dxfId="4830" priority="5025">
      <formula>$E188&lt;&gt;"Yes"</formula>
    </cfRule>
  </conditionalFormatting>
  <conditionalFormatting sqref="X186:X188">
    <cfRule type="expression" dxfId="4829" priority="5024">
      <formula>$E$7&lt;&gt;"Yes"</formula>
    </cfRule>
  </conditionalFormatting>
  <conditionalFormatting sqref="AD186:AD188">
    <cfRule type="expression" dxfId="4828" priority="5023">
      <formula>$E$7&lt;&gt;"Yes"</formula>
    </cfRule>
  </conditionalFormatting>
  <conditionalFormatting sqref="AC186:AC188">
    <cfRule type="expression" dxfId="4827" priority="5022">
      <formula>$E$7&lt;&gt;"Yes"</formula>
    </cfRule>
  </conditionalFormatting>
  <conditionalFormatting sqref="R186:V188">
    <cfRule type="expression" dxfId="4826" priority="5021">
      <formula>$E$7&lt;&gt;"Yes"</formula>
    </cfRule>
  </conditionalFormatting>
  <conditionalFormatting sqref="S186:S188">
    <cfRule type="expression" dxfId="4825" priority="5020">
      <formula>$E$7&lt;&gt;"Yes"</formula>
    </cfRule>
  </conditionalFormatting>
  <conditionalFormatting sqref="T186:T188">
    <cfRule type="expression" dxfId="4824" priority="5019">
      <formula>$E$7&lt;&gt;"Yes"</formula>
    </cfRule>
  </conditionalFormatting>
  <conditionalFormatting sqref="U186:U188">
    <cfRule type="expression" dxfId="4823" priority="5018">
      <formula>$E$7&lt;&gt;"Yes"</formula>
    </cfRule>
  </conditionalFormatting>
  <conditionalFormatting sqref="V186:V188">
    <cfRule type="expression" dxfId="4822" priority="5017">
      <formula>$E$7&lt;&gt;"Yes"</formula>
    </cfRule>
  </conditionalFormatting>
  <conditionalFormatting sqref="R186:V188">
    <cfRule type="expression" dxfId="4821" priority="5016">
      <formula>$E$7&lt;&gt;"Yes"</formula>
    </cfRule>
  </conditionalFormatting>
  <conditionalFormatting sqref="Z186:Z188">
    <cfRule type="expression" dxfId="4820" priority="5015">
      <formula>$E$7&lt;&gt;"Yes"</formula>
    </cfRule>
  </conditionalFormatting>
  <conditionalFormatting sqref="AN186:AO188">
    <cfRule type="expression" dxfId="4819" priority="5014">
      <formula>$E$7&lt;&gt;"Yes"</formula>
    </cfRule>
  </conditionalFormatting>
  <conditionalFormatting sqref="AI186:AI188">
    <cfRule type="expression" dxfId="4818" priority="5013">
      <formula>$E$7&lt;&gt;"Yes"</formula>
    </cfRule>
  </conditionalFormatting>
  <conditionalFormatting sqref="O186:O188">
    <cfRule type="expression" dxfId="4817" priority="5012">
      <formula>$E$7&lt;&gt;"Yes"</formula>
    </cfRule>
  </conditionalFormatting>
  <conditionalFormatting sqref="O186:O188">
    <cfRule type="expression" dxfId="4816" priority="5011">
      <formula>$E186&lt;&gt;"Yes"</formula>
    </cfRule>
  </conditionalFormatting>
  <conditionalFormatting sqref="AE187:AE188">
    <cfRule type="expression" dxfId="4815" priority="5010">
      <formula>$E$7&lt;&gt;"Yes"</formula>
    </cfRule>
  </conditionalFormatting>
  <conditionalFormatting sqref="AE187:AE188">
    <cfRule type="expression" dxfId="4814" priority="5009">
      <formula>$E187&lt;&gt;"Yes"</formula>
    </cfRule>
  </conditionalFormatting>
  <conditionalFormatting sqref="N186:N188">
    <cfRule type="expression" dxfId="4813" priority="5008">
      <formula>$E$7&lt;&gt;"Yes"</formula>
    </cfRule>
  </conditionalFormatting>
  <conditionalFormatting sqref="N186:N188">
    <cfRule type="expression" dxfId="4812" priority="5007">
      <formula>$E186&lt;&gt;"Yes"</formula>
    </cfRule>
  </conditionalFormatting>
  <conditionalFormatting sqref="F93:J93 Q93 M93:N93 AJ93:AK93 AF93:AH93 Y93">
    <cfRule type="expression" dxfId="4811" priority="5006">
      <formula>$E$7&lt;&gt;"Yes"</formula>
    </cfRule>
  </conditionalFormatting>
  <conditionalFormatting sqref="F93:J93 Q93 M93:N93 AJ93:AK93 AF93:AH93 Y93">
    <cfRule type="expression" dxfId="4810" priority="5005">
      <formula>$E93&lt;&gt;"Yes"</formula>
    </cfRule>
  </conditionalFormatting>
  <conditionalFormatting sqref="G93">
    <cfRule type="expression" dxfId="4809" priority="5004">
      <formula>$E$7&lt;&gt;"Yes"</formula>
    </cfRule>
  </conditionalFormatting>
  <conditionalFormatting sqref="K93:L93">
    <cfRule type="expression" dxfId="4808" priority="5003">
      <formula>$E$7&lt;&gt;"Yes"</formula>
    </cfRule>
  </conditionalFormatting>
  <conditionalFormatting sqref="K93:L93">
    <cfRule type="expression" dxfId="4807" priority="5002">
      <formula>$E93&lt;&gt;"Yes"</formula>
    </cfRule>
  </conditionalFormatting>
  <conditionalFormatting sqref="W93">
    <cfRule type="expression" dxfId="4806" priority="5001">
      <formula>$E$7&lt;&gt;"Yes"</formula>
    </cfRule>
  </conditionalFormatting>
  <conditionalFormatting sqref="W93">
    <cfRule type="expression" dxfId="4805" priority="5000">
      <formula>$E93&lt;&gt;"Yes"</formula>
    </cfRule>
  </conditionalFormatting>
  <conditionalFormatting sqref="AE93">
    <cfRule type="expression" dxfId="4804" priority="4999">
      <formula>$E$7&lt;&gt;"Yes"</formula>
    </cfRule>
  </conditionalFormatting>
  <conditionalFormatting sqref="AE93">
    <cfRule type="expression" dxfId="4803" priority="4998">
      <formula>$E93&lt;&gt;"Yes"</formula>
    </cfRule>
  </conditionalFormatting>
  <conditionalFormatting sqref="AB93">
    <cfRule type="expression" dxfId="4802" priority="4997">
      <formula>$E$7&lt;&gt;"Yes"</formula>
    </cfRule>
  </conditionalFormatting>
  <conditionalFormatting sqref="AB93">
    <cfRule type="expression" dxfId="4801" priority="4996">
      <formula>$E93&lt;&gt;"Yes"</formula>
    </cfRule>
  </conditionalFormatting>
  <conditionalFormatting sqref="AA93">
    <cfRule type="expression" dxfId="4800" priority="4995">
      <formula>$E$7&lt;&gt;"Yes"</formula>
    </cfRule>
  </conditionalFormatting>
  <conditionalFormatting sqref="AA93">
    <cfRule type="expression" dxfId="4799" priority="4994">
      <formula>$E93&lt;&gt;"Yes"</formula>
    </cfRule>
  </conditionalFormatting>
  <conditionalFormatting sqref="Y93">
    <cfRule type="expression" dxfId="4798" priority="4993">
      <formula>$E$7&lt;&gt;"Yes"</formula>
    </cfRule>
  </conditionalFormatting>
  <conditionalFormatting sqref="Y93">
    <cfRule type="expression" dxfId="4797" priority="4992">
      <formula>$E93&lt;&gt;"Yes"</formula>
    </cfRule>
  </conditionalFormatting>
  <conditionalFormatting sqref="O93:P93">
    <cfRule type="expression" dxfId="4796" priority="4991">
      <formula>$E$7&lt;&gt;"Yes"</formula>
    </cfRule>
  </conditionalFormatting>
  <conditionalFormatting sqref="O93:P93">
    <cfRule type="expression" dxfId="4795" priority="4990">
      <formula>$E93&lt;&gt;"Yes"</formula>
    </cfRule>
  </conditionalFormatting>
  <conditionalFormatting sqref="X93">
    <cfRule type="expression" dxfId="4794" priority="4989">
      <formula>$E$7&lt;&gt;"Yes"</formula>
    </cfRule>
  </conditionalFormatting>
  <conditionalFormatting sqref="X93">
    <cfRule type="expression" dxfId="4793" priority="4988">
      <formula>$E93&lt;&gt;"Yes"</formula>
    </cfRule>
  </conditionalFormatting>
  <conditionalFormatting sqref="AD93">
    <cfRule type="expression" dxfId="4792" priority="4987">
      <formula>$E$7&lt;&gt;"Yes"</formula>
    </cfRule>
  </conditionalFormatting>
  <conditionalFormatting sqref="AD93">
    <cfRule type="expression" dxfId="4791" priority="4986">
      <formula>$E93&lt;&gt;"Yes"</formula>
    </cfRule>
  </conditionalFormatting>
  <conditionalFormatting sqref="AC93">
    <cfRule type="expression" dxfId="4790" priority="4985">
      <formula>$E$7&lt;&gt;"Yes"</formula>
    </cfRule>
  </conditionalFormatting>
  <conditionalFormatting sqref="AC93">
    <cfRule type="expression" dxfId="4789" priority="4984">
      <formula>$E93&lt;&gt;"Yes"</formula>
    </cfRule>
  </conditionalFormatting>
  <conditionalFormatting sqref="R93:V93">
    <cfRule type="expression" dxfId="4788" priority="4983">
      <formula>$E$7&lt;&gt;"Yes"</formula>
    </cfRule>
  </conditionalFormatting>
  <conditionalFormatting sqref="R93:V93">
    <cfRule type="expression" dxfId="4787" priority="4982">
      <formula>$E93&lt;&gt;"Yes"</formula>
    </cfRule>
  </conditionalFormatting>
  <conditionalFormatting sqref="S93">
    <cfRule type="expression" dxfId="4786" priority="4981">
      <formula>$E$7&lt;&gt;"Yes"</formula>
    </cfRule>
  </conditionalFormatting>
  <conditionalFormatting sqref="S93">
    <cfRule type="expression" dxfId="4785" priority="4980">
      <formula>$E93&lt;&gt;"Yes"</formula>
    </cfRule>
  </conditionalFormatting>
  <conditionalFormatting sqref="T93">
    <cfRule type="expression" dxfId="4784" priority="4979">
      <formula>$E$7&lt;&gt;"Yes"</formula>
    </cfRule>
  </conditionalFormatting>
  <conditionalFormatting sqref="T93">
    <cfRule type="expression" dxfId="4783" priority="4978">
      <formula>$E93&lt;&gt;"Yes"</formula>
    </cfRule>
  </conditionalFormatting>
  <conditionalFormatting sqref="U93">
    <cfRule type="expression" dxfId="4782" priority="4977">
      <formula>$E$7&lt;&gt;"Yes"</formula>
    </cfRule>
  </conditionalFormatting>
  <conditionalFormatting sqref="U93">
    <cfRule type="expression" dxfId="4781" priority="4976">
      <formula>$E93&lt;&gt;"Yes"</formula>
    </cfRule>
  </conditionalFormatting>
  <conditionalFormatting sqref="V93">
    <cfRule type="expression" dxfId="4780" priority="4975">
      <formula>$E$7&lt;&gt;"Yes"</formula>
    </cfRule>
  </conditionalFormatting>
  <conditionalFormatting sqref="V93">
    <cfRule type="expression" dxfId="4779" priority="4974">
      <formula>$E93&lt;&gt;"Yes"</formula>
    </cfRule>
  </conditionalFormatting>
  <conditionalFormatting sqref="R93:V93">
    <cfRule type="expression" dxfId="4778" priority="4973">
      <formula>$E$7&lt;&gt;"Yes"</formula>
    </cfRule>
  </conditionalFormatting>
  <conditionalFormatting sqref="R93:V93">
    <cfRule type="expression" dxfId="4777" priority="4972">
      <formula>$E93&lt;&gt;"Yes"</formula>
    </cfRule>
  </conditionalFormatting>
  <conditionalFormatting sqref="Z93">
    <cfRule type="expression" dxfId="4776" priority="4971">
      <formula>$E$7&lt;&gt;"Yes"</formula>
    </cfRule>
  </conditionalFormatting>
  <conditionalFormatting sqref="Z93">
    <cfRule type="expression" dxfId="4775" priority="4970">
      <formula>$E93&lt;&gt;"Yes"</formula>
    </cfRule>
  </conditionalFormatting>
  <conditionalFormatting sqref="AN93:AO93">
    <cfRule type="expression" dxfId="4774" priority="4969">
      <formula>$E$7&lt;&gt;"Yes"</formula>
    </cfRule>
  </conditionalFormatting>
  <conditionalFormatting sqref="AN93:AO93">
    <cfRule type="expression" dxfId="4773" priority="4968">
      <formula>$E93&lt;&gt;"Yes"</formula>
    </cfRule>
  </conditionalFormatting>
  <conditionalFormatting sqref="AI93">
    <cfRule type="expression" dxfId="4772" priority="4967">
      <formula>$E$7&lt;&gt;"Yes"</formula>
    </cfRule>
  </conditionalFormatting>
  <conditionalFormatting sqref="AI93">
    <cfRule type="expression" dxfId="4771" priority="4966">
      <formula>$E93&lt;&gt;"Yes"</formula>
    </cfRule>
  </conditionalFormatting>
  <conditionalFormatting sqref="F94:J94 Q94 M94:N94 AJ94:AK94 AF94:AH94 Y94">
    <cfRule type="expression" dxfId="4770" priority="4965">
      <formula>$E$7&lt;&gt;"Yes"</formula>
    </cfRule>
  </conditionalFormatting>
  <conditionalFormatting sqref="F94:J94 Q94 M94:N94 AJ94:AK94 AF94:AH94 Y94">
    <cfRule type="expression" dxfId="4769" priority="4964">
      <formula>$E94&lt;&gt;"Yes"</formula>
    </cfRule>
  </conditionalFormatting>
  <conditionalFormatting sqref="G94">
    <cfRule type="expression" dxfId="4768" priority="4963">
      <formula>$E$7&lt;&gt;"Yes"</formula>
    </cfRule>
  </conditionalFormatting>
  <conditionalFormatting sqref="K94:L94">
    <cfRule type="expression" dxfId="4767" priority="4962">
      <formula>$E$7&lt;&gt;"Yes"</formula>
    </cfRule>
  </conditionalFormatting>
  <conditionalFormatting sqref="K94:L94">
    <cfRule type="expression" dxfId="4766" priority="4961">
      <formula>$E94&lt;&gt;"Yes"</formula>
    </cfRule>
  </conditionalFormatting>
  <conditionalFormatting sqref="W94">
    <cfRule type="expression" dxfId="4765" priority="4960">
      <formula>$E$7&lt;&gt;"Yes"</formula>
    </cfRule>
  </conditionalFormatting>
  <conditionalFormatting sqref="W94">
    <cfRule type="expression" dxfId="4764" priority="4959">
      <formula>$E94&lt;&gt;"Yes"</formula>
    </cfRule>
  </conditionalFormatting>
  <conditionalFormatting sqref="AE94">
    <cfRule type="expression" dxfId="4763" priority="4958">
      <formula>$E$7&lt;&gt;"Yes"</formula>
    </cfRule>
  </conditionalFormatting>
  <conditionalFormatting sqref="AE94">
    <cfRule type="expression" dxfId="4762" priority="4957">
      <formula>$E94&lt;&gt;"Yes"</formula>
    </cfRule>
  </conditionalFormatting>
  <conditionalFormatting sqref="AB94">
    <cfRule type="expression" dxfId="4761" priority="4956">
      <formula>$E$7&lt;&gt;"Yes"</formula>
    </cfRule>
  </conditionalFormatting>
  <conditionalFormatting sqref="AB94">
    <cfRule type="expression" dxfId="4760" priority="4955">
      <formula>$E94&lt;&gt;"Yes"</formula>
    </cfRule>
  </conditionalFormatting>
  <conditionalFormatting sqref="AA94">
    <cfRule type="expression" dxfId="4759" priority="4954">
      <formula>$E$7&lt;&gt;"Yes"</formula>
    </cfRule>
  </conditionalFormatting>
  <conditionalFormatting sqref="AA94">
    <cfRule type="expression" dxfId="4758" priority="4953">
      <formula>$E94&lt;&gt;"Yes"</formula>
    </cfRule>
  </conditionalFormatting>
  <conditionalFormatting sqref="Y94">
    <cfRule type="expression" dxfId="4757" priority="4952">
      <formula>$E$7&lt;&gt;"Yes"</formula>
    </cfRule>
  </conditionalFormatting>
  <conditionalFormatting sqref="Y94">
    <cfRule type="expression" dxfId="4756" priority="4951">
      <formula>$E94&lt;&gt;"Yes"</formula>
    </cfRule>
  </conditionalFormatting>
  <conditionalFormatting sqref="O94:P94">
    <cfRule type="expression" dxfId="4755" priority="4950">
      <formula>$E$7&lt;&gt;"Yes"</formula>
    </cfRule>
  </conditionalFormatting>
  <conditionalFormatting sqref="O94:P94">
    <cfRule type="expression" dxfId="4754" priority="4949">
      <formula>$E94&lt;&gt;"Yes"</formula>
    </cfRule>
  </conditionalFormatting>
  <conditionalFormatting sqref="X94">
    <cfRule type="expression" dxfId="4753" priority="4948">
      <formula>$E$7&lt;&gt;"Yes"</formula>
    </cfRule>
  </conditionalFormatting>
  <conditionalFormatting sqref="X94">
    <cfRule type="expression" dxfId="4752" priority="4947">
      <formula>$E94&lt;&gt;"Yes"</formula>
    </cfRule>
  </conditionalFormatting>
  <conditionalFormatting sqref="AD94">
    <cfRule type="expression" dxfId="4751" priority="4946">
      <formula>$E$7&lt;&gt;"Yes"</formula>
    </cfRule>
  </conditionalFormatting>
  <conditionalFormatting sqref="AD94">
    <cfRule type="expression" dxfId="4750" priority="4945">
      <formula>$E94&lt;&gt;"Yes"</formula>
    </cfRule>
  </conditionalFormatting>
  <conditionalFormatting sqref="AC94">
    <cfRule type="expression" dxfId="4749" priority="4944">
      <formula>$E$7&lt;&gt;"Yes"</formula>
    </cfRule>
  </conditionalFormatting>
  <conditionalFormatting sqref="AC94">
    <cfRule type="expression" dxfId="4748" priority="4943">
      <formula>$E94&lt;&gt;"Yes"</formula>
    </cfRule>
  </conditionalFormatting>
  <conditionalFormatting sqref="R94:V94">
    <cfRule type="expression" dxfId="4747" priority="4942">
      <formula>$E$7&lt;&gt;"Yes"</formula>
    </cfRule>
  </conditionalFormatting>
  <conditionalFormatting sqref="R94:V94">
    <cfRule type="expression" dxfId="4746" priority="4941">
      <formula>$E94&lt;&gt;"Yes"</formula>
    </cfRule>
  </conditionalFormatting>
  <conditionalFormatting sqref="S94">
    <cfRule type="expression" dxfId="4745" priority="4940">
      <formula>$E$7&lt;&gt;"Yes"</formula>
    </cfRule>
  </conditionalFormatting>
  <conditionalFormatting sqref="S94">
    <cfRule type="expression" dxfId="4744" priority="4939">
      <formula>$E94&lt;&gt;"Yes"</formula>
    </cfRule>
  </conditionalFormatting>
  <conditionalFormatting sqref="T94">
    <cfRule type="expression" dxfId="4743" priority="4938">
      <formula>$E$7&lt;&gt;"Yes"</formula>
    </cfRule>
  </conditionalFormatting>
  <conditionalFormatting sqref="T94">
    <cfRule type="expression" dxfId="4742" priority="4937">
      <formula>$E94&lt;&gt;"Yes"</formula>
    </cfRule>
  </conditionalFormatting>
  <conditionalFormatting sqref="U94">
    <cfRule type="expression" dxfId="4741" priority="4936">
      <formula>$E$7&lt;&gt;"Yes"</formula>
    </cfRule>
  </conditionalFormatting>
  <conditionalFormatting sqref="U94">
    <cfRule type="expression" dxfId="4740" priority="4935">
      <formula>$E94&lt;&gt;"Yes"</formula>
    </cfRule>
  </conditionalFormatting>
  <conditionalFormatting sqref="V94">
    <cfRule type="expression" dxfId="4739" priority="4934">
      <formula>$E$7&lt;&gt;"Yes"</formula>
    </cfRule>
  </conditionalFormatting>
  <conditionalFormatting sqref="V94">
    <cfRule type="expression" dxfId="4738" priority="4933">
      <formula>$E94&lt;&gt;"Yes"</formula>
    </cfRule>
  </conditionalFormatting>
  <conditionalFormatting sqref="R94:V94">
    <cfRule type="expression" dxfId="4737" priority="4932">
      <formula>$E$7&lt;&gt;"Yes"</formula>
    </cfRule>
  </conditionalFormatting>
  <conditionalFormatting sqref="R94:V94">
    <cfRule type="expression" dxfId="4736" priority="4931">
      <formula>$E94&lt;&gt;"Yes"</formula>
    </cfRule>
  </conditionalFormatting>
  <conditionalFormatting sqref="Z94">
    <cfRule type="expression" dxfId="4735" priority="4930">
      <formula>$E$7&lt;&gt;"Yes"</formula>
    </cfRule>
  </conditionalFormatting>
  <conditionalFormatting sqref="Z94">
    <cfRule type="expression" dxfId="4734" priority="4929">
      <formula>$E94&lt;&gt;"Yes"</formula>
    </cfRule>
  </conditionalFormatting>
  <conditionalFormatting sqref="AN94:AO94">
    <cfRule type="expression" dxfId="4733" priority="4928">
      <formula>$E$7&lt;&gt;"Yes"</formula>
    </cfRule>
  </conditionalFormatting>
  <conditionalFormatting sqref="AN94:AO94">
    <cfRule type="expression" dxfId="4732" priority="4927">
      <formula>$E94&lt;&gt;"Yes"</formula>
    </cfRule>
  </conditionalFormatting>
  <conditionalFormatting sqref="AI94">
    <cfRule type="expression" dxfId="4731" priority="4926">
      <formula>$E$7&lt;&gt;"Yes"</formula>
    </cfRule>
  </conditionalFormatting>
  <conditionalFormatting sqref="AI94">
    <cfRule type="expression" dxfId="4730" priority="4925">
      <formula>$E94&lt;&gt;"Yes"</formula>
    </cfRule>
  </conditionalFormatting>
  <conditionalFormatting sqref="F173:J173 AF173:AH173 Y173 M173:N173 Q173 AJ173:AK173">
    <cfRule type="expression" dxfId="4729" priority="4924">
      <formula>$E$7&lt;&gt;"Yes"</formula>
    </cfRule>
  </conditionalFormatting>
  <conditionalFormatting sqref="F173:J173 AF173:AH173 Y173 M173:N173 Q173 AJ173:AK173">
    <cfRule type="expression" dxfId="4728" priority="4923">
      <formula>$E173&lt;&gt;"Yes"</formula>
    </cfRule>
  </conditionalFormatting>
  <conditionalFormatting sqref="G173">
    <cfRule type="expression" dxfId="4727" priority="4922">
      <formula>$E$7&lt;&gt;"Yes"</formula>
    </cfRule>
  </conditionalFormatting>
  <conditionalFormatting sqref="K173:L173">
    <cfRule type="expression" dxfId="4726" priority="4921">
      <formula>$E$7&lt;&gt;"Yes"</formula>
    </cfRule>
  </conditionalFormatting>
  <conditionalFormatting sqref="K173:L173">
    <cfRule type="expression" dxfId="4725" priority="4920">
      <formula>$E173&lt;&gt;"Yes"</formula>
    </cfRule>
  </conditionalFormatting>
  <conditionalFormatting sqref="W173">
    <cfRule type="expression" dxfId="4724" priority="4919">
      <formula>$E$7&lt;&gt;"Yes"</formula>
    </cfRule>
  </conditionalFormatting>
  <conditionalFormatting sqref="W173">
    <cfRule type="expression" dxfId="4723" priority="4918">
      <formula>$E173&lt;&gt;"Yes"</formula>
    </cfRule>
  </conditionalFormatting>
  <conditionalFormatting sqref="AE173">
    <cfRule type="expression" dxfId="4722" priority="4917">
      <formula>$E$7&lt;&gt;"Yes"</formula>
    </cfRule>
  </conditionalFormatting>
  <conditionalFormatting sqref="AE173">
    <cfRule type="expression" dxfId="4721" priority="4916">
      <formula>$E173&lt;&gt;"Yes"</formula>
    </cfRule>
  </conditionalFormatting>
  <conditionalFormatting sqref="AB173">
    <cfRule type="expression" dxfId="4720" priority="4915">
      <formula>$E$7&lt;&gt;"Yes"</formula>
    </cfRule>
  </conditionalFormatting>
  <conditionalFormatting sqref="AB173">
    <cfRule type="expression" dxfId="4719" priority="4914">
      <formula>$E173&lt;&gt;"Yes"</formula>
    </cfRule>
  </conditionalFormatting>
  <conditionalFormatting sqref="AA173">
    <cfRule type="expression" dxfId="4718" priority="4913">
      <formula>$E$7&lt;&gt;"Yes"</formula>
    </cfRule>
  </conditionalFormatting>
  <conditionalFormatting sqref="AA173">
    <cfRule type="expression" dxfId="4717" priority="4912">
      <formula>$E173&lt;&gt;"Yes"</formula>
    </cfRule>
  </conditionalFormatting>
  <conditionalFormatting sqref="Y173">
    <cfRule type="expression" dxfId="4716" priority="4911">
      <formula>$E$7&lt;&gt;"Yes"</formula>
    </cfRule>
  </conditionalFormatting>
  <conditionalFormatting sqref="Y173">
    <cfRule type="expression" dxfId="4715" priority="4910">
      <formula>$E173&lt;&gt;"Yes"</formula>
    </cfRule>
  </conditionalFormatting>
  <conditionalFormatting sqref="O173:P173">
    <cfRule type="expression" dxfId="4714" priority="4909">
      <formula>$E$7&lt;&gt;"Yes"</formula>
    </cfRule>
  </conditionalFormatting>
  <conditionalFormatting sqref="O173:P173">
    <cfRule type="expression" dxfId="4713" priority="4908">
      <formula>$E173&lt;&gt;"Yes"</formula>
    </cfRule>
  </conditionalFormatting>
  <conditionalFormatting sqref="X173">
    <cfRule type="expression" dxfId="4712" priority="4907">
      <formula>$E$7&lt;&gt;"Yes"</formula>
    </cfRule>
  </conditionalFormatting>
  <conditionalFormatting sqref="X173">
    <cfRule type="expression" dxfId="4711" priority="4906">
      <formula>$E173&lt;&gt;"Yes"</formula>
    </cfRule>
  </conditionalFormatting>
  <conditionalFormatting sqref="AD173">
    <cfRule type="expression" dxfId="4710" priority="4905">
      <formula>$E$7&lt;&gt;"Yes"</formula>
    </cfRule>
  </conditionalFormatting>
  <conditionalFormatting sqref="AD173">
    <cfRule type="expression" dxfId="4709" priority="4904">
      <formula>$E173&lt;&gt;"Yes"</formula>
    </cfRule>
  </conditionalFormatting>
  <conditionalFormatting sqref="AC173">
    <cfRule type="expression" dxfId="4708" priority="4903">
      <formula>$E$7&lt;&gt;"Yes"</formula>
    </cfRule>
  </conditionalFormatting>
  <conditionalFormatting sqref="AC173">
    <cfRule type="expression" dxfId="4707" priority="4902">
      <formula>$E173&lt;&gt;"Yes"</formula>
    </cfRule>
  </conditionalFormatting>
  <conditionalFormatting sqref="R173:V173">
    <cfRule type="expression" dxfId="4706" priority="4901">
      <formula>$E$7&lt;&gt;"Yes"</formula>
    </cfRule>
  </conditionalFormatting>
  <conditionalFormatting sqref="R173:V173">
    <cfRule type="expression" dxfId="4705" priority="4900">
      <formula>$E173&lt;&gt;"Yes"</formula>
    </cfRule>
  </conditionalFormatting>
  <conditionalFormatting sqref="S173">
    <cfRule type="expression" dxfId="4704" priority="4899">
      <formula>$E$7&lt;&gt;"Yes"</formula>
    </cfRule>
  </conditionalFormatting>
  <conditionalFormatting sqref="S173">
    <cfRule type="expression" dxfId="4703" priority="4898">
      <formula>$E173&lt;&gt;"Yes"</formula>
    </cfRule>
  </conditionalFormatting>
  <conditionalFormatting sqref="T173">
    <cfRule type="expression" dxfId="4702" priority="4897">
      <formula>$E$7&lt;&gt;"Yes"</formula>
    </cfRule>
  </conditionalFormatting>
  <conditionalFormatting sqref="T173">
    <cfRule type="expression" dxfId="4701" priority="4896">
      <formula>$E173&lt;&gt;"Yes"</formula>
    </cfRule>
  </conditionalFormatting>
  <conditionalFormatting sqref="U173">
    <cfRule type="expression" dxfId="4700" priority="4895">
      <formula>$E$7&lt;&gt;"Yes"</formula>
    </cfRule>
  </conditionalFormatting>
  <conditionalFormatting sqref="U173">
    <cfRule type="expression" dxfId="4699" priority="4894">
      <formula>$E173&lt;&gt;"Yes"</formula>
    </cfRule>
  </conditionalFormatting>
  <conditionalFormatting sqref="V173">
    <cfRule type="expression" dxfId="4698" priority="4893">
      <formula>$E$7&lt;&gt;"Yes"</formula>
    </cfRule>
  </conditionalFormatting>
  <conditionalFormatting sqref="V173">
    <cfRule type="expression" dxfId="4697" priority="4892">
      <formula>$E173&lt;&gt;"Yes"</formula>
    </cfRule>
  </conditionalFormatting>
  <conditionalFormatting sqref="R173:V173">
    <cfRule type="expression" dxfId="4696" priority="4891">
      <formula>$E$7&lt;&gt;"Yes"</formula>
    </cfRule>
  </conditionalFormatting>
  <conditionalFormatting sqref="R173:V173">
    <cfRule type="expression" dxfId="4695" priority="4890">
      <formula>$E173&lt;&gt;"Yes"</formula>
    </cfRule>
  </conditionalFormatting>
  <conditionalFormatting sqref="Z173">
    <cfRule type="expression" dxfId="4694" priority="4889">
      <formula>$E$7&lt;&gt;"Yes"</formula>
    </cfRule>
  </conditionalFormatting>
  <conditionalFormatting sqref="Z173">
    <cfRule type="expression" dxfId="4693" priority="4888">
      <formula>$E173&lt;&gt;"Yes"</formula>
    </cfRule>
  </conditionalFormatting>
  <conditionalFormatting sqref="AN173:AO173">
    <cfRule type="expression" dxfId="4692" priority="4887">
      <formula>$E$7&lt;&gt;"Yes"</formula>
    </cfRule>
  </conditionalFormatting>
  <conditionalFormatting sqref="AN173:AO173">
    <cfRule type="expression" dxfId="4691" priority="4886">
      <formula>$E173&lt;&gt;"Yes"</formula>
    </cfRule>
  </conditionalFormatting>
  <conditionalFormatting sqref="AI173">
    <cfRule type="expression" dxfId="4690" priority="4885">
      <formula>$E$7&lt;&gt;"Yes"</formula>
    </cfRule>
  </conditionalFormatting>
  <conditionalFormatting sqref="AI173">
    <cfRule type="expression" dxfId="4689" priority="4884">
      <formula>$E173&lt;&gt;"Yes"</formula>
    </cfRule>
  </conditionalFormatting>
  <conditionalFormatting sqref="F115:J115 Q115 M115:N115 AJ115:AK115 AF115:AH115 Y115">
    <cfRule type="expression" dxfId="4688" priority="4852">
      <formula>$E$7&lt;&gt;"Yes"</formula>
    </cfRule>
  </conditionalFormatting>
  <conditionalFormatting sqref="F115:J115 Q115 M115:N115 AJ115:AK115 AF115:AH115 Y115">
    <cfRule type="expression" dxfId="4687" priority="4851">
      <formula>$E115&lt;&gt;"Yes"</formula>
    </cfRule>
  </conditionalFormatting>
  <conditionalFormatting sqref="G115">
    <cfRule type="expression" dxfId="4686" priority="4850">
      <formula>$E$7&lt;&gt;"Yes"</formula>
    </cfRule>
  </conditionalFormatting>
  <conditionalFormatting sqref="K115:L115">
    <cfRule type="expression" dxfId="4685" priority="4849">
      <formula>$E$7&lt;&gt;"Yes"</formula>
    </cfRule>
  </conditionalFormatting>
  <conditionalFormatting sqref="K115:L115">
    <cfRule type="expression" dxfId="4684" priority="4848">
      <formula>$E115&lt;&gt;"Yes"</formula>
    </cfRule>
  </conditionalFormatting>
  <conditionalFormatting sqref="W115">
    <cfRule type="expression" dxfId="4683" priority="4847">
      <formula>$E$7&lt;&gt;"Yes"</formula>
    </cfRule>
  </conditionalFormatting>
  <conditionalFormatting sqref="W115">
    <cfRule type="expression" dxfId="4682" priority="4846">
      <formula>$E115&lt;&gt;"Yes"</formula>
    </cfRule>
  </conditionalFormatting>
  <conditionalFormatting sqref="AE115">
    <cfRule type="expression" dxfId="4681" priority="4845">
      <formula>$E$7&lt;&gt;"Yes"</formula>
    </cfRule>
  </conditionalFormatting>
  <conditionalFormatting sqref="AE115">
    <cfRule type="expression" dxfId="4680" priority="4844">
      <formula>$E115&lt;&gt;"Yes"</formula>
    </cfRule>
  </conditionalFormatting>
  <conditionalFormatting sqref="AB115">
    <cfRule type="expression" dxfId="4679" priority="4843">
      <formula>$E$7&lt;&gt;"Yes"</formula>
    </cfRule>
  </conditionalFormatting>
  <conditionalFormatting sqref="AB115">
    <cfRule type="expression" dxfId="4678" priority="4842">
      <formula>$E115&lt;&gt;"Yes"</formula>
    </cfRule>
  </conditionalFormatting>
  <conditionalFormatting sqref="AA115">
    <cfRule type="expression" dxfId="4677" priority="4841">
      <formula>$E$7&lt;&gt;"Yes"</formula>
    </cfRule>
  </conditionalFormatting>
  <conditionalFormatting sqref="AA115">
    <cfRule type="expression" dxfId="4676" priority="4840">
      <formula>$E115&lt;&gt;"Yes"</formula>
    </cfRule>
  </conditionalFormatting>
  <conditionalFormatting sqref="Y115">
    <cfRule type="expression" dxfId="4675" priority="4839">
      <formula>$E$7&lt;&gt;"Yes"</formula>
    </cfRule>
  </conditionalFormatting>
  <conditionalFormatting sqref="Y115">
    <cfRule type="expression" dxfId="4674" priority="4838">
      <formula>$E115&lt;&gt;"Yes"</formula>
    </cfRule>
  </conditionalFormatting>
  <conditionalFormatting sqref="O115:P115">
    <cfRule type="expression" dxfId="4673" priority="4837">
      <formula>$E$7&lt;&gt;"Yes"</formula>
    </cfRule>
  </conditionalFormatting>
  <conditionalFormatting sqref="O115:P115">
    <cfRule type="expression" dxfId="4672" priority="4836">
      <formula>$E115&lt;&gt;"Yes"</formula>
    </cfRule>
  </conditionalFormatting>
  <conditionalFormatting sqref="X115">
    <cfRule type="expression" dxfId="4671" priority="4835">
      <formula>$E$7&lt;&gt;"Yes"</formula>
    </cfRule>
  </conditionalFormatting>
  <conditionalFormatting sqref="X115">
    <cfRule type="expression" dxfId="4670" priority="4834">
      <formula>$E115&lt;&gt;"Yes"</formula>
    </cfRule>
  </conditionalFormatting>
  <conditionalFormatting sqref="AD115">
    <cfRule type="expression" dxfId="4669" priority="4833">
      <formula>$E$7&lt;&gt;"Yes"</formula>
    </cfRule>
  </conditionalFormatting>
  <conditionalFormatting sqref="AD115">
    <cfRule type="expression" dxfId="4668" priority="4832">
      <formula>$E115&lt;&gt;"Yes"</formula>
    </cfRule>
  </conditionalFormatting>
  <conditionalFormatting sqref="AC115">
    <cfRule type="expression" dxfId="4667" priority="4831">
      <formula>$E$7&lt;&gt;"Yes"</formula>
    </cfRule>
  </conditionalFormatting>
  <conditionalFormatting sqref="AC115">
    <cfRule type="expression" dxfId="4666" priority="4830">
      <formula>$E115&lt;&gt;"Yes"</formula>
    </cfRule>
  </conditionalFormatting>
  <conditionalFormatting sqref="R115:V115">
    <cfRule type="expression" dxfId="4665" priority="4829">
      <formula>$E$7&lt;&gt;"Yes"</formula>
    </cfRule>
  </conditionalFormatting>
  <conditionalFormatting sqref="R115:V115">
    <cfRule type="expression" dxfId="4664" priority="4828">
      <formula>$E115&lt;&gt;"Yes"</formula>
    </cfRule>
  </conditionalFormatting>
  <conditionalFormatting sqref="S115">
    <cfRule type="expression" dxfId="4663" priority="4827">
      <formula>$E$7&lt;&gt;"Yes"</formula>
    </cfRule>
  </conditionalFormatting>
  <conditionalFormatting sqref="S115">
    <cfRule type="expression" dxfId="4662" priority="4826">
      <formula>$E115&lt;&gt;"Yes"</formula>
    </cfRule>
  </conditionalFormatting>
  <conditionalFormatting sqref="T115">
    <cfRule type="expression" dxfId="4661" priority="4825">
      <formula>$E$7&lt;&gt;"Yes"</formula>
    </cfRule>
  </conditionalFormatting>
  <conditionalFormatting sqref="T115">
    <cfRule type="expression" dxfId="4660" priority="4824">
      <formula>$E115&lt;&gt;"Yes"</formula>
    </cfRule>
  </conditionalFormatting>
  <conditionalFormatting sqref="U115">
    <cfRule type="expression" dxfId="4659" priority="4823">
      <formula>$E$7&lt;&gt;"Yes"</formula>
    </cfRule>
  </conditionalFormatting>
  <conditionalFormatting sqref="U115">
    <cfRule type="expression" dxfId="4658" priority="4822">
      <formula>$E115&lt;&gt;"Yes"</formula>
    </cfRule>
  </conditionalFormatting>
  <conditionalFormatting sqref="V115">
    <cfRule type="expression" dxfId="4657" priority="4821">
      <formula>$E$7&lt;&gt;"Yes"</formula>
    </cfRule>
  </conditionalFormatting>
  <conditionalFormatting sqref="V115">
    <cfRule type="expression" dxfId="4656" priority="4820">
      <formula>$E115&lt;&gt;"Yes"</formula>
    </cfRule>
  </conditionalFormatting>
  <conditionalFormatting sqref="R115:V115">
    <cfRule type="expression" dxfId="4655" priority="4819">
      <formula>$E$7&lt;&gt;"Yes"</formula>
    </cfRule>
  </conditionalFormatting>
  <conditionalFormatting sqref="R115:V115">
    <cfRule type="expression" dxfId="4654" priority="4818">
      <formula>$E115&lt;&gt;"Yes"</formula>
    </cfRule>
  </conditionalFormatting>
  <conditionalFormatting sqref="Z115">
    <cfRule type="expression" dxfId="4653" priority="4817">
      <formula>$E$7&lt;&gt;"Yes"</formula>
    </cfRule>
  </conditionalFormatting>
  <conditionalFormatting sqref="Z115">
    <cfRule type="expression" dxfId="4652" priority="4816">
      <formula>$E115&lt;&gt;"Yes"</formula>
    </cfRule>
  </conditionalFormatting>
  <conditionalFormatting sqref="AN115:AO115">
    <cfRule type="expression" dxfId="4651" priority="4815">
      <formula>$E$7&lt;&gt;"Yes"</formula>
    </cfRule>
  </conditionalFormatting>
  <conditionalFormatting sqref="AN115:AO115">
    <cfRule type="expression" dxfId="4650" priority="4814">
      <formula>$E115&lt;&gt;"Yes"</formula>
    </cfRule>
  </conditionalFormatting>
  <conditionalFormatting sqref="AI115">
    <cfRule type="expression" dxfId="4649" priority="4813">
      <formula>$E$7&lt;&gt;"Yes"</formula>
    </cfRule>
  </conditionalFormatting>
  <conditionalFormatting sqref="AI115">
    <cfRule type="expression" dxfId="4648" priority="4812">
      <formula>$E115&lt;&gt;"Yes"</formula>
    </cfRule>
  </conditionalFormatting>
  <conditionalFormatting sqref="F95:J95 Q95 M95:N95 AJ95:AK95 AF95:AH95 Y95">
    <cfRule type="expression" dxfId="4647" priority="4811">
      <formula>$E$7&lt;&gt;"Yes"</formula>
    </cfRule>
  </conditionalFormatting>
  <conditionalFormatting sqref="F95:J95 Q95 M95:N95 AJ95:AK95 AF95:AH95 Y95">
    <cfRule type="expression" dxfId="4646" priority="4810">
      <formula>$E95&lt;&gt;"Yes"</formula>
    </cfRule>
  </conditionalFormatting>
  <conditionalFormatting sqref="G95">
    <cfRule type="expression" dxfId="4645" priority="4809">
      <formula>$E$7&lt;&gt;"Yes"</formula>
    </cfRule>
  </conditionalFormatting>
  <conditionalFormatting sqref="K95:L95">
    <cfRule type="expression" dxfId="4644" priority="4808">
      <formula>$E$7&lt;&gt;"Yes"</formula>
    </cfRule>
  </conditionalFormatting>
  <conditionalFormatting sqref="K95:L95">
    <cfRule type="expression" dxfId="4643" priority="4807">
      <formula>$E95&lt;&gt;"Yes"</formula>
    </cfRule>
  </conditionalFormatting>
  <conditionalFormatting sqref="W95">
    <cfRule type="expression" dxfId="4642" priority="4806">
      <formula>$E$7&lt;&gt;"Yes"</formula>
    </cfRule>
  </conditionalFormatting>
  <conditionalFormatting sqref="W95">
    <cfRule type="expression" dxfId="4641" priority="4805">
      <formula>$E95&lt;&gt;"Yes"</formula>
    </cfRule>
  </conditionalFormatting>
  <conditionalFormatting sqref="AE95">
    <cfRule type="expression" dxfId="4640" priority="4804">
      <formula>$E$7&lt;&gt;"Yes"</formula>
    </cfRule>
  </conditionalFormatting>
  <conditionalFormatting sqref="AE95">
    <cfRule type="expression" dxfId="4639" priority="4803">
      <formula>$E95&lt;&gt;"Yes"</formula>
    </cfRule>
  </conditionalFormatting>
  <conditionalFormatting sqref="AB95">
    <cfRule type="expression" dxfId="4638" priority="4802">
      <formula>$E$7&lt;&gt;"Yes"</formula>
    </cfRule>
  </conditionalFormatting>
  <conditionalFormatting sqref="AB95">
    <cfRule type="expression" dxfId="4637" priority="4801">
      <formula>$E95&lt;&gt;"Yes"</formula>
    </cfRule>
  </conditionalFormatting>
  <conditionalFormatting sqref="AA95">
    <cfRule type="expression" dxfId="4636" priority="4800">
      <formula>$E$7&lt;&gt;"Yes"</formula>
    </cfRule>
  </conditionalFormatting>
  <conditionalFormatting sqref="AA95">
    <cfRule type="expression" dxfId="4635" priority="4799">
      <formula>$E95&lt;&gt;"Yes"</formula>
    </cfRule>
  </conditionalFormatting>
  <conditionalFormatting sqref="Y95">
    <cfRule type="expression" dxfId="4634" priority="4798">
      <formula>$E$7&lt;&gt;"Yes"</formula>
    </cfRule>
  </conditionalFormatting>
  <conditionalFormatting sqref="Y95">
    <cfRule type="expression" dxfId="4633" priority="4797">
      <formula>$E95&lt;&gt;"Yes"</formula>
    </cfRule>
  </conditionalFormatting>
  <conditionalFormatting sqref="O95:P95">
    <cfRule type="expression" dxfId="4632" priority="4796">
      <formula>$E$7&lt;&gt;"Yes"</formula>
    </cfRule>
  </conditionalFormatting>
  <conditionalFormatting sqref="O95:P95">
    <cfRule type="expression" dxfId="4631" priority="4795">
      <formula>$E95&lt;&gt;"Yes"</formula>
    </cfRule>
  </conditionalFormatting>
  <conditionalFormatting sqref="X95">
    <cfRule type="expression" dxfId="4630" priority="4794">
      <formula>$E$7&lt;&gt;"Yes"</formula>
    </cfRule>
  </conditionalFormatting>
  <conditionalFormatting sqref="X95">
    <cfRule type="expression" dxfId="4629" priority="4793">
      <formula>$E95&lt;&gt;"Yes"</formula>
    </cfRule>
  </conditionalFormatting>
  <conditionalFormatting sqref="AD95">
    <cfRule type="expression" dxfId="4628" priority="4792">
      <formula>$E$7&lt;&gt;"Yes"</formula>
    </cfRule>
  </conditionalFormatting>
  <conditionalFormatting sqref="AD95">
    <cfRule type="expression" dxfId="4627" priority="4791">
      <formula>$E95&lt;&gt;"Yes"</formula>
    </cfRule>
  </conditionalFormatting>
  <conditionalFormatting sqref="AC95">
    <cfRule type="expression" dxfId="4626" priority="4790">
      <formula>$E$7&lt;&gt;"Yes"</formula>
    </cfRule>
  </conditionalFormatting>
  <conditionalFormatting sqref="AC95">
    <cfRule type="expression" dxfId="4625" priority="4789">
      <formula>$E95&lt;&gt;"Yes"</formula>
    </cfRule>
  </conditionalFormatting>
  <conditionalFormatting sqref="R95:V95">
    <cfRule type="expression" dxfId="4624" priority="4788">
      <formula>$E$7&lt;&gt;"Yes"</formula>
    </cfRule>
  </conditionalFormatting>
  <conditionalFormatting sqref="R95:V95">
    <cfRule type="expression" dxfId="4623" priority="4787">
      <formula>$E95&lt;&gt;"Yes"</formula>
    </cfRule>
  </conditionalFormatting>
  <conditionalFormatting sqref="S95">
    <cfRule type="expression" dxfId="4622" priority="4786">
      <formula>$E$7&lt;&gt;"Yes"</formula>
    </cfRule>
  </conditionalFormatting>
  <conditionalFormatting sqref="S95">
    <cfRule type="expression" dxfId="4621" priority="4785">
      <formula>$E95&lt;&gt;"Yes"</formula>
    </cfRule>
  </conditionalFormatting>
  <conditionalFormatting sqref="T95">
    <cfRule type="expression" dxfId="4620" priority="4784">
      <formula>$E$7&lt;&gt;"Yes"</formula>
    </cfRule>
  </conditionalFormatting>
  <conditionalFormatting sqref="T95">
    <cfRule type="expression" dxfId="4619" priority="4783">
      <formula>$E95&lt;&gt;"Yes"</formula>
    </cfRule>
  </conditionalFormatting>
  <conditionalFormatting sqref="U95">
    <cfRule type="expression" dxfId="4618" priority="4782">
      <formula>$E$7&lt;&gt;"Yes"</formula>
    </cfRule>
  </conditionalFormatting>
  <conditionalFormatting sqref="U95">
    <cfRule type="expression" dxfId="4617" priority="4781">
      <formula>$E95&lt;&gt;"Yes"</formula>
    </cfRule>
  </conditionalFormatting>
  <conditionalFormatting sqref="V95">
    <cfRule type="expression" dxfId="4616" priority="4780">
      <formula>$E$7&lt;&gt;"Yes"</formula>
    </cfRule>
  </conditionalFormatting>
  <conditionalFormatting sqref="V95">
    <cfRule type="expression" dxfId="4615" priority="4779">
      <formula>$E95&lt;&gt;"Yes"</formula>
    </cfRule>
  </conditionalFormatting>
  <conditionalFormatting sqref="R95:V95">
    <cfRule type="expression" dxfId="4614" priority="4778">
      <formula>$E$7&lt;&gt;"Yes"</formula>
    </cfRule>
  </conditionalFormatting>
  <conditionalFormatting sqref="R95:V95">
    <cfRule type="expression" dxfId="4613" priority="4777">
      <formula>$E95&lt;&gt;"Yes"</formula>
    </cfRule>
  </conditionalFormatting>
  <conditionalFormatting sqref="Z95">
    <cfRule type="expression" dxfId="4612" priority="4776">
      <formula>$E$7&lt;&gt;"Yes"</formula>
    </cfRule>
  </conditionalFormatting>
  <conditionalFormatting sqref="Z95">
    <cfRule type="expression" dxfId="4611" priority="4775">
      <formula>$E95&lt;&gt;"Yes"</formula>
    </cfRule>
  </conditionalFormatting>
  <conditionalFormatting sqref="AN95:AO95">
    <cfRule type="expression" dxfId="4610" priority="4774">
      <formula>$E$7&lt;&gt;"Yes"</formula>
    </cfRule>
  </conditionalFormatting>
  <conditionalFormatting sqref="AN95:AO95">
    <cfRule type="expression" dxfId="4609" priority="4773">
      <formula>$E95&lt;&gt;"Yes"</formula>
    </cfRule>
  </conditionalFormatting>
  <conditionalFormatting sqref="AI95">
    <cfRule type="expression" dxfId="4608" priority="4772">
      <formula>$E$7&lt;&gt;"Yes"</formula>
    </cfRule>
  </conditionalFormatting>
  <conditionalFormatting sqref="AI95">
    <cfRule type="expression" dxfId="4607" priority="4771">
      <formula>$E95&lt;&gt;"Yes"</formula>
    </cfRule>
  </conditionalFormatting>
  <conditionalFormatting sqref="F96:J96 Q96 M96:N96 AJ96:AK96 AF96:AH96 Y96">
    <cfRule type="expression" dxfId="4606" priority="4770">
      <formula>$E$7&lt;&gt;"Yes"</formula>
    </cfRule>
  </conditionalFormatting>
  <conditionalFormatting sqref="F96:J96 Q96 M96:N96 AJ96:AK96 AF96:AH96 Y96">
    <cfRule type="expression" dxfId="4605" priority="4769">
      <formula>$E96&lt;&gt;"Yes"</formula>
    </cfRule>
  </conditionalFormatting>
  <conditionalFormatting sqref="G96">
    <cfRule type="expression" dxfId="4604" priority="4768">
      <formula>$E$7&lt;&gt;"Yes"</formula>
    </cfRule>
  </conditionalFormatting>
  <conditionalFormatting sqref="K96:L96">
    <cfRule type="expression" dxfId="4603" priority="4767">
      <formula>$E$7&lt;&gt;"Yes"</formula>
    </cfRule>
  </conditionalFormatting>
  <conditionalFormatting sqref="K96:L96">
    <cfRule type="expression" dxfId="4602" priority="4766">
      <formula>$E96&lt;&gt;"Yes"</formula>
    </cfRule>
  </conditionalFormatting>
  <conditionalFormatting sqref="W96">
    <cfRule type="expression" dxfId="4601" priority="4765">
      <formula>$E$7&lt;&gt;"Yes"</formula>
    </cfRule>
  </conditionalFormatting>
  <conditionalFormatting sqref="W96">
    <cfRule type="expression" dxfId="4600" priority="4764">
      <formula>$E96&lt;&gt;"Yes"</formula>
    </cfRule>
  </conditionalFormatting>
  <conditionalFormatting sqref="AE96">
    <cfRule type="expression" dxfId="4599" priority="4763">
      <formula>$E$7&lt;&gt;"Yes"</formula>
    </cfRule>
  </conditionalFormatting>
  <conditionalFormatting sqref="AE96">
    <cfRule type="expression" dxfId="4598" priority="4762">
      <formula>$E96&lt;&gt;"Yes"</formula>
    </cfRule>
  </conditionalFormatting>
  <conditionalFormatting sqref="AB96">
    <cfRule type="expression" dxfId="4597" priority="4761">
      <formula>$E$7&lt;&gt;"Yes"</formula>
    </cfRule>
  </conditionalFormatting>
  <conditionalFormatting sqref="AB96">
    <cfRule type="expression" dxfId="4596" priority="4760">
      <formula>$E96&lt;&gt;"Yes"</formula>
    </cfRule>
  </conditionalFormatting>
  <conditionalFormatting sqref="AA96">
    <cfRule type="expression" dxfId="4595" priority="4759">
      <formula>$E$7&lt;&gt;"Yes"</formula>
    </cfRule>
  </conditionalFormatting>
  <conditionalFormatting sqref="AA96">
    <cfRule type="expression" dxfId="4594" priority="4758">
      <formula>$E96&lt;&gt;"Yes"</formula>
    </cfRule>
  </conditionalFormatting>
  <conditionalFormatting sqref="Y96">
    <cfRule type="expression" dxfId="4593" priority="4757">
      <formula>$E$7&lt;&gt;"Yes"</formula>
    </cfRule>
  </conditionalFormatting>
  <conditionalFormatting sqref="Y96">
    <cfRule type="expression" dxfId="4592" priority="4756">
      <formula>$E96&lt;&gt;"Yes"</formula>
    </cfRule>
  </conditionalFormatting>
  <conditionalFormatting sqref="O96:P96">
    <cfRule type="expression" dxfId="4591" priority="4755">
      <formula>$E$7&lt;&gt;"Yes"</formula>
    </cfRule>
  </conditionalFormatting>
  <conditionalFormatting sqref="O96:P96">
    <cfRule type="expression" dxfId="4590" priority="4754">
      <formula>$E96&lt;&gt;"Yes"</formula>
    </cfRule>
  </conditionalFormatting>
  <conditionalFormatting sqref="X96">
    <cfRule type="expression" dxfId="4589" priority="4753">
      <formula>$E$7&lt;&gt;"Yes"</formula>
    </cfRule>
  </conditionalFormatting>
  <conditionalFormatting sqref="X96">
    <cfRule type="expression" dxfId="4588" priority="4752">
      <formula>$E96&lt;&gt;"Yes"</formula>
    </cfRule>
  </conditionalFormatting>
  <conditionalFormatting sqref="AD96">
    <cfRule type="expression" dxfId="4587" priority="4751">
      <formula>$E$7&lt;&gt;"Yes"</formula>
    </cfRule>
  </conditionalFormatting>
  <conditionalFormatting sqref="AD96">
    <cfRule type="expression" dxfId="4586" priority="4750">
      <formula>$E96&lt;&gt;"Yes"</formula>
    </cfRule>
  </conditionalFormatting>
  <conditionalFormatting sqref="AC96">
    <cfRule type="expression" dxfId="4585" priority="4749">
      <formula>$E$7&lt;&gt;"Yes"</formula>
    </cfRule>
  </conditionalFormatting>
  <conditionalFormatting sqref="AC96">
    <cfRule type="expression" dxfId="4584" priority="4748">
      <formula>$E96&lt;&gt;"Yes"</formula>
    </cfRule>
  </conditionalFormatting>
  <conditionalFormatting sqref="R96:V96">
    <cfRule type="expression" dxfId="4583" priority="4747">
      <formula>$E$7&lt;&gt;"Yes"</formula>
    </cfRule>
  </conditionalFormatting>
  <conditionalFormatting sqref="R96:V96">
    <cfRule type="expression" dxfId="4582" priority="4746">
      <formula>$E96&lt;&gt;"Yes"</formula>
    </cfRule>
  </conditionalFormatting>
  <conditionalFormatting sqref="S96">
    <cfRule type="expression" dxfId="4581" priority="4745">
      <formula>$E$7&lt;&gt;"Yes"</formula>
    </cfRule>
  </conditionalFormatting>
  <conditionalFormatting sqref="S96">
    <cfRule type="expression" dxfId="4580" priority="4744">
      <formula>$E96&lt;&gt;"Yes"</formula>
    </cfRule>
  </conditionalFormatting>
  <conditionalFormatting sqref="T96">
    <cfRule type="expression" dxfId="4579" priority="4743">
      <formula>$E$7&lt;&gt;"Yes"</formula>
    </cfRule>
  </conditionalFormatting>
  <conditionalFormatting sqref="T96">
    <cfRule type="expression" dxfId="4578" priority="4742">
      <formula>$E96&lt;&gt;"Yes"</formula>
    </cfRule>
  </conditionalFormatting>
  <conditionalFormatting sqref="U96">
    <cfRule type="expression" dxfId="4577" priority="4741">
      <formula>$E$7&lt;&gt;"Yes"</formula>
    </cfRule>
  </conditionalFormatting>
  <conditionalFormatting sqref="U96">
    <cfRule type="expression" dxfId="4576" priority="4740">
      <formula>$E96&lt;&gt;"Yes"</formula>
    </cfRule>
  </conditionalFormatting>
  <conditionalFormatting sqref="V96">
    <cfRule type="expression" dxfId="4575" priority="4739">
      <formula>$E$7&lt;&gt;"Yes"</formula>
    </cfRule>
  </conditionalFormatting>
  <conditionalFormatting sqref="V96">
    <cfRule type="expression" dxfId="4574" priority="4738">
      <formula>$E96&lt;&gt;"Yes"</formula>
    </cfRule>
  </conditionalFormatting>
  <conditionalFormatting sqref="R96:V96">
    <cfRule type="expression" dxfId="4573" priority="4737">
      <formula>$E$7&lt;&gt;"Yes"</formula>
    </cfRule>
  </conditionalFormatting>
  <conditionalFormatting sqref="R96:V96">
    <cfRule type="expression" dxfId="4572" priority="4736">
      <formula>$E96&lt;&gt;"Yes"</formula>
    </cfRule>
  </conditionalFormatting>
  <conditionalFormatting sqref="Z96">
    <cfRule type="expression" dxfId="4571" priority="4735">
      <formula>$E$7&lt;&gt;"Yes"</formula>
    </cfRule>
  </conditionalFormatting>
  <conditionalFormatting sqref="Z96">
    <cfRule type="expression" dxfId="4570" priority="4734">
      <formula>$E96&lt;&gt;"Yes"</formula>
    </cfRule>
  </conditionalFormatting>
  <conditionalFormatting sqref="AN96:AO96">
    <cfRule type="expression" dxfId="4569" priority="4733">
      <formula>$E$7&lt;&gt;"Yes"</formula>
    </cfRule>
  </conditionalFormatting>
  <conditionalFormatting sqref="AN96:AO96">
    <cfRule type="expression" dxfId="4568" priority="4732">
      <formula>$E96&lt;&gt;"Yes"</formula>
    </cfRule>
  </conditionalFormatting>
  <conditionalFormatting sqref="AI96">
    <cfRule type="expression" dxfId="4567" priority="4731">
      <formula>$E$7&lt;&gt;"Yes"</formula>
    </cfRule>
  </conditionalFormatting>
  <conditionalFormatting sqref="AI96">
    <cfRule type="expression" dxfId="4566" priority="4730">
      <formula>$E96&lt;&gt;"Yes"</formula>
    </cfRule>
  </conditionalFormatting>
  <conditionalFormatting sqref="F116:J116 Q116 M116:N116 AJ116:AK116 AF116:AH116 Y116">
    <cfRule type="expression" dxfId="4565" priority="4688">
      <formula>$E$7&lt;&gt;"Yes"</formula>
    </cfRule>
  </conditionalFormatting>
  <conditionalFormatting sqref="F116:J116 Q116 M116:N116 AJ116:AK116 AF116:AH116 Y116">
    <cfRule type="expression" dxfId="4564" priority="4687">
      <formula>$E116&lt;&gt;"Yes"</formula>
    </cfRule>
  </conditionalFormatting>
  <conditionalFormatting sqref="G116">
    <cfRule type="expression" dxfId="4563" priority="4686">
      <formula>$E$7&lt;&gt;"Yes"</formula>
    </cfRule>
  </conditionalFormatting>
  <conditionalFormatting sqref="K116:L116">
    <cfRule type="expression" dxfId="4562" priority="4685">
      <formula>$E$7&lt;&gt;"Yes"</formula>
    </cfRule>
  </conditionalFormatting>
  <conditionalFormatting sqref="K116:L116">
    <cfRule type="expression" dxfId="4561" priority="4684">
      <formula>$E116&lt;&gt;"Yes"</formula>
    </cfRule>
  </conditionalFormatting>
  <conditionalFormatting sqref="W116">
    <cfRule type="expression" dxfId="4560" priority="4683">
      <formula>$E$7&lt;&gt;"Yes"</formula>
    </cfRule>
  </conditionalFormatting>
  <conditionalFormatting sqref="W116">
    <cfRule type="expression" dxfId="4559" priority="4682">
      <formula>$E116&lt;&gt;"Yes"</formula>
    </cfRule>
  </conditionalFormatting>
  <conditionalFormatting sqref="AE116">
    <cfRule type="expression" dxfId="4558" priority="4681">
      <formula>$E$7&lt;&gt;"Yes"</formula>
    </cfRule>
  </conditionalFormatting>
  <conditionalFormatting sqref="AE116">
    <cfRule type="expression" dxfId="4557" priority="4680">
      <formula>$E116&lt;&gt;"Yes"</formula>
    </cfRule>
  </conditionalFormatting>
  <conditionalFormatting sqref="AB116">
    <cfRule type="expression" dxfId="4556" priority="4679">
      <formula>$E$7&lt;&gt;"Yes"</formula>
    </cfRule>
  </conditionalFormatting>
  <conditionalFormatting sqref="AB116">
    <cfRule type="expression" dxfId="4555" priority="4678">
      <formula>$E116&lt;&gt;"Yes"</formula>
    </cfRule>
  </conditionalFormatting>
  <conditionalFormatting sqref="AA116">
    <cfRule type="expression" dxfId="4554" priority="4677">
      <formula>$E$7&lt;&gt;"Yes"</formula>
    </cfRule>
  </conditionalFormatting>
  <conditionalFormatting sqref="AA116">
    <cfRule type="expression" dxfId="4553" priority="4676">
      <formula>$E116&lt;&gt;"Yes"</formula>
    </cfRule>
  </conditionalFormatting>
  <conditionalFormatting sqref="Y116">
    <cfRule type="expression" dxfId="4552" priority="4675">
      <formula>$E$7&lt;&gt;"Yes"</formula>
    </cfRule>
  </conditionalFormatting>
  <conditionalFormatting sqref="Y116">
    <cfRule type="expression" dxfId="4551" priority="4674">
      <formula>$E116&lt;&gt;"Yes"</formula>
    </cfRule>
  </conditionalFormatting>
  <conditionalFormatting sqref="O116:P116">
    <cfRule type="expression" dxfId="4550" priority="4673">
      <formula>$E$7&lt;&gt;"Yes"</formula>
    </cfRule>
  </conditionalFormatting>
  <conditionalFormatting sqref="O116:P116">
    <cfRule type="expression" dxfId="4549" priority="4672">
      <formula>$E116&lt;&gt;"Yes"</formula>
    </cfRule>
  </conditionalFormatting>
  <conditionalFormatting sqref="X116">
    <cfRule type="expression" dxfId="4548" priority="4671">
      <formula>$E$7&lt;&gt;"Yes"</formula>
    </cfRule>
  </conditionalFormatting>
  <conditionalFormatting sqref="X116">
    <cfRule type="expression" dxfId="4547" priority="4670">
      <formula>$E116&lt;&gt;"Yes"</formula>
    </cfRule>
  </conditionalFormatting>
  <conditionalFormatting sqref="AD116">
    <cfRule type="expression" dxfId="4546" priority="4669">
      <formula>$E$7&lt;&gt;"Yes"</formula>
    </cfRule>
  </conditionalFormatting>
  <conditionalFormatting sqref="AD116">
    <cfRule type="expression" dxfId="4545" priority="4668">
      <formula>$E116&lt;&gt;"Yes"</formula>
    </cfRule>
  </conditionalFormatting>
  <conditionalFormatting sqref="AC116">
    <cfRule type="expression" dxfId="4544" priority="4667">
      <formula>$E$7&lt;&gt;"Yes"</formula>
    </cfRule>
  </conditionalFormatting>
  <conditionalFormatting sqref="AC116">
    <cfRule type="expression" dxfId="4543" priority="4666">
      <formula>$E116&lt;&gt;"Yes"</formula>
    </cfRule>
  </conditionalFormatting>
  <conditionalFormatting sqref="R116:V116">
    <cfRule type="expression" dxfId="4542" priority="4665">
      <formula>$E$7&lt;&gt;"Yes"</formula>
    </cfRule>
  </conditionalFormatting>
  <conditionalFormatting sqref="R116:V116">
    <cfRule type="expression" dxfId="4541" priority="4664">
      <formula>$E116&lt;&gt;"Yes"</formula>
    </cfRule>
  </conditionalFormatting>
  <conditionalFormatting sqref="S116">
    <cfRule type="expression" dxfId="4540" priority="4663">
      <formula>$E$7&lt;&gt;"Yes"</formula>
    </cfRule>
  </conditionalFormatting>
  <conditionalFormatting sqref="S116">
    <cfRule type="expression" dxfId="4539" priority="4662">
      <formula>$E116&lt;&gt;"Yes"</formula>
    </cfRule>
  </conditionalFormatting>
  <conditionalFormatting sqref="T116">
    <cfRule type="expression" dxfId="4538" priority="4661">
      <formula>$E$7&lt;&gt;"Yes"</formula>
    </cfRule>
  </conditionalFormatting>
  <conditionalFormatting sqref="T116">
    <cfRule type="expression" dxfId="4537" priority="4660">
      <formula>$E116&lt;&gt;"Yes"</formula>
    </cfRule>
  </conditionalFormatting>
  <conditionalFormatting sqref="U116">
    <cfRule type="expression" dxfId="4536" priority="4659">
      <formula>$E$7&lt;&gt;"Yes"</formula>
    </cfRule>
  </conditionalFormatting>
  <conditionalFormatting sqref="U116">
    <cfRule type="expression" dxfId="4535" priority="4658">
      <formula>$E116&lt;&gt;"Yes"</formula>
    </cfRule>
  </conditionalFormatting>
  <conditionalFormatting sqref="V116">
    <cfRule type="expression" dxfId="4534" priority="4657">
      <formula>$E$7&lt;&gt;"Yes"</formula>
    </cfRule>
  </conditionalFormatting>
  <conditionalFormatting sqref="V116">
    <cfRule type="expression" dxfId="4533" priority="4656">
      <formula>$E116&lt;&gt;"Yes"</formula>
    </cfRule>
  </conditionalFormatting>
  <conditionalFormatting sqref="R116:V116">
    <cfRule type="expression" dxfId="4532" priority="4655">
      <formula>$E$7&lt;&gt;"Yes"</formula>
    </cfRule>
  </conditionalFormatting>
  <conditionalFormatting sqref="R116:V116">
    <cfRule type="expression" dxfId="4531" priority="4654">
      <formula>$E116&lt;&gt;"Yes"</formula>
    </cfRule>
  </conditionalFormatting>
  <conditionalFormatting sqref="Z116">
    <cfRule type="expression" dxfId="4530" priority="4653">
      <formula>$E$7&lt;&gt;"Yes"</formula>
    </cfRule>
  </conditionalFormatting>
  <conditionalFormatting sqref="Z116">
    <cfRule type="expression" dxfId="4529" priority="4652">
      <formula>$E116&lt;&gt;"Yes"</formula>
    </cfRule>
  </conditionalFormatting>
  <conditionalFormatting sqref="AN116:AO116">
    <cfRule type="expression" dxfId="4528" priority="4651">
      <formula>$E$7&lt;&gt;"Yes"</formula>
    </cfRule>
  </conditionalFormatting>
  <conditionalFormatting sqref="AN116:AO116">
    <cfRule type="expression" dxfId="4527" priority="4650">
      <formula>$E116&lt;&gt;"Yes"</formula>
    </cfRule>
  </conditionalFormatting>
  <conditionalFormatting sqref="AI116">
    <cfRule type="expression" dxfId="4526" priority="4649">
      <formula>$E$7&lt;&gt;"Yes"</formula>
    </cfRule>
  </conditionalFormatting>
  <conditionalFormatting sqref="AI116">
    <cfRule type="expression" dxfId="4525" priority="4648">
      <formula>$E116&lt;&gt;"Yes"</formula>
    </cfRule>
  </conditionalFormatting>
  <conditionalFormatting sqref="F117:J117 Q117 M117:N117 AJ117:AK117 AF117:AH117 Y117">
    <cfRule type="expression" dxfId="4524" priority="4647">
      <formula>$E$7&lt;&gt;"Yes"</formula>
    </cfRule>
  </conditionalFormatting>
  <conditionalFormatting sqref="F117:J117 Q117 M117:N117 AJ117:AK117 AF117:AH117 Y117">
    <cfRule type="expression" dxfId="4523" priority="4646">
      <formula>$E117&lt;&gt;"Yes"</formula>
    </cfRule>
  </conditionalFormatting>
  <conditionalFormatting sqref="G117">
    <cfRule type="expression" dxfId="4522" priority="4645">
      <formula>$E$7&lt;&gt;"Yes"</formula>
    </cfRule>
  </conditionalFormatting>
  <conditionalFormatting sqref="K117:L117">
    <cfRule type="expression" dxfId="4521" priority="4644">
      <formula>$E$7&lt;&gt;"Yes"</formula>
    </cfRule>
  </conditionalFormatting>
  <conditionalFormatting sqref="K117:L117">
    <cfRule type="expression" dxfId="4520" priority="4643">
      <formula>$E117&lt;&gt;"Yes"</formula>
    </cfRule>
  </conditionalFormatting>
  <conditionalFormatting sqref="W117">
    <cfRule type="expression" dxfId="4519" priority="4642">
      <formula>$E$7&lt;&gt;"Yes"</formula>
    </cfRule>
  </conditionalFormatting>
  <conditionalFormatting sqref="W117">
    <cfRule type="expression" dxfId="4518" priority="4641">
      <formula>$E117&lt;&gt;"Yes"</formula>
    </cfRule>
  </conditionalFormatting>
  <conditionalFormatting sqref="AE117">
    <cfRule type="expression" dxfId="4517" priority="4640">
      <formula>$E$7&lt;&gt;"Yes"</formula>
    </cfRule>
  </conditionalFormatting>
  <conditionalFormatting sqref="AE117">
    <cfRule type="expression" dxfId="4516" priority="4639">
      <formula>$E117&lt;&gt;"Yes"</formula>
    </cfRule>
  </conditionalFormatting>
  <conditionalFormatting sqref="AB117">
    <cfRule type="expression" dxfId="4515" priority="4638">
      <formula>$E$7&lt;&gt;"Yes"</formula>
    </cfRule>
  </conditionalFormatting>
  <conditionalFormatting sqref="AB117">
    <cfRule type="expression" dxfId="4514" priority="4637">
      <formula>$E117&lt;&gt;"Yes"</formula>
    </cfRule>
  </conditionalFormatting>
  <conditionalFormatting sqref="AA117">
    <cfRule type="expression" dxfId="4513" priority="4636">
      <formula>$E$7&lt;&gt;"Yes"</formula>
    </cfRule>
  </conditionalFormatting>
  <conditionalFormatting sqref="AA117">
    <cfRule type="expression" dxfId="4512" priority="4635">
      <formula>$E117&lt;&gt;"Yes"</formula>
    </cfRule>
  </conditionalFormatting>
  <conditionalFormatting sqref="Y117">
    <cfRule type="expression" dxfId="4511" priority="4634">
      <formula>$E$7&lt;&gt;"Yes"</formula>
    </cfRule>
  </conditionalFormatting>
  <conditionalFormatting sqref="Y117">
    <cfRule type="expression" dxfId="4510" priority="4633">
      <formula>$E117&lt;&gt;"Yes"</formula>
    </cfRule>
  </conditionalFormatting>
  <conditionalFormatting sqref="O117:P117">
    <cfRule type="expression" dxfId="4509" priority="4632">
      <formula>$E$7&lt;&gt;"Yes"</formula>
    </cfRule>
  </conditionalFormatting>
  <conditionalFormatting sqref="O117:P117">
    <cfRule type="expression" dxfId="4508" priority="4631">
      <formula>$E117&lt;&gt;"Yes"</formula>
    </cfRule>
  </conditionalFormatting>
  <conditionalFormatting sqref="X117">
    <cfRule type="expression" dxfId="4507" priority="4630">
      <formula>$E$7&lt;&gt;"Yes"</formula>
    </cfRule>
  </conditionalFormatting>
  <conditionalFormatting sqref="X117">
    <cfRule type="expression" dxfId="4506" priority="4629">
      <formula>$E117&lt;&gt;"Yes"</formula>
    </cfRule>
  </conditionalFormatting>
  <conditionalFormatting sqref="AD117">
    <cfRule type="expression" dxfId="4505" priority="4628">
      <formula>$E$7&lt;&gt;"Yes"</formula>
    </cfRule>
  </conditionalFormatting>
  <conditionalFormatting sqref="AD117">
    <cfRule type="expression" dxfId="4504" priority="4627">
      <formula>$E117&lt;&gt;"Yes"</formula>
    </cfRule>
  </conditionalFormatting>
  <conditionalFormatting sqref="AC117">
    <cfRule type="expression" dxfId="4503" priority="4626">
      <formula>$E$7&lt;&gt;"Yes"</formula>
    </cfRule>
  </conditionalFormatting>
  <conditionalFormatting sqref="AC117">
    <cfRule type="expression" dxfId="4502" priority="4625">
      <formula>$E117&lt;&gt;"Yes"</formula>
    </cfRule>
  </conditionalFormatting>
  <conditionalFormatting sqref="R117:V117">
    <cfRule type="expression" dxfId="4501" priority="4624">
      <formula>$E$7&lt;&gt;"Yes"</formula>
    </cfRule>
  </conditionalFormatting>
  <conditionalFormatting sqref="R117:V117">
    <cfRule type="expression" dxfId="4500" priority="4623">
      <formula>$E117&lt;&gt;"Yes"</formula>
    </cfRule>
  </conditionalFormatting>
  <conditionalFormatting sqref="S117">
    <cfRule type="expression" dxfId="4499" priority="4622">
      <formula>$E$7&lt;&gt;"Yes"</formula>
    </cfRule>
  </conditionalFormatting>
  <conditionalFormatting sqref="S117">
    <cfRule type="expression" dxfId="4498" priority="4621">
      <formula>$E117&lt;&gt;"Yes"</formula>
    </cfRule>
  </conditionalFormatting>
  <conditionalFormatting sqref="T117">
    <cfRule type="expression" dxfId="4497" priority="4620">
      <formula>$E$7&lt;&gt;"Yes"</formula>
    </cfRule>
  </conditionalFormatting>
  <conditionalFormatting sqref="T117">
    <cfRule type="expression" dxfId="4496" priority="4619">
      <formula>$E117&lt;&gt;"Yes"</formula>
    </cfRule>
  </conditionalFormatting>
  <conditionalFormatting sqref="U117">
    <cfRule type="expression" dxfId="4495" priority="4618">
      <formula>$E$7&lt;&gt;"Yes"</formula>
    </cfRule>
  </conditionalFormatting>
  <conditionalFormatting sqref="U117">
    <cfRule type="expression" dxfId="4494" priority="4617">
      <formula>$E117&lt;&gt;"Yes"</formula>
    </cfRule>
  </conditionalFormatting>
  <conditionalFormatting sqref="V117">
    <cfRule type="expression" dxfId="4493" priority="4616">
      <formula>$E$7&lt;&gt;"Yes"</formula>
    </cfRule>
  </conditionalFormatting>
  <conditionalFormatting sqref="V117">
    <cfRule type="expression" dxfId="4492" priority="4615">
      <formula>$E117&lt;&gt;"Yes"</formula>
    </cfRule>
  </conditionalFormatting>
  <conditionalFormatting sqref="R117:V117">
    <cfRule type="expression" dxfId="4491" priority="4614">
      <formula>$E$7&lt;&gt;"Yes"</formula>
    </cfRule>
  </conditionalFormatting>
  <conditionalFormatting sqref="R117:V117">
    <cfRule type="expression" dxfId="4490" priority="4613">
      <formula>$E117&lt;&gt;"Yes"</formula>
    </cfRule>
  </conditionalFormatting>
  <conditionalFormatting sqref="Z117">
    <cfRule type="expression" dxfId="4489" priority="4612">
      <formula>$E$7&lt;&gt;"Yes"</formula>
    </cfRule>
  </conditionalFormatting>
  <conditionalFormatting sqref="Z117">
    <cfRule type="expression" dxfId="4488" priority="4611">
      <formula>$E117&lt;&gt;"Yes"</formula>
    </cfRule>
  </conditionalFormatting>
  <conditionalFormatting sqref="AN117:AO117">
    <cfRule type="expression" dxfId="4487" priority="4610">
      <formula>$E$7&lt;&gt;"Yes"</formula>
    </cfRule>
  </conditionalFormatting>
  <conditionalFormatting sqref="AN117:AO117">
    <cfRule type="expression" dxfId="4486" priority="4609">
      <formula>$E117&lt;&gt;"Yes"</formula>
    </cfRule>
  </conditionalFormatting>
  <conditionalFormatting sqref="AI117">
    <cfRule type="expression" dxfId="4485" priority="4608">
      <formula>$E$7&lt;&gt;"Yes"</formula>
    </cfRule>
  </conditionalFormatting>
  <conditionalFormatting sqref="AI117">
    <cfRule type="expression" dxfId="4484" priority="4607">
      <formula>$E117&lt;&gt;"Yes"</formula>
    </cfRule>
  </conditionalFormatting>
  <conditionalFormatting sqref="F118:J118 Q118 M118:N118 AJ118:AK118 AF118:AH118 Y118">
    <cfRule type="expression" dxfId="4483" priority="4606">
      <formula>$E$7&lt;&gt;"Yes"</formula>
    </cfRule>
  </conditionalFormatting>
  <conditionalFormatting sqref="F118:J118 Q118 M118:N118 AJ118:AK118 AF118:AH118 Y118">
    <cfRule type="expression" dxfId="4482" priority="4605">
      <formula>$E118&lt;&gt;"Yes"</formula>
    </cfRule>
  </conditionalFormatting>
  <conditionalFormatting sqref="G118">
    <cfRule type="expression" dxfId="4481" priority="4604">
      <formula>$E$7&lt;&gt;"Yes"</formula>
    </cfRule>
  </conditionalFormatting>
  <conditionalFormatting sqref="K118:L118">
    <cfRule type="expression" dxfId="4480" priority="4603">
      <formula>$E$7&lt;&gt;"Yes"</formula>
    </cfRule>
  </conditionalFormatting>
  <conditionalFormatting sqref="K118:L118">
    <cfRule type="expression" dxfId="4479" priority="4602">
      <formula>$E118&lt;&gt;"Yes"</formula>
    </cfRule>
  </conditionalFormatting>
  <conditionalFormatting sqref="W118">
    <cfRule type="expression" dxfId="4478" priority="4601">
      <formula>$E$7&lt;&gt;"Yes"</formula>
    </cfRule>
  </conditionalFormatting>
  <conditionalFormatting sqref="W118">
    <cfRule type="expression" dxfId="4477" priority="4600">
      <formula>$E118&lt;&gt;"Yes"</formula>
    </cfRule>
  </conditionalFormatting>
  <conditionalFormatting sqref="AE118">
    <cfRule type="expression" dxfId="4476" priority="4599">
      <formula>$E$7&lt;&gt;"Yes"</formula>
    </cfRule>
  </conditionalFormatting>
  <conditionalFormatting sqref="AE118">
    <cfRule type="expression" dxfId="4475" priority="4598">
      <formula>$E118&lt;&gt;"Yes"</formula>
    </cfRule>
  </conditionalFormatting>
  <conditionalFormatting sqref="AB118">
    <cfRule type="expression" dxfId="4474" priority="4597">
      <formula>$E$7&lt;&gt;"Yes"</formula>
    </cfRule>
  </conditionalFormatting>
  <conditionalFormatting sqref="AB118">
    <cfRule type="expression" dxfId="4473" priority="4596">
      <formula>$E118&lt;&gt;"Yes"</formula>
    </cfRule>
  </conditionalFormatting>
  <conditionalFormatting sqref="AA118">
    <cfRule type="expression" dxfId="4472" priority="4595">
      <formula>$E$7&lt;&gt;"Yes"</formula>
    </cfRule>
  </conditionalFormatting>
  <conditionalFormatting sqref="AA118">
    <cfRule type="expression" dxfId="4471" priority="4594">
      <formula>$E118&lt;&gt;"Yes"</formula>
    </cfRule>
  </conditionalFormatting>
  <conditionalFormatting sqref="Y118">
    <cfRule type="expression" dxfId="4470" priority="4593">
      <formula>$E$7&lt;&gt;"Yes"</formula>
    </cfRule>
  </conditionalFormatting>
  <conditionalFormatting sqref="Y118">
    <cfRule type="expression" dxfId="4469" priority="4592">
      <formula>$E118&lt;&gt;"Yes"</formula>
    </cfRule>
  </conditionalFormatting>
  <conditionalFormatting sqref="O118:P118">
    <cfRule type="expression" dxfId="4468" priority="4591">
      <formula>$E$7&lt;&gt;"Yes"</formula>
    </cfRule>
  </conditionalFormatting>
  <conditionalFormatting sqref="O118:P118">
    <cfRule type="expression" dxfId="4467" priority="4590">
      <formula>$E118&lt;&gt;"Yes"</formula>
    </cfRule>
  </conditionalFormatting>
  <conditionalFormatting sqref="X118">
    <cfRule type="expression" dxfId="4466" priority="4589">
      <formula>$E$7&lt;&gt;"Yes"</formula>
    </cfRule>
  </conditionalFormatting>
  <conditionalFormatting sqref="X118">
    <cfRule type="expression" dxfId="4465" priority="4588">
      <formula>$E118&lt;&gt;"Yes"</formula>
    </cfRule>
  </conditionalFormatting>
  <conditionalFormatting sqref="AD118">
    <cfRule type="expression" dxfId="4464" priority="4587">
      <formula>$E$7&lt;&gt;"Yes"</formula>
    </cfRule>
  </conditionalFormatting>
  <conditionalFormatting sqref="AD118">
    <cfRule type="expression" dxfId="4463" priority="4586">
      <formula>$E118&lt;&gt;"Yes"</formula>
    </cfRule>
  </conditionalFormatting>
  <conditionalFormatting sqref="AC118">
    <cfRule type="expression" dxfId="4462" priority="4585">
      <formula>$E$7&lt;&gt;"Yes"</formula>
    </cfRule>
  </conditionalFormatting>
  <conditionalFormatting sqref="AC118">
    <cfRule type="expression" dxfId="4461" priority="4584">
      <formula>$E118&lt;&gt;"Yes"</formula>
    </cfRule>
  </conditionalFormatting>
  <conditionalFormatting sqref="R118:V118">
    <cfRule type="expression" dxfId="4460" priority="4583">
      <formula>$E$7&lt;&gt;"Yes"</formula>
    </cfRule>
  </conditionalFormatting>
  <conditionalFormatting sqref="R118:V118">
    <cfRule type="expression" dxfId="4459" priority="4582">
      <formula>$E118&lt;&gt;"Yes"</formula>
    </cfRule>
  </conditionalFormatting>
  <conditionalFormatting sqref="S118">
    <cfRule type="expression" dxfId="4458" priority="4581">
      <formula>$E$7&lt;&gt;"Yes"</formula>
    </cfRule>
  </conditionalFormatting>
  <conditionalFormatting sqref="S118">
    <cfRule type="expression" dxfId="4457" priority="4580">
      <formula>$E118&lt;&gt;"Yes"</formula>
    </cfRule>
  </conditionalFormatting>
  <conditionalFormatting sqref="T118">
    <cfRule type="expression" dxfId="4456" priority="4579">
      <formula>$E$7&lt;&gt;"Yes"</formula>
    </cfRule>
  </conditionalFormatting>
  <conditionalFormatting sqref="T118">
    <cfRule type="expression" dxfId="4455" priority="4578">
      <formula>$E118&lt;&gt;"Yes"</formula>
    </cfRule>
  </conditionalFormatting>
  <conditionalFormatting sqref="U118">
    <cfRule type="expression" dxfId="4454" priority="4577">
      <formula>$E$7&lt;&gt;"Yes"</formula>
    </cfRule>
  </conditionalFormatting>
  <conditionalFormatting sqref="U118">
    <cfRule type="expression" dxfId="4453" priority="4576">
      <formula>$E118&lt;&gt;"Yes"</formula>
    </cfRule>
  </conditionalFormatting>
  <conditionalFormatting sqref="V118">
    <cfRule type="expression" dxfId="4452" priority="4575">
      <formula>$E$7&lt;&gt;"Yes"</formula>
    </cfRule>
  </conditionalFormatting>
  <conditionalFormatting sqref="V118">
    <cfRule type="expression" dxfId="4451" priority="4574">
      <formula>$E118&lt;&gt;"Yes"</formula>
    </cfRule>
  </conditionalFormatting>
  <conditionalFormatting sqref="R118:V118">
    <cfRule type="expression" dxfId="4450" priority="4573">
      <formula>$E$7&lt;&gt;"Yes"</formula>
    </cfRule>
  </conditionalFormatting>
  <conditionalFormatting sqref="R118:V118">
    <cfRule type="expression" dxfId="4449" priority="4572">
      <formula>$E118&lt;&gt;"Yes"</formula>
    </cfRule>
  </conditionalFormatting>
  <conditionalFormatting sqref="Z118">
    <cfRule type="expression" dxfId="4448" priority="4571">
      <formula>$E$7&lt;&gt;"Yes"</formula>
    </cfRule>
  </conditionalFormatting>
  <conditionalFormatting sqref="Z118">
    <cfRule type="expression" dxfId="4447" priority="4570">
      <formula>$E118&lt;&gt;"Yes"</formula>
    </cfRule>
  </conditionalFormatting>
  <conditionalFormatting sqref="AN118:AO118">
    <cfRule type="expression" dxfId="4446" priority="4569">
      <formula>$E$7&lt;&gt;"Yes"</formula>
    </cfRule>
  </conditionalFormatting>
  <conditionalFormatting sqref="AN118:AO118">
    <cfRule type="expression" dxfId="4445" priority="4568">
      <formula>$E118&lt;&gt;"Yes"</formula>
    </cfRule>
  </conditionalFormatting>
  <conditionalFormatting sqref="AI118">
    <cfRule type="expression" dxfId="4444" priority="4567">
      <formula>$E$7&lt;&gt;"Yes"</formula>
    </cfRule>
  </conditionalFormatting>
  <conditionalFormatting sqref="AI118">
    <cfRule type="expression" dxfId="4443" priority="4566">
      <formula>$E118&lt;&gt;"Yes"</formula>
    </cfRule>
  </conditionalFormatting>
  <conditionalFormatting sqref="F57:J57 M57 Q57 AJ57:AK57 AF57:AH57 Y57">
    <cfRule type="expression" dxfId="4442" priority="4565">
      <formula>$E$7&lt;&gt;"Yes"</formula>
    </cfRule>
  </conditionalFormatting>
  <conditionalFormatting sqref="F57:J57 M57 Q57 AJ57:AK57 AF57:AH57 Y57">
    <cfRule type="expression" dxfId="4441" priority="4564">
      <formula>$E57&lt;&gt;"Yes"</formula>
    </cfRule>
  </conditionalFormatting>
  <conditionalFormatting sqref="G57">
    <cfRule type="expression" dxfId="4440" priority="4563">
      <formula>$E$7&lt;&gt;"Yes"</formula>
    </cfRule>
  </conditionalFormatting>
  <conditionalFormatting sqref="K57:L57">
    <cfRule type="expression" dxfId="4439" priority="4562">
      <formula>$E$7&lt;&gt;"Yes"</formula>
    </cfRule>
  </conditionalFormatting>
  <conditionalFormatting sqref="K57:L57">
    <cfRule type="expression" dxfId="4438" priority="4561">
      <formula>$E57&lt;&gt;"Yes"</formula>
    </cfRule>
  </conditionalFormatting>
  <conditionalFormatting sqref="W57">
    <cfRule type="expression" dxfId="4437" priority="4560">
      <formula>$E$7&lt;&gt;"Yes"</formula>
    </cfRule>
  </conditionalFormatting>
  <conditionalFormatting sqref="W57">
    <cfRule type="expression" dxfId="4436" priority="4559">
      <formula>$E57&lt;&gt;"Yes"</formula>
    </cfRule>
  </conditionalFormatting>
  <conditionalFormatting sqref="AE57">
    <cfRule type="expression" dxfId="4435" priority="4558">
      <formula>$E$7&lt;&gt;"Yes"</formula>
    </cfRule>
  </conditionalFormatting>
  <conditionalFormatting sqref="AE57">
    <cfRule type="expression" dxfId="4434" priority="4557">
      <formula>$E57&lt;&gt;"Yes"</formula>
    </cfRule>
  </conditionalFormatting>
  <conditionalFormatting sqref="N57">
    <cfRule type="expression" dxfId="4433" priority="4556">
      <formula>$E$7&lt;&gt;"Yes"</formula>
    </cfRule>
  </conditionalFormatting>
  <conditionalFormatting sqref="N57">
    <cfRule type="expression" dxfId="4432" priority="4555">
      <formula>$E57&lt;&gt;"Yes"</formula>
    </cfRule>
  </conditionalFormatting>
  <conditionalFormatting sqref="AB57">
    <cfRule type="expression" dxfId="4431" priority="4554">
      <formula>$E$7&lt;&gt;"Yes"</formula>
    </cfRule>
  </conditionalFormatting>
  <conditionalFormatting sqref="AB57">
    <cfRule type="expression" dxfId="4430" priority="4553">
      <formula>$E57&lt;&gt;"Yes"</formula>
    </cfRule>
  </conditionalFormatting>
  <conditionalFormatting sqref="AA57">
    <cfRule type="expression" dxfId="4429" priority="4552">
      <formula>$E$7&lt;&gt;"Yes"</formula>
    </cfRule>
  </conditionalFormatting>
  <conditionalFormatting sqref="AA57">
    <cfRule type="expression" dxfId="4428" priority="4551">
      <formula>$E57&lt;&gt;"Yes"</formula>
    </cfRule>
  </conditionalFormatting>
  <conditionalFormatting sqref="Y57">
    <cfRule type="expression" dxfId="4427" priority="4550">
      <formula>$E$7&lt;&gt;"Yes"</formula>
    </cfRule>
  </conditionalFormatting>
  <conditionalFormatting sqref="Y57">
    <cfRule type="expression" dxfId="4426" priority="4549">
      <formula>$E57&lt;&gt;"Yes"</formula>
    </cfRule>
  </conditionalFormatting>
  <conditionalFormatting sqref="O57:P57">
    <cfRule type="expression" dxfId="4425" priority="4548">
      <formula>$E$7&lt;&gt;"Yes"</formula>
    </cfRule>
  </conditionalFormatting>
  <conditionalFormatting sqref="O57:P57">
    <cfRule type="expression" dxfId="4424" priority="4547">
      <formula>$E57&lt;&gt;"Yes"</formula>
    </cfRule>
  </conditionalFormatting>
  <conditionalFormatting sqref="X57">
    <cfRule type="expression" dxfId="4423" priority="4546">
      <formula>$E$7&lt;&gt;"Yes"</formula>
    </cfRule>
  </conditionalFormatting>
  <conditionalFormatting sqref="X57">
    <cfRule type="expression" dxfId="4422" priority="4545">
      <formula>$E57&lt;&gt;"Yes"</formula>
    </cfRule>
  </conditionalFormatting>
  <conditionalFormatting sqref="AD57">
    <cfRule type="expression" dxfId="4421" priority="4544">
      <formula>$E$7&lt;&gt;"Yes"</formula>
    </cfRule>
  </conditionalFormatting>
  <conditionalFormatting sqref="AD57">
    <cfRule type="expression" dxfId="4420" priority="4543">
      <formula>$E57&lt;&gt;"Yes"</formula>
    </cfRule>
  </conditionalFormatting>
  <conditionalFormatting sqref="AC57">
    <cfRule type="expression" dxfId="4419" priority="4542">
      <formula>$E$7&lt;&gt;"Yes"</formula>
    </cfRule>
  </conditionalFormatting>
  <conditionalFormatting sqref="AC57">
    <cfRule type="expression" dxfId="4418" priority="4541">
      <formula>$E57&lt;&gt;"Yes"</formula>
    </cfRule>
  </conditionalFormatting>
  <conditionalFormatting sqref="R57:V57">
    <cfRule type="expression" dxfId="4417" priority="4540">
      <formula>$E$7&lt;&gt;"Yes"</formula>
    </cfRule>
  </conditionalFormatting>
  <conditionalFormatting sqref="R57:V57">
    <cfRule type="expression" dxfId="4416" priority="4539">
      <formula>$E57&lt;&gt;"Yes"</formula>
    </cfRule>
  </conditionalFormatting>
  <conditionalFormatting sqref="S57">
    <cfRule type="expression" dxfId="4415" priority="4538">
      <formula>$E$7&lt;&gt;"Yes"</formula>
    </cfRule>
  </conditionalFormatting>
  <conditionalFormatting sqref="S57">
    <cfRule type="expression" dxfId="4414" priority="4537">
      <formula>$E57&lt;&gt;"Yes"</formula>
    </cfRule>
  </conditionalFormatting>
  <conditionalFormatting sqref="T57">
    <cfRule type="expression" dxfId="4413" priority="4536">
      <formula>$E$7&lt;&gt;"Yes"</formula>
    </cfRule>
  </conditionalFormatting>
  <conditionalFormatting sqref="T57">
    <cfRule type="expression" dxfId="4412" priority="4535">
      <formula>$E57&lt;&gt;"Yes"</formula>
    </cfRule>
  </conditionalFormatting>
  <conditionalFormatting sqref="U57">
    <cfRule type="expression" dxfId="4411" priority="4534">
      <formula>$E$7&lt;&gt;"Yes"</formula>
    </cfRule>
  </conditionalFormatting>
  <conditionalFormatting sqref="U57">
    <cfRule type="expression" dxfId="4410" priority="4533">
      <formula>$E57&lt;&gt;"Yes"</formula>
    </cfRule>
  </conditionalFormatting>
  <conditionalFormatting sqref="V57">
    <cfRule type="expression" dxfId="4409" priority="4532">
      <formula>$E$7&lt;&gt;"Yes"</formula>
    </cfRule>
  </conditionalFormatting>
  <conditionalFormatting sqref="V57">
    <cfRule type="expression" dxfId="4408" priority="4531">
      <formula>$E57&lt;&gt;"Yes"</formula>
    </cfRule>
  </conditionalFormatting>
  <conditionalFormatting sqref="R57:V57">
    <cfRule type="expression" dxfId="4407" priority="4530">
      <formula>$E$7&lt;&gt;"Yes"</formula>
    </cfRule>
  </conditionalFormatting>
  <conditionalFormatting sqref="R57:V57">
    <cfRule type="expression" dxfId="4406" priority="4529">
      <formula>$E57&lt;&gt;"Yes"</formula>
    </cfRule>
  </conditionalFormatting>
  <conditionalFormatting sqref="Z57">
    <cfRule type="expression" dxfId="4405" priority="4528">
      <formula>$E$7&lt;&gt;"Yes"</formula>
    </cfRule>
  </conditionalFormatting>
  <conditionalFormatting sqref="Z57">
    <cfRule type="expression" dxfId="4404" priority="4527">
      <formula>$E57&lt;&gt;"Yes"</formula>
    </cfRule>
  </conditionalFormatting>
  <conditionalFormatting sqref="AN57:AO57">
    <cfRule type="expression" dxfId="4403" priority="4526">
      <formula>$E$7&lt;&gt;"Yes"</formula>
    </cfRule>
  </conditionalFormatting>
  <conditionalFormatting sqref="AN57:AO57">
    <cfRule type="expression" dxfId="4402" priority="4525">
      <formula>$E57&lt;&gt;"Yes"</formula>
    </cfRule>
  </conditionalFormatting>
  <conditionalFormatting sqref="AI57">
    <cfRule type="expression" dxfId="4401" priority="4524">
      <formula>$E$7&lt;&gt;"Yes"</formula>
    </cfRule>
  </conditionalFormatting>
  <conditionalFormatting sqref="AI57">
    <cfRule type="expression" dxfId="4400" priority="4523">
      <formula>$E57&lt;&gt;"Yes"</formula>
    </cfRule>
  </conditionalFormatting>
  <conditionalFormatting sqref="F58:J58 M58 Q58 AJ58:AK58 AF58:AH58 Y58">
    <cfRule type="expression" dxfId="4399" priority="4522">
      <formula>$E$7&lt;&gt;"Yes"</formula>
    </cfRule>
  </conditionalFormatting>
  <conditionalFormatting sqref="F58:J58 M58 Q58 AJ58:AK58 AF58:AH58 Y58">
    <cfRule type="expression" dxfId="4398" priority="4521">
      <formula>$E58&lt;&gt;"Yes"</formula>
    </cfRule>
  </conditionalFormatting>
  <conditionalFormatting sqref="G58">
    <cfRule type="expression" dxfId="4397" priority="4520">
      <formula>$E$7&lt;&gt;"Yes"</formula>
    </cfRule>
  </conditionalFormatting>
  <conditionalFormatting sqref="K58:L58">
    <cfRule type="expression" dxfId="4396" priority="4519">
      <formula>$E$7&lt;&gt;"Yes"</formula>
    </cfRule>
  </conditionalFormatting>
  <conditionalFormatting sqref="K58:L58">
    <cfRule type="expression" dxfId="4395" priority="4518">
      <formula>$E58&lt;&gt;"Yes"</formula>
    </cfRule>
  </conditionalFormatting>
  <conditionalFormatting sqref="W58">
    <cfRule type="expression" dxfId="4394" priority="4517">
      <formula>$E$7&lt;&gt;"Yes"</formula>
    </cfRule>
  </conditionalFormatting>
  <conditionalFormatting sqref="W58">
    <cfRule type="expression" dxfId="4393" priority="4516">
      <formula>$E58&lt;&gt;"Yes"</formula>
    </cfRule>
  </conditionalFormatting>
  <conditionalFormatting sqref="AE58">
    <cfRule type="expression" dxfId="4392" priority="4515">
      <formula>$E$7&lt;&gt;"Yes"</formula>
    </cfRule>
  </conditionalFormatting>
  <conditionalFormatting sqref="AE58">
    <cfRule type="expression" dxfId="4391" priority="4514">
      <formula>$E58&lt;&gt;"Yes"</formula>
    </cfRule>
  </conditionalFormatting>
  <conditionalFormatting sqref="N58">
    <cfRule type="expression" dxfId="4390" priority="4513">
      <formula>$E$7&lt;&gt;"Yes"</formula>
    </cfRule>
  </conditionalFormatting>
  <conditionalFormatting sqref="N58">
    <cfRule type="expression" dxfId="4389" priority="4512">
      <formula>$E58&lt;&gt;"Yes"</formula>
    </cfRule>
  </conditionalFormatting>
  <conditionalFormatting sqref="AB58">
    <cfRule type="expression" dxfId="4388" priority="4511">
      <formula>$E$7&lt;&gt;"Yes"</formula>
    </cfRule>
  </conditionalFormatting>
  <conditionalFormatting sqref="AB58">
    <cfRule type="expression" dxfId="4387" priority="4510">
      <formula>$E58&lt;&gt;"Yes"</formula>
    </cfRule>
  </conditionalFormatting>
  <conditionalFormatting sqref="AA58">
    <cfRule type="expression" dxfId="4386" priority="4509">
      <formula>$E$7&lt;&gt;"Yes"</formula>
    </cfRule>
  </conditionalFormatting>
  <conditionalFormatting sqref="AA58">
    <cfRule type="expression" dxfId="4385" priority="4508">
      <formula>$E58&lt;&gt;"Yes"</formula>
    </cfRule>
  </conditionalFormatting>
  <conditionalFormatting sqref="Y58">
    <cfRule type="expression" dxfId="4384" priority="4507">
      <formula>$E$7&lt;&gt;"Yes"</formula>
    </cfRule>
  </conditionalFormatting>
  <conditionalFormatting sqref="Y58">
    <cfRule type="expression" dxfId="4383" priority="4506">
      <formula>$E58&lt;&gt;"Yes"</formula>
    </cfRule>
  </conditionalFormatting>
  <conditionalFormatting sqref="O58:P58">
    <cfRule type="expression" dxfId="4382" priority="4505">
      <formula>$E$7&lt;&gt;"Yes"</formula>
    </cfRule>
  </conditionalFormatting>
  <conditionalFormatting sqref="O58:P58">
    <cfRule type="expression" dxfId="4381" priority="4504">
      <formula>$E58&lt;&gt;"Yes"</formula>
    </cfRule>
  </conditionalFormatting>
  <conditionalFormatting sqref="X58">
    <cfRule type="expression" dxfId="4380" priority="4503">
      <formula>$E$7&lt;&gt;"Yes"</formula>
    </cfRule>
  </conditionalFormatting>
  <conditionalFormatting sqref="X58">
    <cfRule type="expression" dxfId="4379" priority="4502">
      <formula>$E58&lt;&gt;"Yes"</formula>
    </cfRule>
  </conditionalFormatting>
  <conditionalFormatting sqref="AD58">
    <cfRule type="expression" dxfId="4378" priority="4501">
      <formula>$E$7&lt;&gt;"Yes"</formula>
    </cfRule>
  </conditionalFormatting>
  <conditionalFormatting sqref="AD58">
    <cfRule type="expression" dxfId="4377" priority="4500">
      <formula>$E58&lt;&gt;"Yes"</formula>
    </cfRule>
  </conditionalFormatting>
  <conditionalFormatting sqref="AC58">
    <cfRule type="expression" dxfId="4376" priority="4499">
      <formula>$E$7&lt;&gt;"Yes"</formula>
    </cfRule>
  </conditionalFormatting>
  <conditionalFormatting sqref="AC58">
    <cfRule type="expression" dxfId="4375" priority="4498">
      <formula>$E58&lt;&gt;"Yes"</formula>
    </cfRule>
  </conditionalFormatting>
  <conditionalFormatting sqref="R58:V58">
    <cfRule type="expression" dxfId="4374" priority="4497">
      <formula>$E$7&lt;&gt;"Yes"</formula>
    </cfRule>
  </conditionalFormatting>
  <conditionalFormatting sqref="R58:V58">
    <cfRule type="expression" dxfId="4373" priority="4496">
      <formula>$E58&lt;&gt;"Yes"</formula>
    </cfRule>
  </conditionalFormatting>
  <conditionalFormatting sqref="S58">
    <cfRule type="expression" dxfId="4372" priority="4495">
      <formula>$E$7&lt;&gt;"Yes"</formula>
    </cfRule>
  </conditionalFormatting>
  <conditionalFormatting sqref="S58">
    <cfRule type="expression" dxfId="4371" priority="4494">
      <formula>$E58&lt;&gt;"Yes"</formula>
    </cfRule>
  </conditionalFormatting>
  <conditionalFormatting sqref="T58">
    <cfRule type="expression" dxfId="4370" priority="4493">
      <formula>$E$7&lt;&gt;"Yes"</formula>
    </cfRule>
  </conditionalFormatting>
  <conditionalFormatting sqref="T58">
    <cfRule type="expression" dxfId="4369" priority="4492">
      <formula>$E58&lt;&gt;"Yes"</formula>
    </cfRule>
  </conditionalFormatting>
  <conditionalFormatting sqref="U58">
    <cfRule type="expression" dxfId="4368" priority="4491">
      <formula>$E$7&lt;&gt;"Yes"</formula>
    </cfRule>
  </conditionalFormatting>
  <conditionalFormatting sqref="U58">
    <cfRule type="expression" dxfId="4367" priority="4490">
      <formula>$E58&lt;&gt;"Yes"</formula>
    </cfRule>
  </conditionalFormatting>
  <conditionalFormatting sqref="V58">
    <cfRule type="expression" dxfId="4366" priority="4489">
      <formula>$E$7&lt;&gt;"Yes"</formula>
    </cfRule>
  </conditionalFormatting>
  <conditionalFormatting sqref="V58">
    <cfRule type="expression" dxfId="4365" priority="4488">
      <formula>$E58&lt;&gt;"Yes"</formula>
    </cfRule>
  </conditionalFormatting>
  <conditionalFormatting sqref="R58:V58">
    <cfRule type="expression" dxfId="4364" priority="4487">
      <formula>$E$7&lt;&gt;"Yes"</formula>
    </cfRule>
  </conditionalFormatting>
  <conditionalFormatting sqref="R58:V58">
    <cfRule type="expression" dxfId="4363" priority="4486">
      <formula>$E58&lt;&gt;"Yes"</formula>
    </cfRule>
  </conditionalFormatting>
  <conditionalFormatting sqref="Z58">
    <cfRule type="expression" dxfId="4362" priority="4485">
      <formula>$E$7&lt;&gt;"Yes"</formula>
    </cfRule>
  </conditionalFormatting>
  <conditionalFormatting sqref="Z58">
    <cfRule type="expression" dxfId="4361" priority="4484">
      <formula>$E58&lt;&gt;"Yes"</formula>
    </cfRule>
  </conditionalFormatting>
  <conditionalFormatting sqref="AN58">
    <cfRule type="expression" dxfId="4360" priority="4483">
      <formula>$E$7&lt;&gt;"Yes"</formula>
    </cfRule>
  </conditionalFormatting>
  <conditionalFormatting sqref="AN58">
    <cfRule type="expression" dxfId="4359" priority="4482">
      <formula>$E58&lt;&gt;"Yes"</formula>
    </cfRule>
  </conditionalFormatting>
  <conditionalFormatting sqref="AI58">
    <cfRule type="expression" dxfId="4358" priority="4481">
      <formula>$E$7&lt;&gt;"Yes"</formula>
    </cfRule>
  </conditionalFormatting>
  <conditionalFormatting sqref="AI58">
    <cfRule type="expression" dxfId="4357" priority="4480">
      <formula>$E58&lt;&gt;"Yes"</formula>
    </cfRule>
  </conditionalFormatting>
  <conditionalFormatting sqref="F59:J59 M59 Q59 AJ59:AK59 AF59:AH59 Y59">
    <cfRule type="expression" dxfId="4356" priority="4479">
      <formula>$E$7&lt;&gt;"Yes"</formula>
    </cfRule>
  </conditionalFormatting>
  <conditionalFormatting sqref="F59:J59 M59 Q59 AJ59:AK59 AF59:AH59 Y59">
    <cfRule type="expression" dxfId="4355" priority="4478">
      <formula>$E59&lt;&gt;"Yes"</formula>
    </cfRule>
  </conditionalFormatting>
  <conditionalFormatting sqref="G59">
    <cfRule type="expression" dxfId="4354" priority="4477">
      <formula>$E$7&lt;&gt;"Yes"</formula>
    </cfRule>
  </conditionalFormatting>
  <conditionalFormatting sqref="K59:L59">
    <cfRule type="expression" dxfId="4353" priority="4476">
      <formula>$E$7&lt;&gt;"Yes"</formula>
    </cfRule>
  </conditionalFormatting>
  <conditionalFormatting sqref="K59:L59">
    <cfRule type="expression" dxfId="4352" priority="4475">
      <formula>$E59&lt;&gt;"Yes"</formula>
    </cfRule>
  </conditionalFormatting>
  <conditionalFormatting sqref="W59">
    <cfRule type="expression" dxfId="4351" priority="4474">
      <formula>$E$7&lt;&gt;"Yes"</formula>
    </cfRule>
  </conditionalFormatting>
  <conditionalFormatting sqref="W59">
    <cfRule type="expression" dxfId="4350" priority="4473">
      <formula>$E59&lt;&gt;"Yes"</formula>
    </cfRule>
  </conditionalFormatting>
  <conditionalFormatting sqref="AE59">
    <cfRule type="expression" dxfId="4349" priority="4472">
      <formula>$E$7&lt;&gt;"Yes"</formula>
    </cfRule>
  </conditionalFormatting>
  <conditionalFormatting sqref="AE59">
    <cfRule type="expression" dxfId="4348" priority="4471">
      <formula>$E59&lt;&gt;"Yes"</formula>
    </cfRule>
  </conditionalFormatting>
  <conditionalFormatting sqref="N59">
    <cfRule type="expression" dxfId="4347" priority="4470">
      <formula>$E$7&lt;&gt;"Yes"</formula>
    </cfRule>
  </conditionalFormatting>
  <conditionalFormatting sqref="N59">
    <cfRule type="expression" dxfId="4346" priority="4469">
      <formula>$E59&lt;&gt;"Yes"</formula>
    </cfRule>
  </conditionalFormatting>
  <conditionalFormatting sqref="AB59">
    <cfRule type="expression" dxfId="4345" priority="4468">
      <formula>$E$7&lt;&gt;"Yes"</formula>
    </cfRule>
  </conditionalFormatting>
  <conditionalFormatting sqref="AB59">
    <cfRule type="expression" dxfId="4344" priority="4467">
      <formula>$E59&lt;&gt;"Yes"</formula>
    </cfRule>
  </conditionalFormatting>
  <conditionalFormatting sqref="AA59">
    <cfRule type="expression" dxfId="4343" priority="4466">
      <formula>$E$7&lt;&gt;"Yes"</formula>
    </cfRule>
  </conditionalFormatting>
  <conditionalFormatting sqref="AA59">
    <cfRule type="expression" dxfId="4342" priority="4465">
      <formula>$E59&lt;&gt;"Yes"</formula>
    </cfRule>
  </conditionalFormatting>
  <conditionalFormatting sqref="Y59">
    <cfRule type="expression" dxfId="4341" priority="4464">
      <formula>$E$7&lt;&gt;"Yes"</formula>
    </cfRule>
  </conditionalFormatting>
  <conditionalFormatting sqref="Y59">
    <cfRule type="expression" dxfId="4340" priority="4463">
      <formula>$E59&lt;&gt;"Yes"</formula>
    </cfRule>
  </conditionalFormatting>
  <conditionalFormatting sqref="O59:P59">
    <cfRule type="expression" dxfId="4339" priority="4462">
      <formula>$E$7&lt;&gt;"Yes"</formula>
    </cfRule>
  </conditionalFormatting>
  <conditionalFormatting sqref="O59:P59">
    <cfRule type="expression" dxfId="4338" priority="4461">
      <formula>$E59&lt;&gt;"Yes"</formula>
    </cfRule>
  </conditionalFormatting>
  <conditionalFormatting sqref="X59">
    <cfRule type="expression" dxfId="4337" priority="4460">
      <formula>$E$7&lt;&gt;"Yes"</formula>
    </cfRule>
  </conditionalFormatting>
  <conditionalFormatting sqref="X59">
    <cfRule type="expression" dxfId="4336" priority="4459">
      <formula>$E59&lt;&gt;"Yes"</formula>
    </cfRule>
  </conditionalFormatting>
  <conditionalFormatting sqref="AD59">
    <cfRule type="expression" dxfId="4335" priority="4458">
      <formula>$E$7&lt;&gt;"Yes"</formula>
    </cfRule>
  </conditionalFormatting>
  <conditionalFormatting sqref="AD59">
    <cfRule type="expression" dxfId="4334" priority="4457">
      <formula>$E59&lt;&gt;"Yes"</formula>
    </cfRule>
  </conditionalFormatting>
  <conditionalFormatting sqref="AC59">
    <cfRule type="expression" dxfId="4333" priority="4456">
      <formula>$E$7&lt;&gt;"Yes"</formula>
    </cfRule>
  </conditionalFormatting>
  <conditionalFormatting sqref="AC59">
    <cfRule type="expression" dxfId="4332" priority="4455">
      <formula>$E59&lt;&gt;"Yes"</formula>
    </cfRule>
  </conditionalFormatting>
  <conditionalFormatting sqref="R59:V59">
    <cfRule type="expression" dxfId="4331" priority="4454">
      <formula>$E$7&lt;&gt;"Yes"</formula>
    </cfRule>
  </conditionalFormatting>
  <conditionalFormatting sqref="R59:V59">
    <cfRule type="expression" dxfId="4330" priority="4453">
      <formula>$E59&lt;&gt;"Yes"</formula>
    </cfRule>
  </conditionalFormatting>
  <conditionalFormatting sqref="S59">
    <cfRule type="expression" dxfId="4329" priority="4452">
      <formula>$E$7&lt;&gt;"Yes"</formula>
    </cfRule>
  </conditionalFormatting>
  <conditionalFormatting sqref="S59">
    <cfRule type="expression" dxfId="4328" priority="4451">
      <formula>$E59&lt;&gt;"Yes"</formula>
    </cfRule>
  </conditionalFormatting>
  <conditionalFormatting sqref="T59">
    <cfRule type="expression" dxfId="4327" priority="4450">
      <formula>$E$7&lt;&gt;"Yes"</formula>
    </cfRule>
  </conditionalFormatting>
  <conditionalFormatting sqref="T59">
    <cfRule type="expression" dxfId="4326" priority="4449">
      <formula>$E59&lt;&gt;"Yes"</formula>
    </cfRule>
  </conditionalFormatting>
  <conditionalFormatting sqref="U59">
    <cfRule type="expression" dxfId="4325" priority="4448">
      <formula>$E$7&lt;&gt;"Yes"</formula>
    </cfRule>
  </conditionalFormatting>
  <conditionalFormatting sqref="U59">
    <cfRule type="expression" dxfId="4324" priority="4447">
      <formula>$E59&lt;&gt;"Yes"</formula>
    </cfRule>
  </conditionalFormatting>
  <conditionalFormatting sqref="V59">
    <cfRule type="expression" dxfId="4323" priority="4446">
      <formula>$E$7&lt;&gt;"Yes"</formula>
    </cfRule>
  </conditionalFormatting>
  <conditionalFormatting sqref="V59">
    <cfRule type="expression" dxfId="4322" priority="4445">
      <formula>$E59&lt;&gt;"Yes"</formula>
    </cfRule>
  </conditionalFormatting>
  <conditionalFormatting sqref="R59:V59">
    <cfRule type="expression" dxfId="4321" priority="4444">
      <formula>$E$7&lt;&gt;"Yes"</formula>
    </cfRule>
  </conditionalFormatting>
  <conditionalFormatting sqref="R59:V59">
    <cfRule type="expression" dxfId="4320" priority="4443">
      <formula>$E59&lt;&gt;"Yes"</formula>
    </cfRule>
  </conditionalFormatting>
  <conditionalFormatting sqref="Z59">
    <cfRule type="expression" dxfId="4319" priority="4442">
      <formula>$E$7&lt;&gt;"Yes"</formula>
    </cfRule>
  </conditionalFormatting>
  <conditionalFormatting sqref="Z59">
    <cfRule type="expression" dxfId="4318" priority="4441">
      <formula>$E59&lt;&gt;"Yes"</formula>
    </cfRule>
  </conditionalFormatting>
  <conditionalFormatting sqref="AN59">
    <cfRule type="expression" dxfId="4317" priority="4440">
      <formula>$E$7&lt;&gt;"Yes"</formula>
    </cfRule>
  </conditionalFormatting>
  <conditionalFormatting sqref="AN59">
    <cfRule type="expression" dxfId="4316" priority="4439">
      <formula>$E59&lt;&gt;"Yes"</formula>
    </cfRule>
  </conditionalFormatting>
  <conditionalFormatting sqref="AI59">
    <cfRule type="expression" dxfId="4315" priority="4438">
      <formula>$E$7&lt;&gt;"Yes"</formula>
    </cfRule>
  </conditionalFormatting>
  <conditionalFormatting sqref="AI59">
    <cfRule type="expression" dxfId="4314" priority="4437">
      <formula>$E59&lt;&gt;"Yes"</formula>
    </cfRule>
  </conditionalFormatting>
  <conditionalFormatting sqref="F60:J60 M60 Q60 AJ60:AK60 AF60:AH60 Y60">
    <cfRule type="expression" dxfId="4313" priority="4436">
      <formula>$E$7&lt;&gt;"Yes"</formula>
    </cfRule>
  </conditionalFormatting>
  <conditionalFormatting sqref="F60:J60 M60 Q60 AJ60:AK60 AF60:AH60 Y60">
    <cfRule type="expression" dxfId="4312" priority="4435">
      <formula>$E60&lt;&gt;"Yes"</formula>
    </cfRule>
  </conditionalFormatting>
  <conditionalFormatting sqref="G60">
    <cfRule type="expression" dxfId="4311" priority="4434">
      <formula>$E$7&lt;&gt;"Yes"</formula>
    </cfRule>
  </conditionalFormatting>
  <conditionalFormatting sqref="K60:L60">
    <cfRule type="expression" dxfId="4310" priority="4433">
      <formula>$E$7&lt;&gt;"Yes"</formula>
    </cfRule>
  </conditionalFormatting>
  <conditionalFormatting sqref="K60:L60">
    <cfRule type="expression" dxfId="4309" priority="4432">
      <formula>$E60&lt;&gt;"Yes"</formula>
    </cfRule>
  </conditionalFormatting>
  <conditionalFormatting sqref="W60">
    <cfRule type="expression" dxfId="4308" priority="4431">
      <formula>$E$7&lt;&gt;"Yes"</formula>
    </cfRule>
  </conditionalFormatting>
  <conditionalFormatting sqref="W60">
    <cfRule type="expression" dxfId="4307" priority="4430">
      <formula>$E60&lt;&gt;"Yes"</formula>
    </cfRule>
  </conditionalFormatting>
  <conditionalFormatting sqref="AE60">
    <cfRule type="expression" dxfId="4306" priority="4429">
      <formula>$E$7&lt;&gt;"Yes"</formula>
    </cfRule>
  </conditionalFormatting>
  <conditionalFormatting sqref="AE60">
    <cfRule type="expression" dxfId="4305" priority="4428">
      <formula>$E60&lt;&gt;"Yes"</formula>
    </cfRule>
  </conditionalFormatting>
  <conditionalFormatting sqref="N60">
    <cfRule type="expression" dxfId="4304" priority="4427">
      <formula>$E$7&lt;&gt;"Yes"</formula>
    </cfRule>
  </conditionalFormatting>
  <conditionalFormatting sqref="N60">
    <cfRule type="expression" dxfId="4303" priority="4426">
      <formula>$E60&lt;&gt;"Yes"</formula>
    </cfRule>
  </conditionalFormatting>
  <conditionalFormatting sqref="AB60">
    <cfRule type="expression" dxfId="4302" priority="4425">
      <formula>$E$7&lt;&gt;"Yes"</formula>
    </cfRule>
  </conditionalFormatting>
  <conditionalFormatting sqref="AB60">
    <cfRule type="expression" dxfId="4301" priority="4424">
      <formula>$E60&lt;&gt;"Yes"</formula>
    </cfRule>
  </conditionalFormatting>
  <conditionalFormatting sqref="AA60">
    <cfRule type="expression" dxfId="4300" priority="4423">
      <formula>$E$7&lt;&gt;"Yes"</formula>
    </cfRule>
  </conditionalFormatting>
  <conditionalFormatting sqref="AA60">
    <cfRule type="expression" dxfId="4299" priority="4422">
      <formula>$E60&lt;&gt;"Yes"</formula>
    </cfRule>
  </conditionalFormatting>
  <conditionalFormatting sqref="Y60">
    <cfRule type="expression" dxfId="4298" priority="4421">
      <formula>$E$7&lt;&gt;"Yes"</formula>
    </cfRule>
  </conditionalFormatting>
  <conditionalFormatting sqref="Y60">
    <cfRule type="expression" dxfId="4297" priority="4420">
      <formula>$E60&lt;&gt;"Yes"</formula>
    </cfRule>
  </conditionalFormatting>
  <conditionalFormatting sqref="O60:P60">
    <cfRule type="expression" dxfId="4296" priority="4419">
      <formula>$E$7&lt;&gt;"Yes"</formula>
    </cfRule>
  </conditionalFormatting>
  <conditionalFormatting sqref="O60:P60">
    <cfRule type="expression" dxfId="4295" priority="4418">
      <formula>$E60&lt;&gt;"Yes"</formula>
    </cfRule>
  </conditionalFormatting>
  <conditionalFormatting sqref="X60">
    <cfRule type="expression" dxfId="4294" priority="4417">
      <formula>$E$7&lt;&gt;"Yes"</formula>
    </cfRule>
  </conditionalFormatting>
  <conditionalFormatting sqref="X60">
    <cfRule type="expression" dxfId="4293" priority="4416">
      <formula>$E60&lt;&gt;"Yes"</formula>
    </cfRule>
  </conditionalFormatting>
  <conditionalFormatting sqref="AD60">
    <cfRule type="expression" dxfId="4292" priority="4415">
      <formula>$E$7&lt;&gt;"Yes"</formula>
    </cfRule>
  </conditionalFormatting>
  <conditionalFormatting sqref="AD60">
    <cfRule type="expression" dxfId="4291" priority="4414">
      <formula>$E60&lt;&gt;"Yes"</formula>
    </cfRule>
  </conditionalFormatting>
  <conditionalFormatting sqref="AC60">
    <cfRule type="expression" dxfId="4290" priority="4413">
      <formula>$E$7&lt;&gt;"Yes"</formula>
    </cfRule>
  </conditionalFormatting>
  <conditionalFormatting sqref="AC60">
    <cfRule type="expression" dxfId="4289" priority="4412">
      <formula>$E60&lt;&gt;"Yes"</formula>
    </cfRule>
  </conditionalFormatting>
  <conditionalFormatting sqref="R60:V60">
    <cfRule type="expression" dxfId="4288" priority="4411">
      <formula>$E$7&lt;&gt;"Yes"</formula>
    </cfRule>
  </conditionalFormatting>
  <conditionalFormatting sqref="R60:V60">
    <cfRule type="expression" dxfId="4287" priority="4410">
      <formula>$E60&lt;&gt;"Yes"</formula>
    </cfRule>
  </conditionalFormatting>
  <conditionalFormatting sqref="S60">
    <cfRule type="expression" dxfId="4286" priority="4409">
      <formula>$E$7&lt;&gt;"Yes"</formula>
    </cfRule>
  </conditionalFormatting>
  <conditionalFormatting sqref="S60">
    <cfRule type="expression" dxfId="4285" priority="4408">
      <formula>$E60&lt;&gt;"Yes"</formula>
    </cfRule>
  </conditionalFormatting>
  <conditionalFormatting sqref="T60">
    <cfRule type="expression" dxfId="4284" priority="4407">
      <formula>$E$7&lt;&gt;"Yes"</formula>
    </cfRule>
  </conditionalFormatting>
  <conditionalFormatting sqref="T60">
    <cfRule type="expression" dxfId="4283" priority="4406">
      <formula>$E60&lt;&gt;"Yes"</formula>
    </cfRule>
  </conditionalFormatting>
  <conditionalFormatting sqref="U60">
    <cfRule type="expression" dxfId="4282" priority="4405">
      <formula>$E$7&lt;&gt;"Yes"</formula>
    </cfRule>
  </conditionalFormatting>
  <conditionalFormatting sqref="U60">
    <cfRule type="expression" dxfId="4281" priority="4404">
      <formula>$E60&lt;&gt;"Yes"</formula>
    </cfRule>
  </conditionalFormatting>
  <conditionalFormatting sqref="V60">
    <cfRule type="expression" dxfId="4280" priority="4403">
      <formula>$E$7&lt;&gt;"Yes"</formula>
    </cfRule>
  </conditionalFormatting>
  <conditionalFormatting sqref="V60">
    <cfRule type="expression" dxfId="4279" priority="4402">
      <formula>$E60&lt;&gt;"Yes"</formula>
    </cfRule>
  </conditionalFormatting>
  <conditionalFormatting sqref="R60:V60">
    <cfRule type="expression" dxfId="4278" priority="4401">
      <formula>$E$7&lt;&gt;"Yes"</formula>
    </cfRule>
  </conditionalFormatting>
  <conditionalFormatting sqref="R60:V60">
    <cfRule type="expression" dxfId="4277" priority="4400">
      <formula>$E60&lt;&gt;"Yes"</formula>
    </cfRule>
  </conditionalFormatting>
  <conditionalFormatting sqref="Z60">
    <cfRule type="expression" dxfId="4276" priority="4399">
      <formula>$E$7&lt;&gt;"Yes"</formula>
    </cfRule>
  </conditionalFormatting>
  <conditionalFormatting sqref="Z60">
    <cfRule type="expression" dxfId="4275" priority="4398">
      <formula>$E60&lt;&gt;"Yes"</formula>
    </cfRule>
  </conditionalFormatting>
  <conditionalFormatting sqref="AN60">
    <cfRule type="expression" dxfId="4274" priority="4397">
      <formula>$E$7&lt;&gt;"Yes"</formula>
    </cfRule>
  </conditionalFormatting>
  <conditionalFormatting sqref="AN60">
    <cfRule type="expression" dxfId="4273" priority="4396">
      <formula>$E60&lt;&gt;"Yes"</formula>
    </cfRule>
  </conditionalFormatting>
  <conditionalFormatting sqref="AI60">
    <cfRule type="expression" dxfId="4272" priority="4395">
      <formula>$E$7&lt;&gt;"Yes"</formula>
    </cfRule>
  </conditionalFormatting>
  <conditionalFormatting sqref="AI60">
    <cfRule type="expression" dxfId="4271" priority="4394">
      <formula>$E60&lt;&gt;"Yes"</formula>
    </cfRule>
  </conditionalFormatting>
  <conditionalFormatting sqref="F86:J86 M86 Q86 AJ86:AK86 AF86:AH86 Y86">
    <cfRule type="expression" dxfId="4270" priority="4393">
      <formula>$E$7&lt;&gt;"Yes"</formula>
    </cfRule>
  </conditionalFormatting>
  <conditionalFormatting sqref="F86:J86 M86 Q86 AJ86:AK86 AF86:AH86 Y86">
    <cfRule type="expression" dxfId="4269" priority="4392">
      <formula>$E86&lt;&gt;"Yes"</formula>
    </cfRule>
  </conditionalFormatting>
  <conditionalFormatting sqref="G86">
    <cfRule type="expression" dxfId="4268" priority="4391">
      <formula>$E$7&lt;&gt;"Yes"</formula>
    </cfRule>
  </conditionalFormatting>
  <conditionalFormatting sqref="K86:L86">
    <cfRule type="expression" dxfId="4267" priority="4390">
      <formula>$E$7&lt;&gt;"Yes"</formula>
    </cfRule>
  </conditionalFormatting>
  <conditionalFormatting sqref="K86:L86">
    <cfRule type="expression" dxfId="4266" priority="4389">
      <formula>$E86&lt;&gt;"Yes"</formula>
    </cfRule>
  </conditionalFormatting>
  <conditionalFormatting sqref="W86">
    <cfRule type="expression" dxfId="4265" priority="4388">
      <formula>$E$7&lt;&gt;"Yes"</formula>
    </cfRule>
  </conditionalFormatting>
  <conditionalFormatting sqref="W86">
    <cfRule type="expression" dxfId="4264" priority="4387">
      <formula>$E86&lt;&gt;"Yes"</formula>
    </cfRule>
  </conditionalFormatting>
  <conditionalFormatting sqref="AE86">
    <cfRule type="expression" dxfId="4263" priority="4386">
      <formula>$E$7&lt;&gt;"Yes"</formula>
    </cfRule>
  </conditionalFormatting>
  <conditionalFormatting sqref="AE86">
    <cfRule type="expression" dxfId="4262" priority="4385">
      <formula>$E86&lt;&gt;"Yes"</formula>
    </cfRule>
  </conditionalFormatting>
  <conditionalFormatting sqref="N86">
    <cfRule type="expression" dxfId="4261" priority="4384">
      <formula>$E$7&lt;&gt;"Yes"</formula>
    </cfRule>
  </conditionalFormatting>
  <conditionalFormatting sqref="N86">
    <cfRule type="expression" dxfId="4260" priority="4383">
      <formula>$E86&lt;&gt;"Yes"</formula>
    </cfRule>
  </conditionalFormatting>
  <conditionalFormatting sqref="AB86">
    <cfRule type="expression" dxfId="4259" priority="4382">
      <formula>$E$7&lt;&gt;"Yes"</formula>
    </cfRule>
  </conditionalFormatting>
  <conditionalFormatting sqref="AB86">
    <cfRule type="expression" dxfId="4258" priority="4381">
      <formula>$E86&lt;&gt;"Yes"</formula>
    </cfRule>
  </conditionalFormatting>
  <conditionalFormatting sqref="AA86">
    <cfRule type="expression" dxfId="4257" priority="4380">
      <formula>$E$7&lt;&gt;"Yes"</formula>
    </cfRule>
  </conditionalFormatting>
  <conditionalFormatting sqref="AA86">
    <cfRule type="expression" dxfId="4256" priority="4379">
      <formula>$E86&lt;&gt;"Yes"</formula>
    </cfRule>
  </conditionalFormatting>
  <conditionalFormatting sqref="Y86">
    <cfRule type="expression" dxfId="4255" priority="4378">
      <formula>$E$7&lt;&gt;"Yes"</formula>
    </cfRule>
  </conditionalFormatting>
  <conditionalFormatting sqref="Y86">
    <cfRule type="expression" dxfId="4254" priority="4377">
      <formula>$E86&lt;&gt;"Yes"</formula>
    </cfRule>
  </conditionalFormatting>
  <conditionalFormatting sqref="O86:P86">
    <cfRule type="expression" dxfId="4253" priority="4376">
      <formula>$E$7&lt;&gt;"Yes"</formula>
    </cfRule>
  </conditionalFormatting>
  <conditionalFormatting sqref="O86:P86">
    <cfRule type="expression" dxfId="4252" priority="4375">
      <formula>$E86&lt;&gt;"Yes"</formula>
    </cfRule>
  </conditionalFormatting>
  <conditionalFormatting sqref="X86">
    <cfRule type="expression" dxfId="4251" priority="4374">
      <formula>$E$7&lt;&gt;"Yes"</formula>
    </cfRule>
  </conditionalFormatting>
  <conditionalFormatting sqref="X86">
    <cfRule type="expression" dxfId="4250" priority="4373">
      <formula>$E86&lt;&gt;"Yes"</formula>
    </cfRule>
  </conditionalFormatting>
  <conditionalFormatting sqref="AD86">
    <cfRule type="expression" dxfId="4249" priority="4372">
      <formula>$E$7&lt;&gt;"Yes"</formula>
    </cfRule>
  </conditionalFormatting>
  <conditionalFormatting sqref="AD86">
    <cfRule type="expression" dxfId="4248" priority="4371">
      <formula>$E86&lt;&gt;"Yes"</formula>
    </cfRule>
  </conditionalFormatting>
  <conditionalFormatting sqref="AC86">
    <cfRule type="expression" dxfId="4247" priority="4370">
      <formula>$E$7&lt;&gt;"Yes"</formula>
    </cfRule>
  </conditionalFormatting>
  <conditionalFormatting sqref="AC86">
    <cfRule type="expression" dxfId="4246" priority="4369">
      <formula>$E86&lt;&gt;"Yes"</formula>
    </cfRule>
  </conditionalFormatting>
  <conditionalFormatting sqref="R86:V86">
    <cfRule type="expression" dxfId="4245" priority="4368">
      <formula>$E$7&lt;&gt;"Yes"</formula>
    </cfRule>
  </conditionalFormatting>
  <conditionalFormatting sqref="R86:V86">
    <cfRule type="expression" dxfId="4244" priority="4367">
      <formula>$E86&lt;&gt;"Yes"</formula>
    </cfRule>
  </conditionalFormatting>
  <conditionalFormatting sqref="S86">
    <cfRule type="expression" dxfId="4243" priority="4366">
      <formula>$E$7&lt;&gt;"Yes"</formula>
    </cfRule>
  </conditionalFormatting>
  <conditionalFormatting sqref="S86">
    <cfRule type="expression" dxfId="4242" priority="4365">
      <formula>$E86&lt;&gt;"Yes"</formula>
    </cfRule>
  </conditionalFormatting>
  <conditionalFormatting sqref="T86">
    <cfRule type="expression" dxfId="4241" priority="4364">
      <formula>$E$7&lt;&gt;"Yes"</formula>
    </cfRule>
  </conditionalFormatting>
  <conditionalFormatting sqref="T86">
    <cfRule type="expression" dxfId="4240" priority="4363">
      <formula>$E86&lt;&gt;"Yes"</formula>
    </cfRule>
  </conditionalFormatting>
  <conditionalFormatting sqref="U86">
    <cfRule type="expression" dxfId="4239" priority="4362">
      <formula>$E$7&lt;&gt;"Yes"</formula>
    </cfRule>
  </conditionalFormatting>
  <conditionalFormatting sqref="U86">
    <cfRule type="expression" dxfId="4238" priority="4361">
      <formula>$E86&lt;&gt;"Yes"</formula>
    </cfRule>
  </conditionalFormatting>
  <conditionalFormatting sqref="V86">
    <cfRule type="expression" dxfId="4237" priority="4360">
      <formula>$E$7&lt;&gt;"Yes"</formula>
    </cfRule>
  </conditionalFormatting>
  <conditionalFormatting sqref="V86">
    <cfRule type="expression" dxfId="4236" priority="4359">
      <formula>$E86&lt;&gt;"Yes"</formula>
    </cfRule>
  </conditionalFormatting>
  <conditionalFormatting sqref="R86:V86">
    <cfRule type="expression" dxfId="4235" priority="4358">
      <formula>$E$7&lt;&gt;"Yes"</formula>
    </cfRule>
  </conditionalFormatting>
  <conditionalFormatting sqref="R86:V86">
    <cfRule type="expression" dxfId="4234" priority="4357">
      <formula>$E86&lt;&gt;"Yes"</formula>
    </cfRule>
  </conditionalFormatting>
  <conditionalFormatting sqref="Z86">
    <cfRule type="expression" dxfId="4233" priority="4356">
      <formula>$E$7&lt;&gt;"Yes"</formula>
    </cfRule>
  </conditionalFormatting>
  <conditionalFormatting sqref="Z86">
    <cfRule type="expression" dxfId="4232" priority="4355">
      <formula>$E86&lt;&gt;"Yes"</formula>
    </cfRule>
  </conditionalFormatting>
  <conditionalFormatting sqref="AI86">
    <cfRule type="expression" dxfId="4231" priority="4352">
      <formula>$E$7&lt;&gt;"Yes"</formula>
    </cfRule>
  </conditionalFormatting>
  <conditionalFormatting sqref="AI86">
    <cfRule type="expression" dxfId="4230" priority="4351">
      <formula>$E86&lt;&gt;"Yes"</formula>
    </cfRule>
  </conditionalFormatting>
  <conditionalFormatting sqref="F87:J87 M87 Q87 AJ87:AK87 AF87:AH87 Y87">
    <cfRule type="expression" dxfId="4229" priority="4350">
      <formula>$E$7&lt;&gt;"Yes"</formula>
    </cfRule>
  </conditionalFormatting>
  <conditionalFormatting sqref="F87:J87 M87 Q87 AJ87:AK87 AF87:AH87 Y87">
    <cfRule type="expression" dxfId="4228" priority="4349">
      <formula>$E87&lt;&gt;"Yes"</formula>
    </cfRule>
  </conditionalFormatting>
  <conditionalFormatting sqref="G87">
    <cfRule type="expression" dxfId="4227" priority="4348">
      <formula>$E$7&lt;&gt;"Yes"</formula>
    </cfRule>
  </conditionalFormatting>
  <conditionalFormatting sqref="K87:L87">
    <cfRule type="expression" dxfId="4226" priority="4347">
      <formula>$E$7&lt;&gt;"Yes"</formula>
    </cfRule>
  </conditionalFormatting>
  <conditionalFormatting sqref="K87:L87">
    <cfRule type="expression" dxfId="4225" priority="4346">
      <formula>$E87&lt;&gt;"Yes"</formula>
    </cfRule>
  </conditionalFormatting>
  <conditionalFormatting sqref="W87">
    <cfRule type="expression" dxfId="4224" priority="4345">
      <formula>$E$7&lt;&gt;"Yes"</formula>
    </cfRule>
  </conditionalFormatting>
  <conditionalFormatting sqref="W87">
    <cfRule type="expression" dxfId="4223" priority="4344">
      <formula>$E87&lt;&gt;"Yes"</formula>
    </cfRule>
  </conditionalFormatting>
  <conditionalFormatting sqref="AE87">
    <cfRule type="expression" dxfId="4222" priority="4343">
      <formula>$E$7&lt;&gt;"Yes"</formula>
    </cfRule>
  </conditionalFormatting>
  <conditionalFormatting sqref="AE87">
    <cfRule type="expression" dxfId="4221" priority="4342">
      <formula>$E87&lt;&gt;"Yes"</formula>
    </cfRule>
  </conditionalFormatting>
  <conditionalFormatting sqref="N87">
    <cfRule type="expression" dxfId="4220" priority="4341">
      <formula>$E$7&lt;&gt;"Yes"</formula>
    </cfRule>
  </conditionalFormatting>
  <conditionalFormatting sqref="N87">
    <cfRule type="expression" dxfId="4219" priority="4340">
      <formula>$E87&lt;&gt;"Yes"</formula>
    </cfRule>
  </conditionalFormatting>
  <conditionalFormatting sqref="AB87">
    <cfRule type="expression" dxfId="4218" priority="4339">
      <formula>$E$7&lt;&gt;"Yes"</formula>
    </cfRule>
  </conditionalFormatting>
  <conditionalFormatting sqref="AB87">
    <cfRule type="expression" dxfId="4217" priority="4338">
      <formula>$E87&lt;&gt;"Yes"</formula>
    </cfRule>
  </conditionalFormatting>
  <conditionalFormatting sqref="AA87">
    <cfRule type="expression" dxfId="4216" priority="4337">
      <formula>$E$7&lt;&gt;"Yes"</formula>
    </cfRule>
  </conditionalFormatting>
  <conditionalFormatting sqref="AA87">
    <cfRule type="expression" dxfId="4215" priority="4336">
      <formula>$E87&lt;&gt;"Yes"</formula>
    </cfRule>
  </conditionalFormatting>
  <conditionalFormatting sqref="Y87">
    <cfRule type="expression" dxfId="4214" priority="4335">
      <formula>$E$7&lt;&gt;"Yes"</formula>
    </cfRule>
  </conditionalFormatting>
  <conditionalFormatting sqref="Y87">
    <cfRule type="expression" dxfId="4213" priority="4334">
      <formula>$E87&lt;&gt;"Yes"</formula>
    </cfRule>
  </conditionalFormatting>
  <conditionalFormatting sqref="X87">
    <cfRule type="expression" dxfId="4212" priority="4331">
      <formula>$E$7&lt;&gt;"Yes"</formula>
    </cfRule>
  </conditionalFormatting>
  <conditionalFormatting sqref="X87">
    <cfRule type="expression" dxfId="4211" priority="4330">
      <formula>$E87&lt;&gt;"Yes"</formula>
    </cfRule>
  </conditionalFormatting>
  <conditionalFormatting sqref="AD87">
    <cfRule type="expression" dxfId="4210" priority="4329">
      <formula>$E$7&lt;&gt;"Yes"</formula>
    </cfRule>
  </conditionalFormatting>
  <conditionalFormatting sqref="AD87">
    <cfRule type="expression" dxfId="4209" priority="4328">
      <formula>$E87&lt;&gt;"Yes"</formula>
    </cfRule>
  </conditionalFormatting>
  <conditionalFormatting sqref="AC87">
    <cfRule type="expression" dxfId="4208" priority="4327">
      <formula>$E$7&lt;&gt;"Yes"</formula>
    </cfRule>
  </conditionalFormatting>
  <conditionalFormatting sqref="AC87">
    <cfRule type="expression" dxfId="4207" priority="4326">
      <formula>$E87&lt;&gt;"Yes"</formula>
    </cfRule>
  </conditionalFormatting>
  <conditionalFormatting sqref="R87:V87">
    <cfRule type="expression" dxfId="4206" priority="4325">
      <formula>$E$7&lt;&gt;"Yes"</formula>
    </cfRule>
  </conditionalFormatting>
  <conditionalFormatting sqref="R87:V87">
    <cfRule type="expression" dxfId="4205" priority="4324">
      <formula>$E87&lt;&gt;"Yes"</formula>
    </cfRule>
  </conditionalFormatting>
  <conditionalFormatting sqref="S87">
    <cfRule type="expression" dxfId="4204" priority="4323">
      <formula>$E$7&lt;&gt;"Yes"</formula>
    </cfRule>
  </conditionalFormatting>
  <conditionalFormatting sqref="S87">
    <cfRule type="expression" dxfId="4203" priority="4322">
      <formula>$E87&lt;&gt;"Yes"</formula>
    </cfRule>
  </conditionalFormatting>
  <conditionalFormatting sqref="T87">
    <cfRule type="expression" dxfId="4202" priority="4321">
      <formula>$E$7&lt;&gt;"Yes"</formula>
    </cfRule>
  </conditionalFormatting>
  <conditionalFormatting sqref="T87">
    <cfRule type="expression" dxfId="4201" priority="4320">
      <formula>$E87&lt;&gt;"Yes"</formula>
    </cfRule>
  </conditionalFormatting>
  <conditionalFormatting sqref="U87">
    <cfRule type="expression" dxfId="4200" priority="4319">
      <formula>$E$7&lt;&gt;"Yes"</formula>
    </cfRule>
  </conditionalFormatting>
  <conditionalFormatting sqref="U87">
    <cfRule type="expression" dxfId="4199" priority="4318">
      <formula>$E87&lt;&gt;"Yes"</formula>
    </cfRule>
  </conditionalFormatting>
  <conditionalFormatting sqref="V87">
    <cfRule type="expression" dxfId="4198" priority="4317">
      <formula>$E$7&lt;&gt;"Yes"</formula>
    </cfRule>
  </conditionalFormatting>
  <conditionalFormatting sqref="V87">
    <cfRule type="expression" dxfId="4197" priority="4316">
      <formula>$E87&lt;&gt;"Yes"</formula>
    </cfRule>
  </conditionalFormatting>
  <conditionalFormatting sqref="R87:V87">
    <cfRule type="expression" dxfId="4196" priority="4315">
      <formula>$E$7&lt;&gt;"Yes"</formula>
    </cfRule>
  </conditionalFormatting>
  <conditionalFormatting sqref="R87:V87">
    <cfRule type="expression" dxfId="4195" priority="4314">
      <formula>$E87&lt;&gt;"Yes"</formula>
    </cfRule>
  </conditionalFormatting>
  <conditionalFormatting sqref="Z87">
    <cfRule type="expression" dxfId="4194" priority="4313">
      <formula>$E$7&lt;&gt;"Yes"</formula>
    </cfRule>
  </conditionalFormatting>
  <conditionalFormatting sqref="Z87">
    <cfRule type="expression" dxfId="4193" priority="4312">
      <formula>$E87&lt;&gt;"Yes"</formula>
    </cfRule>
  </conditionalFormatting>
  <conditionalFormatting sqref="AI87">
    <cfRule type="expression" dxfId="4192" priority="4309">
      <formula>$E$7&lt;&gt;"Yes"</formula>
    </cfRule>
  </conditionalFormatting>
  <conditionalFormatting sqref="AI87">
    <cfRule type="expression" dxfId="4191" priority="4308">
      <formula>$E87&lt;&gt;"Yes"</formula>
    </cfRule>
  </conditionalFormatting>
  <conditionalFormatting sqref="F88:J88 M88 Q88 AJ88:AK88 AF88:AH88 Y88">
    <cfRule type="expression" dxfId="4190" priority="4307">
      <formula>$E$7&lt;&gt;"Yes"</formula>
    </cfRule>
  </conditionalFormatting>
  <conditionalFormatting sqref="F88:J88 M88 Q88 AJ88:AK88 AF88:AH88 Y88">
    <cfRule type="expression" dxfId="4189" priority="4306">
      <formula>$E88&lt;&gt;"Yes"</formula>
    </cfRule>
  </conditionalFormatting>
  <conditionalFormatting sqref="G88">
    <cfRule type="expression" dxfId="4188" priority="4305">
      <formula>$E$7&lt;&gt;"Yes"</formula>
    </cfRule>
  </conditionalFormatting>
  <conditionalFormatting sqref="K88:L88">
    <cfRule type="expression" dxfId="4187" priority="4304">
      <formula>$E$7&lt;&gt;"Yes"</formula>
    </cfRule>
  </conditionalFormatting>
  <conditionalFormatting sqref="K88:L88">
    <cfRule type="expression" dxfId="4186" priority="4303">
      <formula>$E88&lt;&gt;"Yes"</formula>
    </cfRule>
  </conditionalFormatting>
  <conditionalFormatting sqref="W88">
    <cfRule type="expression" dxfId="4185" priority="4302">
      <formula>$E$7&lt;&gt;"Yes"</formula>
    </cfRule>
  </conditionalFormatting>
  <conditionalFormatting sqref="W88">
    <cfRule type="expression" dxfId="4184" priority="4301">
      <formula>$E88&lt;&gt;"Yes"</formula>
    </cfRule>
  </conditionalFormatting>
  <conditionalFormatting sqref="AE88">
    <cfRule type="expression" dxfId="4183" priority="4300">
      <formula>$E$7&lt;&gt;"Yes"</formula>
    </cfRule>
  </conditionalFormatting>
  <conditionalFormatting sqref="AE88">
    <cfRule type="expression" dxfId="4182" priority="4299">
      <formula>$E88&lt;&gt;"Yes"</formula>
    </cfRule>
  </conditionalFormatting>
  <conditionalFormatting sqref="N88">
    <cfRule type="expression" dxfId="4181" priority="4298">
      <formula>$E$7&lt;&gt;"Yes"</formula>
    </cfRule>
  </conditionalFormatting>
  <conditionalFormatting sqref="N88">
    <cfRule type="expression" dxfId="4180" priority="4297">
      <formula>$E88&lt;&gt;"Yes"</formula>
    </cfRule>
  </conditionalFormatting>
  <conditionalFormatting sqref="AB88">
    <cfRule type="expression" dxfId="4179" priority="4296">
      <formula>$E$7&lt;&gt;"Yes"</formula>
    </cfRule>
  </conditionalFormatting>
  <conditionalFormatting sqref="AB88">
    <cfRule type="expression" dxfId="4178" priority="4295">
      <formula>$E88&lt;&gt;"Yes"</formula>
    </cfRule>
  </conditionalFormatting>
  <conditionalFormatting sqref="AA88">
    <cfRule type="expression" dxfId="4177" priority="4294">
      <formula>$E$7&lt;&gt;"Yes"</formula>
    </cfRule>
  </conditionalFormatting>
  <conditionalFormatting sqref="AA88">
    <cfRule type="expression" dxfId="4176" priority="4293">
      <formula>$E88&lt;&gt;"Yes"</formula>
    </cfRule>
  </conditionalFormatting>
  <conditionalFormatting sqref="Y88">
    <cfRule type="expression" dxfId="4175" priority="4292">
      <formula>$E$7&lt;&gt;"Yes"</formula>
    </cfRule>
  </conditionalFormatting>
  <conditionalFormatting sqref="Y88">
    <cfRule type="expression" dxfId="4174" priority="4291">
      <formula>$E88&lt;&gt;"Yes"</formula>
    </cfRule>
  </conditionalFormatting>
  <conditionalFormatting sqref="X88">
    <cfRule type="expression" dxfId="4173" priority="4288">
      <formula>$E$7&lt;&gt;"Yes"</formula>
    </cfRule>
  </conditionalFormatting>
  <conditionalFormatting sqref="X88">
    <cfRule type="expression" dxfId="4172" priority="4287">
      <formula>$E88&lt;&gt;"Yes"</formula>
    </cfRule>
  </conditionalFormatting>
  <conditionalFormatting sqref="AD88">
    <cfRule type="expression" dxfId="4171" priority="4286">
      <formula>$E$7&lt;&gt;"Yes"</formula>
    </cfRule>
  </conditionalFormatting>
  <conditionalFormatting sqref="AD88">
    <cfRule type="expression" dxfId="4170" priority="4285">
      <formula>$E88&lt;&gt;"Yes"</formula>
    </cfRule>
  </conditionalFormatting>
  <conditionalFormatting sqref="AC88">
    <cfRule type="expression" dxfId="4169" priority="4284">
      <formula>$E$7&lt;&gt;"Yes"</formula>
    </cfRule>
  </conditionalFormatting>
  <conditionalFormatting sqref="AC88">
    <cfRule type="expression" dxfId="4168" priority="4283">
      <formula>$E88&lt;&gt;"Yes"</formula>
    </cfRule>
  </conditionalFormatting>
  <conditionalFormatting sqref="R88:V88">
    <cfRule type="expression" dxfId="4167" priority="4282">
      <formula>$E$7&lt;&gt;"Yes"</formula>
    </cfRule>
  </conditionalFormatting>
  <conditionalFormatting sqref="R88:V88">
    <cfRule type="expression" dxfId="4166" priority="4281">
      <formula>$E88&lt;&gt;"Yes"</formula>
    </cfRule>
  </conditionalFormatting>
  <conditionalFormatting sqref="S88">
    <cfRule type="expression" dxfId="4165" priority="4280">
      <formula>$E$7&lt;&gt;"Yes"</formula>
    </cfRule>
  </conditionalFormatting>
  <conditionalFormatting sqref="S88">
    <cfRule type="expression" dxfId="4164" priority="4279">
      <formula>$E88&lt;&gt;"Yes"</formula>
    </cfRule>
  </conditionalFormatting>
  <conditionalFormatting sqref="T88">
    <cfRule type="expression" dxfId="4163" priority="4278">
      <formula>$E$7&lt;&gt;"Yes"</formula>
    </cfRule>
  </conditionalFormatting>
  <conditionalFormatting sqref="T88">
    <cfRule type="expression" dxfId="4162" priority="4277">
      <formula>$E88&lt;&gt;"Yes"</formula>
    </cfRule>
  </conditionalFormatting>
  <conditionalFormatting sqref="U88">
    <cfRule type="expression" dxfId="4161" priority="4276">
      <formula>$E$7&lt;&gt;"Yes"</formula>
    </cfRule>
  </conditionalFormatting>
  <conditionalFormatting sqref="U88">
    <cfRule type="expression" dxfId="4160" priority="4275">
      <formula>$E88&lt;&gt;"Yes"</formula>
    </cfRule>
  </conditionalFormatting>
  <conditionalFormatting sqref="V88">
    <cfRule type="expression" dxfId="4159" priority="4274">
      <formula>$E$7&lt;&gt;"Yes"</formula>
    </cfRule>
  </conditionalFormatting>
  <conditionalFormatting sqref="V88">
    <cfRule type="expression" dxfId="4158" priority="4273">
      <formula>$E88&lt;&gt;"Yes"</formula>
    </cfRule>
  </conditionalFormatting>
  <conditionalFormatting sqref="R88:V88">
    <cfRule type="expression" dxfId="4157" priority="4272">
      <formula>$E$7&lt;&gt;"Yes"</formula>
    </cfRule>
  </conditionalFormatting>
  <conditionalFormatting sqref="R88:V88">
    <cfRule type="expression" dxfId="4156" priority="4271">
      <formula>$E88&lt;&gt;"Yes"</formula>
    </cfRule>
  </conditionalFormatting>
  <conditionalFormatting sqref="Z88">
    <cfRule type="expression" dxfId="4155" priority="4270">
      <formula>$E$7&lt;&gt;"Yes"</formula>
    </cfRule>
  </conditionalFormatting>
  <conditionalFormatting sqref="Z88">
    <cfRule type="expression" dxfId="4154" priority="4269">
      <formula>$E88&lt;&gt;"Yes"</formula>
    </cfRule>
  </conditionalFormatting>
  <conditionalFormatting sqref="AN88:AO88">
    <cfRule type="expression" dxfId="4153" priority="4268">
      <formula>$E$7&lt;&gt;"Yes"</formula>
    </cfRule>
  </conditionalFormatting>
  <conditionalFormatting sqref="AN88:AO88">
    <cfRule type="expression" dxfId="4152" priority="4267">
      <formula>$E88&lt;&gt;"Yes"</formula>
    </cfRule>
  </conditionalFormatting>
  <conditionalFormatting sqref="AI88">
    <cfRule type="expression" dxfId="4151" priority="4266">
      <formula>$E$7&lt;&gt;"Yes"</formula>
    </cfRule>
  </conditionalFormatting>
  <conditionalFormatting sqref="AI88">
    <cfRule type="expression" dxfId="4150" priority="4265">
      <formula>$E88&lt;&gt;"Yes"</formula>
    </cfRule>
  </conditionalFormatting>
  <conditionalFormatting sqref="F89:J89 M89 Q89 AJ89:AK89 AF89:AH89 Y89">
    <cfRule type="expression" dxfId="4149" priority="4264">
      <formula>$E$7&lt;&gt;"Yes"</formula>
    </cfRule>
  </conditionalFormatting>
  <conditionalFormatting sqref="F89:J89 M89 Q89 AJ89:AK89 AF89:AH89 Y89">
    <cfRule type="expression" dxfId="4148" priority="4263">
      <formula>$E89&lt;&gt;"Yes"</formula>
    </cfRule>
  </conditionalFormatting>
  <conditionalFormatting sqref="G89">
    <cfRule type="expression" dxfId="4147" priority="4262">
      <formula>$E$7&lt;&gt;"Yes"</formula>
    </cfRule>
  </conditionalFormatting>
  <conditionalFormatting sqref="K89:L89">
    <cfRule type="expression" dxfId="4146" priority="4261">
      <formula>$E$7&lt;&gt;"Yes"</formula>
    </cfRule>
  </conditionalFormatting>
  <conditionalFormatting sqref="K89:L89">
    <cfRule type="expression" dxfId="4145" priority="4260">
      <formula>$E89&lt;&gt;"Yes"</formula>
    </cfRule>
  </conditionalFormatting>
  <conditionalFormatting sqref="W89">
    <cfRule type="expression" dxfId="4144" priority="4259">
      <formula>$E$7&lt;&gt;"Yes"</formula>
    </cfRule>
  </conditionalFormatting>
  <conditionalFormatting sqref="W89">
    <cfRule type="expression" dxfId="4143" priority="4258">
      <formula>$E89&lt;&gt;"Yes"</formula>
    </cfRule>
  </conditionalFormatting>
  <conditionalFormatting sqref="AE89">
    <cfRule type="expression" dxfId="4142" priority="4257">
      <formula>$E$7&lt;&gt;"Yes"</formula>
    </cfRule>
  </conditionalFormatting>
  <conditionalFormatting sqref="AE89">
    <cfRule type="expression" dxfId="4141" priority="4256">
      <formula>$E89&lt;&gt;"Yes"</formula>
    </cfRule>
  </conditionalFormatting>
  <conditionalFormatting sqref="N89">
    <cfRule type="expression" dxfId="4140" priority="4255">
      <formula>$E$7&lt;&gt;"Yes"</formula>
    </cfRule>
  </conditionalFormatting>
  <conditionalFormatting sqref="N89">
    <cfRule type="expression" dxfId="4139" priority="4254">
      <formula>$E89&lt;&gt;"Yes"</formula>
    </cfRule>
  </conditionalFormatting>
  <conditionalFormatting sqref="AB89">
    <cfRule type="expression" dxfId="4138" priority="4253">
      <formula>$E$7&lt;&gt;"Yes"</formula>
    </cfRule>
  </conditionalFormatting>
  <conditionalFormatting sqref="AB89">
    <cfRule type="expression" dxfId="4137" priority="4252">
      <formula>$E89&lt;&gt;"Yes"</formula>
    </cfRule>
  </conditionalFormatting>
  <conditionalFormatting sqref="AA89">
    <cfRule type="expression" dxfId="4136" priority="4251">
      <formula>$E$7&lt;&gt;"Yes"</formula>
    </cfRule>
  </conditionalFormatting>
  <conditionalFormatting sqref="AA89">
    <cfRule type="expression" dxfId="4135" priority="4250">
      <formula>$E89&lt;&gt;"Yes"</formula>
    </cfRule>
  </conditionalFormatting>
  <conditionalFormatting sqref="Y89">
    <cfRule type="expression" dxfId="4134" priority="4249">
      <formula>$E$7&lt;&gt;"Yes"</formula>
    </cfRule>
  </conditionalFormatting>
  <conditionalFormatting sqref="Y89">
    <cfRule type="expression" dxfId="4133" priority="4248">
      <formula>$E89&lt;&gt;"Yes"</formula>
    </cfRule>
  </conditionalFormatting>
  <conditionalFormatting sqref="X89">
    <cfRule type="expression" dxfId="4132" priority="4245">
      <formula>$E$7&lt;&gt;"Yes"</formula>
    </cfRule>
  </conditionalFormatting>
  <conditionalFormatting sqref="X89">
    <cfRule type="expression" dxfId="4131" priority="4244">
      <formula>$E89&lt;&gt;"Yes"</formula>
    </cfRule>
  </conditionalFormatting>
  <conditionalFormatting sqref="AD89">
    <cfRule type="expression" dxfId="4130" priority="4243">
      <formula>$E$7&lt;&gt;"Yes"</formula>
    </cfRule>
  </conditionalFormatting>
  <conditionalFormatting sqref="AD89">
    <cfRule type="expression" dxfId="4129" priority="4242">
      <formula>$E89&lt;&gt;"Yes"</formula>
    </cfRule>
  </conditionalFormatting>
  <conditionalFormatting sqref="AC89">
    <cfRule type="expression" dxfId="4128" priority="4241">
      <formula>$E$7&lt;&gt;"Yes"</formula>
    </cfRule>
  </conditionalFormatting>
  <conditionalFormatting sqref="AC89">
    <cfRule type="expression" dxfId="4127" priority="4240">
      <formula>$E89&lt;&gt;"Yes"</formula>
    </cfRule>
  </conditionalFormatting>
  <conditionalFormatting sqref="R89:V89">
    <cfRule type="expression" dxfId="4126" priority="4239">
      <formula>$E$7&lt;&gt;"Yes"</formula>
    </cfRule>
  </conditionalFormatting>
  <conditionalFormatting sqref="R89:V89">
    <cfRule type="expression" dxfId="4125" priority="4238">
      <formula>$E89&lt;&gt;"Yes"</formula>
    </cfRule>
  </conditionalFormatting>
  <conditionalFormatting sqref="S89">
    <cfRule type="expression" dxfId="4124" priority="4237">
      <formula>$E$7&lt;&gt;"Yes"</formula>
    </cfRule>
  </conditionalFormatting>
  <conditionalFormatting sqref="S89">
    <cfRule type="expression" dxfId="4123" priority="4236">
      <formula>$E89&lt;&gt;"Yes"</formula>
    </cfRule>
  </conditionalFormatting>
  <conditionalFormatting sqref="T89">
    <cfRule type="expression" dxfId="4122" priority="4235">
      <formula>$E$7&lt;&gt;"Yes"</formula>
    </cfRule>
  </conditionalFormatting>
  <conditionalFormatting sqref="T89">
    <cfRule type="expression" dxfId="4121" priority="4234">
      <formula>$E89&lt;&gt;"Yes"</formula>
    </cfRule>
  </conditionalFormatting>
  <conditionalFormatting sqref="U89">
    <cfRule type="expression" dxfId="4120" priority="4233">
      <formula>$E$7&lt;&gt;"Yes"</formula>
    </cfRule>
  </conditionalFormatting>
  <conditionalFormatting sqref="U89">
    <cfRule type="expression" dxfId="4119" priority="4232">
      <formula>$E89&lt;&gt;"Yes"</formula>
    </cfRule>
  </conditionalFormatting>
  <conditionalFormatting sqref="V89">
    <cfRule type="expression" dxfId="4118" priority="4231">
      <formula>$E$7&lt;&gt;"Yes"</formula>
    </cfRule>
  </conditionalFormatting>
  <conditionalFormatting sqref="V89">
    <cfRule type="expression" dxfId="4117" priority="4230">
      <formula>$E89&lt;&gt;"Yes"</formula>
    </cfRule>
  </conditionalFormatting>
  <conditionalFormatting sqref="R89:V89">
    <cfRule type="expression" dxfId="4116" priority="4229">
      <formula>$E$7&lt;&gt;"Yes"</formula>
    </cfRule>
  </conditionalFormatting>
  <conditionalFormatting sqref="R89:V89">
    <cfRule type="expression" dxfId="4115" priority="4228">
      <formula>$E89&lt;&gt;"Yes"</formula>
    </cfRule>
  </conditionalFormatting>
  <conditionalFormatting sqref="Z89">
    <cfRule type="expression" dxfId="4114" priority="4227">
      <formula>$E$7&lt;&gt;"Yes"</formula>
    </cfRule>
  </conditionalFormatting>
  <conditionalFormatting sqref="Z89">
    <cfRule type="expression" dxfId="4113" priority="4226">
      <formula>$E89&lt;&gt;"Yes"</formula>
    </cfRule>
  </conditionalFormatting>
  <conditionalFormatting sqref="AN89:AO89">
    <cfRule type="expression" dxfId="4112" priority="4225">
      <formula>$E$7&lt;&gt;"Yes"</formula>
    </cfRule>
  </conditionalFormatting>
  <conditionalFormatting sqref="AN89:AO89">
    <cfRule type="expression" dxfId="4111" priority="4224">
      <formula>$E89&lt;&gt;"Yes"</formula>
    </cfRule>
  </conditionalFormatting>
  <conditionalFormatting sqref="AI89">
    <cfRule type="expression" dxfId="4110" priority="4223">
      <formula>$E$7&lt;&gt;"Yes"</formula>
    </cfRule>
  </conditionalFormatting>
  <conditionalFormatting sqref="AI89">
    <cfRule type="expression" dxfId="4109" priority="4222">
      <formula>$E89&lt;&gt;"Yes"</formula>
    </cfRule>
  </conditionalFormatting>
  <conditionalFormatting sqref="O87:O89">
    <cfRule type="expression" dxfId="4108" priority="4221">
      <formula>$E$7&lt;&gt;"Yes"</formula>
    </cfRule>
  </conditionalFormatting>
  <conditionalFormatting sqref="O87:O89">
    <cfRule type="expression" dxfId="4107" priority="4220">
      <formula>$E87&lt;&gt;"Yes"</formula>
    </cfRule>
  </conditionalFormatting>
  <conditionalFormatting sqref="P87:P89">
    <cfRule type="expression" dxfId="4106" priority="4219">
      <formula>$E$7&lt;&gt;"Yes"</formula>
    </cfRule>
  </conditionalFormatting>
  <conditionalFormatting sqref="P87:P89">
    <cfRule type="expression" dxfId="4105" priority="4218">
      <formula>$E87&lt;&gt;"Yes"</formula>
    </cfRule>
  </conditionalFormatting>
  <conditionalFormatting sqref="F174:J174 M174 Q174 AJ174:AK174 AF174:AH174 Y174">
    <cfRule type="expression" dxfId="4104" priority="4217">
      <formula>$E$7&lt;&gt;"Yes"</formula>
    </cfRule>
  </conditionalFormatting>
  <conditionalFormatting sqref="F174:J174 M174 Q174 AJ174:AK174 AF174:AH174 Y174">
    <cfRule type="expression" dxfId="4103" priority="4216">
      <formula>$E174&lt;&gt;"Yes"</formula>
    </cfRule>
  </conditionalFormatting>
  <conditionalFormatting sqref="G174">
    <cfRule type="expression" dxfId="4102" priority="4215">
      <formula>$E$7&lt;&gt;"Yes"</formula>
    </cfRule>
  </conditionalFormatting>
  <conditionalFormatting sqref="K174:L174">
    <cfRule type="expression" dxfId="4101" priority="4214">
      <formula>$E$7&lt;&gt;"Yes"</formula>
    </cfRule>
  </conditionalFormatting>
  <conditionalFormatting sqref="K174:L174">
    <cfRule type="expression" dxfId="4100" priority="4213">
      <formula>$E174&lt;&gt;"Yes"</formula>
    </cfRule>
  </conditionalFormatting>
  <conditionalFormatting sqref="W174">
    <cfRule type="expression" dxfId="4099" priority="4212">
      <formula>$E$7&lt;&gt;"Yes"</formula>
    </cfRule>
  </conditionalFormatting>
  <conditionalFormatting sqref="W174">
    <cfRule type="expression" dxfId="4098" priority="4211">
      <formula>$E174&lt;&gt;"Yes"</formula>
    </cfRule>
  </conditionalFormatting>
  <conditionalFormatting sqref="AE174">
    <cfRule type="expression" dxfId="4097" priority="4210">
      <formula>$E$7&lt;&gt;"Yes"</formula>
    </cfRule>
  </conditionalFormatting>
  <conditionalFormatting sqref="AE174">
    <cfRule type="expression" dxfId="4096" priority="4209">
      <formula>$E174&lt;&gt;"Yes"</formula>
    </cfRule>
  </conditionalFormatting>
  <conditionalFormatting sqref="N174">
    <cfRule type="expression" dxfId="4095" priority="4208">
      <formula>$E$7&lt;&gt;"Yes"</formula>
    </cfRule>
  </conditionalFormatting>
  <conditionalFormatting sqref="N174">
    <cfRule type="expression" dxfId="4094" priority="4207">
      <formula>$E174&lt;&gt;"Yes"</formula>
    </cfRule>
  </conditionalFormatting>
  <conditionalFormatting sqref="AB174">
    <cfRule type="expression" dxfId="4093" priority="4206">
      <formula>$E$7&lt;&gt;"Yes"</formula>
    </cfRule>
  </conditionalFormatting>
  <conditionalFormatting sqref="AB174">
    <cfRule type="expression" dxfId="4092" priority="4205">
      <formula>$E174&lt;&gt;"Yes"</formula>
    </cfRule>
  </conditionalFormatting>
  <conditionalFormatting sqref="AA174">
    <cfRule type="expression" dxfId="4091" priority="4204">
      <formula>$E$7&lt;&gt;"Yes"</formula>
    </cfRule>
  </conditionalFormatting>
  <conditionalFormatting sqref="AA174">
    <cfRule type="expression" dxfId="4090" priority="4203">
      <formula>$E174&lt;&gt;"Yes"</formula>
    </cfRule>
  </conditionalFormatting>
  <conditionalFormatting sqref="Y174">
    <cfRule type="expression" dxfId="4089" priority="4202">
      <formula>$E$7&lt;&gt;"Yes"</formula>
    </cfRule>
  </conditionalFormatting>
  <conditionalFormatting sqref="Y174">
    <cfRule type="expression" dxfId="4088" priority="4201">
      <formula>$E174&lt;&gt;"Yes"</formula>
    </cfRule>
  </conditionalFormatting>
  <conditionalFormatting sqref="X174">
    <cfRule type="expression" dxfId="4087" priority="4200">
      <formula>$E$7&lt;&gt;"Yes"</formula>
    </cfRule>
  </conditionalFormatting>
  <conditionalFormatting sqref="X174">
    <cfRule type="expression" dxfId="4086" priority="4199">
      <formula>$E174&lt;&gt;"Yes"</formula>
    </cfRule>
  </conditionalFormatting>
  <conditionalFormatting sqref="AD174">
    <cfRule type="expression" dxfId="4085" priority="4198">
      <formula>$E$7&lt;&gt;"Yes"</formula>
    </cfRule>
  </conditionalFormatting>
  <conditionalFormatting sqref="AD174">
    <cfRule type="expression" dxfId="4084" priority="4197">
      <formula>$E174&lt;&gt;"Yes"</formula>
    </cfRule>
  </conditionalFormatting>
  <conditionalFormatting sqref="AC174">
    <cfRule type="expression" dxfId="4083" priority="4196">
      <formula>$E$7&lt;&gt;"Yes"</formula>
    </cfRule>
  </conditionalFormatting>
  <conditionalFormatting sqref="AC174">
    <cfRule type="expression" dxfId="4082" priority="4195">
      <formula>$E174&lt;&gt;"Yes"</formula>
    </cfRule>
  </conditionalFormatting>
  <conditionalFormatting sqref="R174:V174">
    <cfRule type="expression" dxfId="4081" priority="4194">
      <formula>$E$7&lt;&gt;"Yes"</formula>
    </cfRule>
  </conditionalFormatting>
  <conditionalFormatting sqref="R174:V174">
    <cfRule type="expression" dxfId="4080" priority="4193">
      <formula>$E174&lt;&gt;"Yes"</formula>
    </cfRule>
  </conditionalFormatting>
  <conditionalFormatting sqref="S174">
    <cfRule type="expression" dxfId="4079" priority="4192">
      <formula>$E$7&lt;&gt;"Yes"</formula>
    </cfRule>
  </conditionalFormatting>
  <conditionalFormatting sqref="S174">
    <cfRule type="expression" dxfId="4078" priority="4191">
      <formula>$E174&lt;&gt;"Yes"</formula>
    </cfRule>
  </conditionalFormatting>
  <conditionalFormatting sqref="T174">
    <cfRule type="expression" dxfId="4077" priority="4190">
      <formula>$E$7&lt;&gt;"Yes"</formula>
    </cfRule>
  </conditionalFormatting>
  <conditionalFormatting sqref="T174">
    <cfRule type="expression" dxfId="4076" priority="4189">
      <formula>$E174&lt;&gt;"Yes"</formula>
    </cfRule>
  </conditionalFormatting>
  <conditionalFormatting sqref="U174">
    <cfRule type="expression" dxfId="4075" priority="4188">
      <formula>$E$7&lt;&gt;"Yes"</formula>
    </cfRule>
  </conditionalFormatting>
  <conditionalFormatting sqref="U174">
    <cfRule type="expression" dxfId="4074" priority="4187">
      <formula>$E174&lt;&gt;"Yes"</formula>
    </cfRule>
  </conditionalFormatting>
  <conditionalFormatting sqref="V174">
    <cfRule type="expression" dxfId="4073" priority="4186">
      <formula>$E$7&lt;&gt;"Yes"</formula>
    </cfRule>
  </conditionalFormatting>
  <conditionalFormatting sqref="V174">
    <cfRule type="expression" dxfId="4072" priority="4185">
      <formula>$E174&lt;&gt;"Yes"</formula>
    </cfRule>
  </conditionalFormatting>
  <conditionalFormatting sqref="R174:V174">
    <cfRule type="expression" dxfId="4071" priority="4184">
      <formula>$E$7&lt;&gt;"Yes"</formula>
    </cfRule>
  </conditionalFormatting>
  <conditionalFormatting sqref="R174:V174">
    <cfRule type="expression" dxfId="4070" priority="4183">
      <formula>$E174&lt;&gt;"Yes"</formula>
    </cfRule>
  </conditionalFormatting>
  <conditionalFormatting sqref="Z174">
    <cfRule type="expression" dxfId="4069" priority="4182">
      <formula>$E$7&lt;&gt;"Yes"</formula>
    </cfRule>
  </conditionalFormatting>
  <conditionalFormatting sqref="Z174">
    <cfRule type="expression" dxfId="4068" priority="4181">
      <formula>$E174&lt;&gt;"Yes"</formula>
    </cfRule>
  </conditionalFormatting>
  <conditionalFormatting sqref="AN174:AO174">
    <cfRule type="expression" dxfId="4067" priority="4180">
      <formula>$E$7&lt;&gt;"Yes"</formula>
    </cfRule>
  </conditionalFormatting>
  <conditionalFormatting sqref="AN174:AO174">
    <cfRule type="expression" dxfId="4066" priority="4179">
      <formula>$E174&lt;&gt;"Yes"</formula>
    </cfRule>
  </conditionalFormatting>
  <conditionalFormatting sqref="AI174">
    <cfRule type="expression" dxfId="4065" priority="4178">
      <formula>$E$7&lt;&gt;"Yes"</formula>
    </cfRule>
  </conditionalFormatting>
  <conditionalFormatting sqref="AI174">
    <cfRule type="expression" dxfId="4064" priority="4177">
      <formula>$E174&lt;&gt;"Yes"</formula>
    </cfRule>
  </conditionalFormatting>
  <conditionalFormatting sqref="F176:J176 M176 Q176 AJ176:AK176 AF176:AH176 Y176">
    <cfRule type="expression" dxfId="4063" priority="4176">
      <formula>$E$7&lt;&gt;"Yes"</formula>
    </cfRule>
  </conditionalFormatting>
  <conditionalFormatting sqref="F176:J176 M176 Q176 AJ176:AK176 AF176:AH176 Y176">
    <cfRule type="expression" dxfId="4062" priority="4175">
      <formula>$E176&lt;&gt;"Yes"</formula>
    </cfRule>
  </conditionalFormatting>
  <conditionalFormatting sqref="G176">
    <cfRule type="expression" dxfId="4061" priority="4174">
      <formula>$E$7&lt;&gt;"Yes"</formula>
    </cfRule>
  </conditionalFormatting>
  <conditionalFormatting sqref="K176:L176">
    <cfRule type="expression" dxfId="4060" priority="4173">
      <formula>$E$7&lt;&gt;"Yes"</formula>
    </cfRule>
  </conditionalFormatting>
  <conditionalFormatting sqref="K176:L176">
    <cfRule type="expression" dxfId="4059" priority="4172">
      <formula>$E176&lt;&gt;"Yes"</formula>
    </cfRule>
  </conditionalFormatting>
  <conditionalFormatting sqref="W176">
    <cfRule type="expression" dxfId="4058" priority="4171">
      <formula>$E$7&lt;&gt;"Yes"</formula>
    </cfRule>
  </conditionalFormatting>
  <conditionalFormatting sqref="W176">
    <cfRule type="expression" dxfId="4057" priority="4170">
      <formula>$E176&lt;&gt;"Yes"</formula>
    </cfRule>
  </conditionalFormatting>
  <conditionalFormatting sqref="AE176">
    <cfRule type="expression" dxfId="4056" priority="4169">
      <formula>$E$7&lt;&gt;"Yes"</formula>
    </cfRule>
  </conditionalFormatting>
  <conditionalFormatting sqref="AE176">
    <cfRule type="expression" dxfId="4055" priority="4168">
      <formula>$E176&lt;&gt;"Yes"</formula>
    </cfRule>
  </conditionalFormatting>
  <conditionalFormatting sqref="N176">
    <cfRule type="expression" dxfId="4054" priority="4167">
      <formula>$E$7&lt;&gt;"Yes"</formula>
    </cfRule>
  </conditionalFormatting>
  <conditionalFormatting sqref="N176">
    <cfRule type="expression" dxfId="4053" priority="4166">
      <formula>$E176&lt;&gt;"Yes"</formula>
    </cfRule>
  </conditionalFormatting>
  <conditionalFormatting sqref="AB176">
    <cfRule type="expression" dxfId="4052" priority="4165">
      <formula>$E$7&lt;&gt;"Yes"</formula>
    </cfRule>
  </conditionalFormatting>
  <conditionalFormatting sqref="AB176">
    <cfRule type="expression" dxfId="4051" priority="4164">
      <formula>$E176&lt;&gt;"Yes"</formula>
    </cfRule>
  </conditionalFormatting>
  <conditionalFormatting sqref="AA176">
    <cfRule type="expression" dxfId="4050" priority="4163">
      <formula>$E$7&lt;&gt;"Yes"</formula>
    </cfRule>
  </conditionalFormatting>
  <conditionalFormatting sqref="AA176">
    <cfRule type="expression" dxfId="4049" priority="4162">
      <formula>$E176&lt;&gt;"Yes"</formula>
    </cfRule>
  </conditionalFormatting>
  <conditionalFormatting sqref="Y176">
    <cfRule type="expression" dxfId="4048" priority="4161">
      <formula>$E$7&lt;&gt;"Yes"</formula>
    </cfRule>
  </conditionalFormatting>
  <conditionalFormatting sqref="Y176">
    <cfRule type="expression" dxfId="4047" priority="4160">
      <formula>$E176&lt;&gt;"Yes"</formula>
    </cfRule>
  </conditionalFormatting>
  <conditionalFormatting sqref="X176">
    <cfRule type="expression" dxfId="4046" priority="4159">
      <formula>$E$7&lt;&gt;"Yes"</formula>
    </cfRule>
  </conditionalFormatting>
  <conditionalFormatting sqref="X176">
    <cfRule type="expression" dxfId="4045" priority="4158">
      <formula>$E176&lt;&gt;"Yes"</formula>
    </cfRule>
  </conditionalFormatting>
  <conditionalFormatting sqref="AD176">
    <cfRule type="expression" dxfId="4044" priority="4157">
      <formula>$E$7&lt;&gt;"Yes"</formula>
    </cfRule>
  </conditionalFormatting>
  <conditionalFormatting sqref="AD176">
    <cfRule type="expression" dxfId="4043" priority="4156">
      <formula>$E176&lt;&gt;"Yes"</formula>
    </cfRule>
  </conditionalFormatting>
  <conditionalFormatting sqref="AC176">
    <cfRule type="expression" dxfId="4042" priority="4155">
      <formula>$E$7&lt;&gt;"Yes"</formula>
    </cfRule>
  </conditionalFormatting>
  <conditionalFormatting sqref="AC176">
    <cfRule type="expression" dxfId="4041" priority="4154">
      <formula>$E176&lt;&gt;"Yes"</formula>
    </cfRule>
  </conditionalFormatting>
  <conditionalFormatting sqref="R176:V176">
    <cfRule type="expression" dxfId="4040" priority="4153">
      <formula>$E$7&lt;&gt;"Yes"</formula>
    </cfRule>
  </conditionalFormatting>
  <conditionalFormatting sqref="R176:V176">
    <cfRule type="expression" dxfId="4039" priority="4152">
      <formula>$E176&lt;&gt;"Yes"</formula>
    </cfRule>
  </conditionalFormatting>
  <conditionalFormatting sqref="S176">
    <cfRule type="expression" dxfId="4038" priority="4151">
      <formula>$E$7&lt;&gt;"Yes"</formula>
    </cfRule>
  </conditionalFormatting>
  <conditionalFormatting sqref="S176">
    <cfRule type="expression" dxfId="4037" priority="4150">
      <formula>$E176&lt;&gt;"Yes"</formula>
    </cfRule>
  </conditionalFormatting>
  <conditionalFormatting sqref="T176">
    <cfRule type="expression" dxfId="4036" priority="4149">
      <formula>$E$7&lt;&gt;"Yes"</formula>
    </cfRule>
  </conditionalFormatting>
  <conditionalFormatting sqref="T176">
    <cfRule type="expression" dxfId="4035" priority="4148">
      <formula>$E176&lt;&gt;"Yes"</formula>
    </cfRule>
  </conditionalFormatting>
  <conditionalFormatting sqref="U176">
    <cfRule type="expression" dxfId="4034" priority="4147">
      <formula>$E$7&lt;&gt;"Yes"</formula>
    </cfRule>
  </conditionalFormatting>
  <conditionalFormatting sqref="U176">
    <cfRule type="expression" dxfId="4033" priority="4146">
      <formula>$E176&lt;&gt;"Yes"</formula>
    </cfRule>
  </conditionalFormatting>
  <conditionalFormatting sqref="V176">
    <cfRule type="expression" dxfId="4032" priority="4145">
      <formula>$E$7&lt;&gt;"Yes"</formula>
    </cfRule>
  </conditionalFormatting>
  <conditionalFormatting sqref="V176">
    <cfRule type="expression" dxfId="4031" priority="4144">
      <formula>$E176&lt;&gt;"Yes"</formula>
    </cfRule>
  </conditionalFormatting>
  <conditionalFormatting sqref="R176:V176">
    <cfRule type="expression" dxfId="4030" priority="4143">
      <formula>$E$7&lt;&gt;"Yes"</formula>
    </cfRule>
  </conditionalFormatting>
  <conditionalFormatting sqref="R176:V176">
    <cfRule type="expression" dxfId="4029" priority="4142">
      <formula>$E176&lt;&gt;"Yes"</formula>
    </cfRule>
  </conditionalFormatting>
  <conditionalFormatting sqref="Z176">
    <cfRule type="expression" dxfId="4028" priority="4141">
      <formula>$E$7&lt;&gt;"Yes"</formula>
    </cfRule>
  </conditionalFormatting>
  <conditionalFormatting sqref="Z176">
    <cfRule type="expression" dxfId="4027" priority="4140">
      <formula>$E176&lt;&gt;"Yes"</formula>
    </cfRule>
  </conditionalFormatting>
  <conditionalFormatting sqref="AN176:AO176">
    <cfRule type="expression" dxfId="4026" priority="4139">
      <formula>$E$7&lt;&gt;"Yes"</formula>
    </cfRule>
  </conditionalFormatting>
  <conditionalFormatting sqref="AN176:AO176">
    <cfRule type="expression" dxfId="4025" priority="4138">
      <formula>$E176&lt;&gt;"Yes"</formula>
    </cfRule>
  </conditionalFormatting>
  <conditionalFormatting sqref="AI176">
    <cfRule type="expression" dxfId="4024" priority="4137">
      <formula>$E$7&lt;&gt;"Yes"</formula>
    </cfRule>
  </conditionalFormatting>
  <conditionalFormatting sqref="AI176">
    <cfRule type="expression" dxfId="4023" priority="4136">
      <formula>$E176&lt;&gt;"Yes"</formula>
    </cfRule>
  </conditionalFormatting>
  <conditionalFormatting sqref="P174 P176">
    <cfRule type="expression" dxfId="4022" priority="4133">
      <formula>$E$7&lt;&gt;"Yes"</formula>
    </cfRule>
  </conditionalFormatting>
  <conditionalFormatting sqref="P174 P176">
    <cfRule type="expression" dxfId="4021" priority="4132">
      <formula>$E174&lt;&gt;"Yes"</formula>
    </cfRule>
  </conditionalFormatting>
  <conditionalFormatting sqref="O174 O176">
    <cfRule type="expression" dxfId="4020" priority="4131">
      <formula>$E$7&lt;&gt;"Yes"</formula>
    </cfRule>
  </conditionalFormatting>
  <conditionalFormatting sqref="O174 O176">
    <cfRule type="expression" dxfId="4019" priority="4130">
      <formula>$E174&lt;&gt;"Yes"</formula>
    </cfRule>
  </conditionalFormatting>
  <conditionalFormatting sqref="AN86:AO86">
    <cfRule type="expression" dxfId="4018" priority="4129">
      <formula>$E$7&lt;&gt;"Yes"</formula>
    </cfRule>
  </conditionalFormatting>
  <conditionalFormatting sqref="AN86:AO86">
    <cfRule type="expression" dxfId="4017" priority="4128">
      <formula>$E86&lt;&gt;"Yes"</formula>
    </cfRule>
  </conditionalFormatting>
  <conditionalFormatting sqref="AN87:AO87">
    <cfRule type="expression" dxfId="4016" priority="4127">
      <formula>$E$7&lt;&gt;"Yes"</formula>
    </cfRule>
  </conditionalFormatting>
  <conditionalFormatting sqref="AN87:AO87">
    <cfRule type="expression" dxfId="4015" priority="4126">
      <formula>$E87&lt;&gt;"Yes"</formula>
    </cfRule>
  </conditionalFormatting>
  <conditionalFormatting sqref="AO58:AO60">
    <cfRule type="expression" dxfId="4014" priority="4125">
      <formula>$E$7&lt;&gt;"Yes"</formula>
    </cfRule>
  </conditionalFormatting>
  <conditionalFormatting sqref="AO58:AO60">
    <cfRule type="expression" dxfId="4013" priority="4124">
      <formula>$E58&lt;&gt;"Yes"</formula>
    </cfRule>
  </conditionalFormatting>
  <conditionalFormatting sqref="F175:J175 M175 Q175 AJ175:AK175 AF175:AH175 Y175">
    <cfRule type="expression" dxfId="4012" priority="4123">
      <formula>$E$7&lt;&gt;"Yes"</formula>
    </cfRule>
  </conditionalFormatting>
  <conditionalFormatting sqref="F175:J175 M175 Q175 AJ175:AK175 AF175:AH175 Y175">
    <cfRule type="expression" dxfId="4011" priority="4122">
      <formula>$E175&lt;&gt;"Yes"</formula>
    </cfRule>
  </conditionalFormatting>
  <conditionalFormatting sqref="G175">
    <cfRule type="expression" dxfId="4010" priority="4121">
      <formula>$E$7&lt;&gt;"Yes"</formula>
    </cfRule>
  </conditionalFormatting>
  <conditionalFormatting sqref="K175:L175">
    <cfRule type="expression" dxfId="4009" priority="4120">
      <formula>$E$7&lt;&gt;"Yes"</formula>
    </cfRule>
  </conditionalFormatting>
  <conditionalFormatting sqref="K175:L175">
    <cfRule type="expression" dxfId="4008" priority="4119">
      <formula>$E175&lt;&gt;"Yes"</formula>
    </cfRule>
  </conditionalFormatting>
  <conditionalFormatting sqref="W175">
    <cfRule type="expression" dxfId="4007" priority="4118">
      <formula>$E$7&lt;&gt;"Yes"</formula>
    </cfRule>
  </conditionalFormatting>
  <conditionalFormatting sqref="W175">
    <cfRule type="expression" dxfId="4006" priority="4117">
      <formula>$E175&lt;&gt;"Yes"</formula>
    </cfRule>
  </conditionalFormatting>
  <conditionalFormatting sqref="AE175">
    <cfRule type="expression" dxfId="4005" priority="4116">
      <formula>$E$7&lt;&gt;"Yes"</formula>
    </cfRule>
  </conditionalFormatting>
  <conditionalFormatting sqref="AE175">
    <cfRule type="expression" dxfId="4004" priority="4115">
      <formula>$E175&lt;&gt;"Yes"</formula>
    </cfRule>
  </conditionalFormatting>
  <conditionalFormatting sqref="N175">
    <cfRule type="expression" dxfId="4003" priority="4114">
      <formula>$E$7&lt;&gt;"Yes"</formula>
    </cfRule>
  </conditionalFormatting>
  <conditionalFormatting sqref="N175">
    <cfRule type="expression" dxfId="4002" priority="4113">
      <formula>$E175&lt;&gt;"Yes"</formula>
    </cfRule>
  </conditionalFormatting>
  <conditionalFormatting sqref="AB175">
    <cfRule type="expression" dxfId="4001" priority="4112">
      <formula>$E$7&lt;&gt;"Yes"</formula>
    </cfRule>
  </conditionalFormatting>
  <conditionalFormatting sqref="AB175">
    <cfRule type="expression" dxfId="4000" priority="4111">
      <formula>$E175&lt;&gt;"Yes"</formula>
    </cfRule>
  </conditionalFormatting>
  <conditionalFormatting sqref="AA175">
    <cfRule type="expression" dxfId="3999" priority="4110">
      <formula>$E$7&lt;&gt;"Yes"</formula>
    </cfRule>
  </conditionalFormatting>
  <conditionalFormatting sqref="AA175">
    <cfRule type="expression" dxfId="3998" priority="4109">
      <formula>$E175&lt;&gt;"Yes"</formula>
    </cfRule>
  </conditionalFormatting>
  <conditionalFormatting sqref="Y175">
    <cfRule type="expression" dxfId="3997" priority="4108">
      <formula>$E$7&lt;&gt;"Yes"</formula>
    </cfRule>
  </conditionalFormatting>
  <conditionalFormatting sqref="Y175">
    <cfRule type="expression" dxfId="3996" priority="4107">
      <formula>$E175&lt;&gt;"Yes"</formula>
    </cfRule>
  </conditionalFormatting>
  <conditionalFormatting sqref="X175">
    <cfRule type="expression" dxfId="3995" priority="4106">
      <formula>$E$7&lt;&gt;"Yes"</formula>
    </cfRule>
  </conditionalFormatting>
  <conditionalFormatting sqref="X175">
    <cfRule type="expression" dxfId="3994" priority="4105">
      <formula>$E175&lt;&gt;"Yes"</formula>
    </cfRule>
  </conditionalFormatting>
  <conditionalFormatting sqref="AD175">
    <cfRule type="expression" dxfId="3993" priority="4104">
      <formula>$E$7&lt;&gt;"Yes"</formula>
    </cfRule>
  </conditionalFormatting>
  <conditionalFormatting sqref="AD175">
    <cfRule type="expression" dxfId="3992" priority="4103">
      <formula>$E175&lt;&gt;"Yes"</formula>
    </cfRule>
  </conditionalFormatting>
  <conditionalFormatting sqref="AC175">
    <cfRule type="expression" dxfId="3991" priority="4102">
      <formula>$E$7&lt;&gt;"Yes"</formula>
    </cfRule>
  </conditionalFormatting>
  <conditionalFormatting sqref="AC175">
    <cfRule type="expression" dxfId="3990" priority="4101">
      <formula>$E175&lt;&gt;"Yes"</formula>
    </cfRule>
  </conditionalFormatting>
  <conditionalFormatting sqref="R175:V175">
    <cfRule type="expression" dxfId="3989" priority="4100">
      <formula>$E$7&lt;&gt;"Yes"</formula>
    </cfRule>
  </conditionalFormatting>
  <conditionalFormatting sqref="R175:V175">
    <cfRule type="expression" dxfId="3988" priority="4099">
      <formula>$E175&lt;&gt;"Yes"</formula>
    </cfRule>
  </conditionalFormatting>
  <conditionalFormatting sqref="S175">
    <cfRule type="expression" dxfId="3987" priority="4098">
      <formula>$E$7&lt;&gt;"Yes"</formula>
    </cfRule>
  </conditionalFormatting>
  <conditionalFormatting sqref="S175">
    <cfRule type="expression" dxfId="3986" priority="4097">
      <formula>$E175&lt;&gt;"Yes"</formula>
    </cfRule>
  </conditionalFormatting>
  <conditionalFormatting sqref="T175">
    <cfRule type="expression" dxfId="3985" priority="4096">
      <formula>$E$7&lt;&gt;"Yes"</formula>
    </cfRule>
  </conditionalFormatting>
  <conditionalFormatting sqref="T175">
    <cfRule type="expression" dxfId="3984" priority="4095">
      <formula>$E175&lt;&gt;"Yes"</formula>
    </cfRule>
  </conditionalFormatting>
  <conditionalFormatting sqref="U175">
    <cfRule type="expression" dxfId="3983" priority="4094">
      <formula>$E$7&lt;&gt;"Yes"</formula>
    </cfRule>
  </conditionalFormatting>
  <conditionalFormatting sqref="U175">
    <cfRule type="expression" dxfId="3982" priority="4093">
      <formula>$E175&lt;&gt;"Yes"</formula>
    </cfRule>
  </conditionalFormatting>
  <conditionalFormatting sqref="V175">
    <cfRule type="expression" dxfId="3981" priority="4092">
      <formula>$E$7&lt;&gt;"Yes"</formula>
    </cfRule>
  </conditionalFormatting>
  <conditionalFormatting sqref="V175">
    <cfRule type="expression" dxfId="3980" priority="4091">
      <formula>$E175&lt;&gt;"Yes"</formula>
    </cfRule>
  </conditionalFormatting>
  <conditionalFormatting sqref="R175:V175">
    <cfRule type="expression" dxfId="3979" priority="4090">
      <formula>$E$7&lt;&gt;"Yes"</formula>
    </cfRule>
  </conditionalFormatting>
  <conditionalFormatting sqref="R175:V175">
    <cfRule type="expression" dxfId="3978" priority="4089">
      <formula>$E175&lt;&gt;"Yes"</formula>
    </cfRule>
  </conditionalFormatting>
  <conditionalFormatting sqref="Z175">
    <cfRule type="expression" dxfId="3977" priority="4088">
      <formula>$E$7&lt;&gt;"Yes"</formula>
    </cfRule>
  </conditionalFormatting>
  <conditionalFormatting sqref="Z175">
    <cfRule type="expression" dxfId="3976" priority="4087">
      <formula>$E175&lt;&gt;"Yes"</formula>
    </cfRule>
  </conditionalFormatting>
  <conditionalFormatting sqref="AN175:AO175">
    <cfRule type="expression" dxfId="3975" priority="4086">
      <formula>$E$7&lt;&gt;"Yes"</formula>
    </cfRule>
  </conditionalFormatting>
  <conditionalFormatting sqref="AN175:AO175">
    <cfRule type="expression" dxfId="3974" priority="4085">
      <formula>$E175&lt;&gt;"Yes"</formula>
    </cfRule>
  </conditionalFormatting>
  <conditionalFormatting sqref="AI175">
    <cfRule type="expression" dxfId="3973" priority="4084">
      <formula>$E$7&lt;&gt;"Yes"</formula>
    </cfRule>
  </conditionalFormatting>
  <conditionalFormatting sqref="AI175">
    <cfRule type="expression" dxfId="3972" priority="4083">
      <formula>$E175&lt;&gt;"Yes"</formula>
    </cfRule>
  </conditionalFormatting>
  <conditionalFormatting sqref="P175">
    <cfRule type="expression" dxfId="3971" priority="4082">
      <formula>$E$7&lt;&gt;"Yes"</formula>
    </cfRule>
  </conditionalFormatting>
  <conditionalFormatting sqref="P175">
    <cfRule type="expression" dxfId="3970" priority="4081">
      <formula>$E175&lt;&gt;"Yes"</formula>
    </cfRule>
  </conditionalFormatting>
  <conditionalFormatting sqref="O175">
    <cfRule type="expression" dxfId="3969" priority="4080">
      <formula>$E$7&lt;&gt;"Yes"</formula>
    </cfRule>
  </conditionalFormatting>
  <conditionalFormatting sqref="O175">
    <cfRule type="expression" dxfId="3968" priority="4079">
      <formula>$E175&lt;&gt;"Yes"</formula>
    </cfRule>
  </conditionalFormatting>
  <conditionalFormatting sqref="F177:J177 M177 Q177 AJ177:AK177 AF177:AH177 Y177">
    <cfRule type="expression" dxfId="3967" priority="4078">
      <formula>$E$7&lt;&gt;"Yes"</formula>
    </cfRule>
  </conditionalFormatting>
  <conditionalFormatting sqref="F177:J177 M177 Q177 AJ177:AK177 AF177:AH177 Y177">
    <cfRule type="expression" dxfId="3966" priority="4077">
      <formula>$E177&lt;&gt;"Yes"</formula>
    </cfRule>
  </conditionalFormatting>
  <conditionalFormatting sqref="G177">
    <cfRule type="expression" dxfId="3965" priority="4076">
      <formula>$E$7&lt;&gt;"Yes"</formula>
    </cfRule>
  </conditionalFormatting>
  <conditionalFormatting sqref="K177:L177">
    <cfRule type="expression" dxfId="3964" priority="4075">
      <formula>$E$7&lt;&gt;"Yes"</formula>
    </cfRule>
  </conditionalFormatting>
  <conditionalFormatting sqref="K177:L177">
    <cfRule type="expression" dxfId="3963" priority="4074">
      <formula>$E177&lt;&gt;"Yes"</formula>
    </cfRule>
  </conditionalFormatting>
  <conditionalFormatting sqref="W177">
    <cfRule type="expression" dxfId="3962" priority="4073">
      <formula>$E$7&lt;&gt;"Yes"</formula>
    </cfRule>
  </conditionalFormatting>
  <conditionalFormatting sqref="W177">
    <cfRule type="expression" dxfId="3961" priority="4072">
      <formula>$E177&lt;&gt;"Yes"</formula>
    </cfRule>
  </conditionalFormatting>
  <conditionalFormatting sqref="AE177">
    <cfRule type="expression" dxfId="3960" priority="4071">
      <formula>$E$7&lt;&gt;"Yes"</formula>
    </cfRule>
  </conditionalFormatting>
  <conditionalFormatting sqref="AE177">
    <cfRule type="expression" dxfId="3959" priority="4070">
      <formula>$E177&lt;&gt;"Yes"</formula>
    </cfRule>
  </conditionalFormatting>
  <conditionalFormatting sqref="N177">
    <cfRule type="expression" dxfId="3958" priority="4069">
      <formula>$E$7&lt;&gt;"Yes"</formula>
    </cfRule>
  </conditionalFormatting>
  <conditionalFormatting sqref="N177">
    <cfRule type="expression" dxfId="3957" priority="4068">
      <formula>$E177&lt;&gt;"Yes"</formula>
    </cfRule>
  </conditionalFormatting>
  <conditionalFormatting sqref="AB177">
    <cfRule type="expression" dxfId="3956" priority="4067">
      <formula>$E$7&lt;&gt;"Yes"</formula>
    </cfRule>
  </conditionalFormatting>
  <conditionalFormatting sqref="AB177">
    <cfRule type="expression" dxfId="3955" priority="4066">
      <formula>$E177&lt;&gt;"Yes"</formula>
    </cfRule>
  </conditionalFormatting>
  <conditionalFormatting sqref="AA177">
    <cfRule type="expression" dxfId="3954" priority="4065">
      <formula>$E$7&lt;&gt;"Yes"</formula>
    </cfRule>
  </conditionalFormatting>
  <conditionalFormatting sqref="AA177">
    <cfRule type="expression" dxfId="3953" priority="4064">
      <formula>$E177&lt;&gt;"Yes"</formula>
    </cfRule>
  </conditionalFormatting>
  <conditionalFormatting sqref="Y177">
    <cfRule type="expression" dxfId="3952" priority="4063">
      <formula>$E$7&lt;&gt;"Yes"</formula>
    </cfRule>
  </conditionalFormatting>
  <conditionalFormatting sqref="Y177">
    <cfRule type="expression" dxfId="3951" priority="4062">
      <formula>$E177&lt;&gt;"Yes"</formula>
    </cfRule>
  </conditionalFormatting>
  <conditionalFormatting sqref="X177">
    <cfRule type="expression" dxfId="3950" priority="4061">
      <formula>$E$7&lt;&gt;"Yes"</formula>
    </cfRule>
  </conditionalFormatting>
  <conditionalFormatting sqref="X177">
    <cfRule type="expression" dxfId="3949" priority="4060">
      <formula>$E177&lt;&gt;"Yes"</formula>
    </cfRule>
  </conditionalFormatting>
  <conditionalFormatting sqref="AD177">
    <cfRule type="expression" dxfId="3948" priority="4059">
      <formula>$E$7&lt;&gt;"Yes"</formula>
    </cfRule>
  </conditionalFormatting>
  <conditionalFormatting sqref="AD177">
    <cfRule type="expression" dxfId="3947" priority="4058">
      <formula>$E177&lt;&gt;"Yes"</formula>
    </cfRule>
  </conditionalFormatting>
  <conditionalFormatting sqref="AC177">
    <cfRule type="expression" dxfId="3946" priority="4057">
      <formula>$E$7&lt;&gt;"Yes"</formula>
    </cfRule>
  </conditionalFormatting>
  <conditionalFormatting sqref="AC177">
    <cfRule type="expression" dxfId="3945" priority="4056">
      <formula>$E177&lt;&gt;"Yes"</formula>
    </cfRule>
  </conditionalFormatting>
  <conditionalFormatting sqref="R177:V177">
    <cfRule type="expression" dxfId="3944" priority="4055">
      <formula>$E$7&lt;&gt;"Yes"</formula>
    </cfRule>
  </conditionalFormatting>
  <conditionalFormatting sqref="R177:V177">
    <cfRule type="expression" dxfId="3943" priority="4054">
      <formula>$E177&lt;&gt;"Yes"</formula>
    </cfRule>
  </conditionalFormatting>
  <conditionalFormatting sqref="S177">
    <cfRule type="expression" dxfId="3942" priority="4053">
      <formula>$E$7&lt;&gt;"Yes"</formula>
    </cfRule>
  </conditionalFormatting>
  <conditionalFormatting sqref="S177">
    <cfRule type="expression" dxfId="3941" priority="4052">
      <formula>$E177&lt;&gt;"Yes"</formula>
    </cfRule>
  </conditionalFormatting>
  <conditionalFormatting sqref="T177">
    <cfRule type="expression" dxfId="3940" priority="4051">
      <formula>$E$7&lt;&gt;"Yes"</formula>
    </cfRule>
  </conditionalFormatting>
  <conditionalFormatting sqref="T177">
    <cfRule type="expression" dxfId="3939" priority="4050">
      <formula>$E177&lt;&gt;"Yes"</formula>
    </cfRule>
  </conditionalFormatting>
  <conditionalFormatting sqref="U177">
    <cfRule type="expression" dxfId="3938" priority="4049">
      <formula>$E$7&lt;&gt;"Yes"</formula>
    </cfRule>
  </conditionalFormatting>
  <conditionalFormatting sqref="U177">
    <cfRule type="expression" dxfId="3937" priority="4048">
      <formula>$E177&lt;&gt;"Yes"</formula>
    </cfRule>
  </conditionalFormatting>
  <conditionalFormatting sqref="V177">
    <cfRule type="expression" dxfId="3936" priority="4047">
      <formula>$E$7&lt;&gt;"Yes"</formula>
    </cfRule>
  </conditionalFormatting>
  <conditionalFormatting sqref="V177">
    <cfRule type="expression" dxfId="3935" priority="4046">
      <formula>$E177&lt;&gt;"Yes"</formula>
    </cfRule>
  </conditionalFormatting>
  <conditionalFormatting sqref="R177:V177">
    <cfRule type="expression" dxfId="3934" priority="4045">
      <formula>$E$7&lt;&gt;"Yes"</formula>
    </cfRule>
  </conditionalFormatting>
  <conditionalFormatting sqref="R177:V177">
    <cfRule type="expression" dxfId="3933" priority="4044">
      <formula>$E177&lt;&gt;"Yes"</formula>
    </cfRule>
  </conditionalFormatting>
  <conditionalFormatting sqref="Z177">
    <cfRule type="expression" dxfId="3932" priority="4043">
      <formula>$E$7&lt;&gt;"Yes"</formula>
    </cfRule>
  </conditionalFormatting>
  <conditionalFormatting sqref="Z177">
    <cfRule type="expression" dxfId="3931" priority="4042">
      <formula>$E177&lt;&gt;"Yes"</formula>
    </cfRule>
  </conditionalFormatting>
  <conditionalFormatting sqref="AN177:AO177">
    <cfRule type="expression" dxfId="3930" priority="4041">
      <formula>$E$7&lt;&gt;"Yes"</formula>
    </cfRule>
  </conditionalFormatting>
  <conditionalFormatting sqref="AN177:AO177">
    <cfRule type="expression" dxfId="3929" priority="4040">
      <formula>$E177&lt;&gt;"Yes"</formula>
    </cfRule>
  </conditionalFormatting>
  <conditionalFormatting sqref="AI177">
    <cfRule type="expression" dxfId="3928" priority="4039">
      <formula>$E$7&lt;&gt;"Yes"</formula>
    </cfRule>
  </conditionalFormatting>
  <conditionalFormatting sqref="AI177">
    <cfRule type="expression" dxfId="3927" priority="4038">
      <formula>$E177&lt;&gt;"Yes"</formula>
    </cfRule>
  </conditionalFormatting>
  <conditionalFormatting sqref="P177">
    <cfRule type="expression" dxfId="3926" priority="4037">
      <formula>$E$7&lt;&gt;"Yes"</formula>
    </cfRule>
  </conditionalFormatting>
  <conditionalFormatting sqref="P177">
    <cfRule type="expression" dxfId="3925" priority="4036">
      <formula>$E177&lt;&gt;"Yes"</formula>
    </cfRule>
  </conditionalFormatting>
  <conditionalFormatting sqref="O177">
    <cfRule type="expression" dxfId="3924" priority="4035">
      <formula>$E$7&lt;&gt;"Yes"</formula>
    </cfRule>
  </conditionalFormatting>
  <conditionalFormatting sqref="O177">
    <cfRule type="expression" dxfId="3923" priority="4034">
      <formula>$E177&lt;&gt;"Yes"</formula>
    </cfRule>
  </conditionalFormatting>
  <conditionalFormatting sqref="F189:J189 M189 Q189 AJ189:AK189 AF189:AH189 Y189">
    <cfRule type="expression" dxfId="3922" priority="4033">
      <formula>$E$7&lt;&gt;"Yes"</formula>
    </cfRule>
  </conditionalFormatting>
  <conditionalFormatting sqref="F189:J189 M189 Q189 AJ189:AK189 AF189:AH189 Y189">
    <cfRule type="expression" dxfId="3921" priority="4032">
      <formula>$E189&lt;&gt;"Yes"</formula>
    </cfRule>
  </conditionalFormatting>
  <conditionalFormatting sqref="G189">
    <cfRule type="expression" dxfId="3920" priority="4031">
      <formula>$E$7&lt;&gt;"Yes"</formula>
    </cfRule>
  </conditionalFormatting>
  <conditionalFormatting sqref="K189:L189">
    <cfRule type="expression" dxfId="3919" priority="4030">
      <formula>$E$7&lt;&gt;"Yes"</formula>
    </cfRule>
  </conditionalFormatting>
  <conditionalFormatting sqref="K189:L189">
    <cfRule type="expression" dxfId="3918" priority="4029">
      <formula>$E189&lt;&gt;"Yes"</formula>
    </cfRule>
  </conditionalFormatting>
  <conditionalFormatting sqref="W189">
    <cfRule type="expression" dxfId="3917" priority="4028">
      <formula>$E$7&lt;&gt;"Yes"</formula>
    </cfRule>
  </conditionalFormatting>
  <conditionalFormatting sqref="W189">
    <cfRule type="expression" dxfId="3916" priority="4027">
      <formula>$E189&lt;&gt;"Yes"</formula>
    </cfRule>
  </conditionalFormatting>
  <conditionalFormatting sqref="AE189">
    <cfRule type="expression" dxfId="3915" priority="4026">
      <formula>$E$7&lt;&gt;"Yes"</formula>
    </cfRule>
  </conditionalFormatting>
  <conditionalFormatting sqref="AE189">
    <cfRule type="expression" dxfId="3914" priority="4025">
      <formula>$E189&lt;&gt;"Yes"</formula>
    </cfRule>
  </conditionalFormatting>
  <conditionalFormatting sqref="N189">
    <cfRule type="expression" dxfId="3913" priority="4024">
      <formula>$E$7&lt;&gt;"Yes"</formula>
    </cfRule>
  </conditionalFormatting>
  <conditionalFormatting sqref="N189">
    <cfRule type="expression" dxfId="3912" priority="4023">
      <formula>$E189&lt;&gt;"Yes"</formula>
    </cfRule>
  </conditionalFormatting>
  <conditionalFormatting sqref="AB189">
    <cfRule type="expression" dxfId="3911" priority="4022">
      <formula>$E$7&lt;&gt;"Yes"</formula>
    </cfRule>
  </conditionalFormatting>
  <conditionalFormatting sqref="AB189">
    <cfRule type="expression" dxfId="3910" priority="4021">
      <formula>$E189&lt;&gt;"Yes"</formula>
    </cfRule>
  </conditionalFormatting>
  <conditionalFormatting sqref="AA189">
    <cfRule type="expression" dxfId="3909" priority="4020">
      <formula>$E$7&lt;&gt;"Yes"</formula>
    </cfRule>
  </conditionalFormatting>
  <conditionalFormatting sqref="AA189">
    <cfRule type="expression" dxfId="3908" priority="4019">
      <formula>$E189&lt;&gt;"Yes"</formula>
    </cfRule>
  </conditionalFormatting>
  <conditionalFormatting sqref="Y189">
    <cfRule type="expression" dxfId="3907" priority="4018">
      <formula>$E$7&lt;&gt;"Yes"</formula>
    </cfRule>
  </conditionalFormatting>
  <conditionalFormatting sqref="Y189">
    <cfRule type="expression" dxfId="3906" priority="4017">
      <formula>$E189&lt;&gt;"Yes"</formula>
    </cfRule>
  </conditionalFormatting>
  <conditionalFormatting sqref="X189">
    <cfRule type="expression" dxfId="3905" priority="4016">
      <formula>$E$7&lt;&gt;"Yes"</formula>
    </cfRule>
  </conditionalFormatting>
  <conditionalFormatting sqref="X189">
    <cfRule type="expression" dxfId="3904" priority="4015">
      <formula>$E189&lt;&gt;"Yes"</formula>
    </cfRule>
  </conditionalFormatting>
  <conditionalFormatting sqref="AD189">
    <cfRule type="expression" dxfId="3903" priority="4014">
      <formula>$E$7&lt;&gt;"Yes"</formula>
    </cfRule>
  </conditionalFormatting>
  <conditionalFormatting sqref="AD189">
    <cfRule type="expression" dxfId="3902" priority="4013">
      <formula>$E189&lt;&gt;"Yes"</formula>
    </cfRule>
  </conditionalFormatting>
  <conditionalFormatting sqref="AC189">
    <cfRule type="expression" dxfId="3901" priority="4012">
      <formula>$E$7&lt;&gt;"Yes"</formula>
    </cfRule>
  </conditionalFormatting>
  <conditionalFormatting sqref="AC189">
    <cfRule type="expression" dxfId="3900" priority="4011">
      <formula>$E189&lt;&gt;"Yes"</formula>
    </cfRule>
  </conditionalFormatting>
  <conditionalFormatting sqref="R189:V189">
    <cfRule type="expression" dxfId="3899" priority="4010">
      <formula>$E$7&lt;&gt;"Yes"</formula>
    </cfRule>
  </conditionalFormatting>
  <conditionalFormatting sqref="R189:V189">
    <cfRule type="expression" dxfId="3898" priority="4009">
      <formula>$E189&lt;&gt;"Yes"</formula>
    </cfRule>
  </conditionalFormatting>
  <conditionalFormatting sqref="S189">
    <cfRule type="expression" dxfId="3897" priority="4008">
      <formula>$E$7&lt;&gt;"Yes"</formula>
    </cfRule>
  </conditionalFormatting>
  <conditionalFormatting sqref="S189">
    <cfRule type="expression" dxfId="3896" priority="4007">
      <formula>$E189&lt;&gt;"Yes"</formula>
    </cfRule>
  </conditionalFormatting>
  <conditionalFormatting sqref="T189">
    <cfRule type="expression" dxfId="3895" priority="4006">
      <formula>$E$7&lt;&gt;"Yes"</formula>
    </cfRule>
  </conditionalFormatting>
  <conditionalFormatting sqref="T189">
    <cfRule type="expression" dxfId="3894" priority="4005">
      <formula>$E189&lt;&gt;"Yes"</formula>
    </cfRule>
  </conditionalFormatting>
  <conditionalFormatting sqref="U189">
    <cfRule type="expression" dxfId="3893" priority="4004">
      <formula>$E$7&lt;&gt;"Yes"</formula>
    </cfRule>
  </conditionalFormatting>
  <conditionalFormatting sqref="U189">
    <cfRule type="expression" dxfId="3892" priority="4003">
      <formula>$E189&lt;&gt;"Yes"</formula>
    </cfRule>
  </conditionalFormatting>
  <conditionalFormatting sqref="V189">
    <cfRule type="expression" dxfId="3891" priority="4002">
      <formula>$E$7&lt;&gt;"Yes"</formula>
    </cfRule>
  </conditionalFormatting>
  <conditionalFormatting sqref="V189">
    <cfRule type="expression" dxfId="3890" priority="4001">
      <formula>$E189&lt;&gt;"Yes"</formula>
    </cfRule>
  </conditionalFormatting>
  <conditionalFormatting sqref="R189:V189">
    <cfRule type="expression" dxfId="3889" priority="4000">
      <formula>$E$7&lt;&gt;"Yes"</formula>
    </cfRule>
  </conditionalFormatting>
  <conditionalFormatting sqref="R189:V189">
    <cfRule type="expression" dxfId="3888" priority="3999">
      <formula>$E189&lt;&gt;"Yes"</formula>
    </cfRule>
  </conditionalFormatting>
  <conditionalFormatting sqref="Z189">
    <cfRule type="expression" dxfId="3887" priority="3998">
      <formula>$E$7&lt;&gt;"Yes"</formula>
    </cfRule>
  </conditionalFormatting>
  <conditionalFormatting sqref="Z189">
    <cfRule type="expression" dxfId="3886" priority="3997">
      <formula>$E189&lt;&gt;"Yes"</formula>
    </cfRule>
  </conditionalFormatting>
  <conditionalFormatting sqref="AN189:AO189">
    <cfRule type="expression" dxfId="3885" priority="3996">
      <formula>$E$7&lt;&gt;"Yes"</formula>
    </cfRule>
  </conditionalFormatting>
  <conditionalFormatting sqref="AN189:AO189">
    <cfRule type="expression" dxfId="3884" priority="3995">
      <formula>$E189&lt;&gt;"Yes"</formula>
    </cfRule>
  </conditionalFormatting>
  <conditionalFormatting sqref="AI189">
    <cfRule type="expression" dxfId="3883" priority="3994">
      <formula>$E$7&lt;&gt;"Yes"</formula>
    </cfRule>
  </conditionalFormatting>
  <conditionalFormatting sqref="AI189">
    <cfRule type="expression" dxfId="3882" priority="3993">
      <formula>$E189&lt;&gt;"Yes"</formula>
    </cfRule>
  </conditionalFormatting>
  <conditionalFormatting sqref="P189">
    <cfRule type="expression" dxfId="3881" priority="3992">
      <formula>$E$7&lt;&gt;"Yes"</formula>
    </cfRule>
  </conditionalFormatting>
  <conditionalFormatting sqref="P189">
    <cfRule type="expression" dxfId="3880" priority="3991">
      <formula>$E189&lt;&gt;"Yes"</formula>
    </cfRule>
  </conditionalFormatting>
  <conditionalFormatting sqref="O189">
    <cfRule type="expression" dxfId="3879" priority="3990">
      <formula>$E$7&lt;&gt;"Yes"</formula>
    </cfRule>
  </conditionalFormatting>
  <conditionalFormatting sqref="O189">
    <cfRule type="expression" dxfId="3878" priority="3989">
      <formula>$E189&lt;&gt;"Yes"</formula>
    </cfRule>
  </conditionalFormatting>
  <conditionalFormatting sqref="F191:J191 M191 Q191 AJ191:AK191 AF191:AH191 Y191">
    <cfRule type="expression" dxfId="3877" priority="3988">
      <formula>$E$7&lt;&gt;"Yes"</formula>
    </cfRule>
  </conditionalFormatting>
  <conditionalFormatting sqref="F191:J191 M191 Q191 AJ191:AK191 AF191:AH191 Y191">
    <cfRule type="expression" dxfId="3876" priority="3987">
      <formula>$E191&lt;&gt;"Yes"</formula>
    </cfRule>
  </conditionalFormatting>
  <conditionalFormatting sqref="G191">
    <cfRule type="expression" dxfId="3875" priority="3986">
      <formula>$E$7&lt;&gt;"Yes"</formula>
    </cfRule>
  </conditionalFormatting>
  <conditionalFormatting sqref="K191:L191">
    <cfRule type="expression" dxfId="3874" priority="3985">
      <formula>$E$7&lt;&gt;"Yes"</formula>
    </cfRule>
  </conditionalFormatting>
  <conditionalFormatting sqref="K191:L191">
    <cfRule type="expression" dxfId="3873" priority="3984">
      <formula>$E191&lt;&gt;"Yes"</formula>
    </cfRule>
  </conditionalFormatting>
  <conditionalFormatting sqref="W191">
    <cfRule type="expression" dxfId="3872" priority="3983">
      <formula>$E$7&lt;&gt;"Yes"</formula>
    </cfRule>
  </conditionalFormatting>
  <conditionalFormatting sqref="W191">
    <cfRule type="expression" dxfId="3871" priority="3982">
      <formula>$E191&lt;&gt;"Yes"</formula>
    </cfRule>
  </conditionalFormatting>
  <conditionalFormatting sqref="AE191">
    <cfRule type="expression" dxfId="3870" priority="3981">
      <formula>$E$7&lt;&gt;"Yes"</formula>
    </cfRule>
  </conditionalFormatting>
  <conditionalFormatting sqref="AE191">
    <cfRule type="expression" dxfId="3869" priority="3980">
      <formula>$E191&lt;&gt;"Yes"</formula>
    </cfRule>
  </conditionalFormatting>
  <conditionalFormatting sqref="N191">
    <cfRule type="expression" dxfId="3868" priority="3979">
      <formula>$E$7&lt;&gt;"Yes"</formula>
    </cfRule>
  </conditionalFormatting>
  <conditionalFormatting sqref="N191">
    <cfRule type="expression" dxfId="3867" priority="3978">
      <formula>$E191&lt;&gt;"Yes"</formula>
    </cfRule>
  </conditionalFormatting>
  <conditionalFormatting sqref="AB191">
    <cfRule type="expression" dxfId="3866" priority="3977">
      <formula>$E$7&lt;&gt;"Yes"</formula>
    </cfRule>
  </conditionalFormatting>
  <conditionalFormatting sqref="AB191">
    <cfRule type="expression" dxfId="3865" priority="3976">
      <formula>$E191&lt;&gt;"Yes"</formula>
    </cfRule>
  </conditionalFormatting>
  <conditionalFormatting sqref="AA191">
    <cfRule type="expression" dxfId="3864" priority="3975">
      <formula>$E$7&lt;&gt;"Yes"</formula>
    </cfRule>
  </conditionalFormatting>
  <conditionalFormatting sqref="AA191">
    <cfRule type="expression" dxfId="3863" priority="3974">
      <formula>$E191&lt;&gt;"Yes"</formula>
    </cfRule>
  </conditionalFormatting>
  <conditionalFormatting sqref="Y191">
    <cfRule type="expression" dxfId="3862" priority="3973">
      <formula>$E$7&lt;&gt;"Yes"</formula>
    </cfRule>
  </conditionalFormatting>
  <conditionalFormatting sqref="Y191">
    <cfRule type="expression" dxfId="3861" priority="3972">
      <formula>$E191&lt;&gt;"Yes"</formula>
    </cfRule>
  </conditionalFormatting>
  <conditionalFormatting sqref="X191">
    <cfRule type="expression" dxfId="3860" priority="3971">
      <formula>$E$7&lt;&gt;"Yes"</formula>
    </cfRule>
  </conditionalFormatting>
  <conditionalFormatting sqref="X191">
    <cfRule type="expression" dxfId="3859" priority="3970">
      <formula>$E191&lt;&gt;"Yes"</formula>
    </cfRule>
  </conditionalFormatting>
  <conditionalFormatting sqref="AD191">
    <cfRule type="expression" dxfId="3858" priority="3969">
      <formula>$E$7&lt;&gt;"Yes"</formula>
    </cfRule>
  </conditionalFormatting>
  <conditionalFormatting sqref="AD191">
    <cfRule type="expression" dxfId="3857" priority="3968">
      <formula>$E191&lt;&gt;"Yes"</formula>
    </cfRule>
  </conditionalFormatting>
  <conditionalFormatting sqref="AC191">
    <cfRule type="expression" dxfId="3856" priority="3967">
      <formula>$E$7&lt;&gt;"Yes"</formula>
    </cfRule>
  </conditionalFormatting>
  <conditionalFormatting sqref="AC191">
    <cfRule type="expression" dxfId="3855" priority="3966">
      <formula>$E191&lt;&gt;"Yes"</formula>
    </cfRule>
  </conditionalFormatting>
  <conditionalFormatting sqref="R191:V191">
    <cfRule type="expression" dxfId="3854" priority="3965">
      <formula>$E$7&lt;&gt;"Yes"</formula>
    </cfRule>
  </conditionalFormatting>
  <conditionalFormatting sqref="R191:V191">
    <cfRule type="expression" dxfId="3853" priority="3964">
      <formula>$E191&lt;&gt;"Yes"</formula>
    </cfRule>
  </conditionalFormatting>
  <conditionalFormatting sqref="S191">
    <cfRule type="expression" dxfId="3852" priority="3963">
      <formula>$E$7&lt;&gt;"Yes"</formula>
    </cfRule>
  </conditionalFormatting>
  <conditionalFormatting sqref="S191">
    <cfRule type="expression" dxfId="3851" priority="3962">
      <formula>$E191&lt;&gt;"Yes"</formula>
    </cfRule>
  </conditionalFormatting>
  <conditionalFormatting sqref="T191">
    <cfRule type="expression" dxfId="3850" priority="3961">
      <formula>$E$7&lt;&gt;"Yes"</formula>
    </cfRule>
  </conditionalFormatting>
  <conditionalFormatting sqref="T191">
    <cfRule type="expression" dxfId="3849" priority="3960">
      <formula>$E191&lt;&gt;"Yes"</formula>
    </cfRule>
  </conditionalFormatting>
  <conditionalFormatting sqref="U191">
    <cfRule type="expression" dxfId="3848" priority="3959">
      <formula>$E$7&lt;&gt;"Yes"</formula>
    </cfRule>
  </conditionalFormatting>
  <conditionalFormatting sqref="U191">
    <cfRule type="expression" dxfId="3847" priority="3958">
      <formula>$E191&lt;&gt;"Yes"</formula>
    </cfRule>
  </conditionalFormatting>
  <conditionalFormatting sqref="V191">
    <cfRule type="expression" dxfId="3846" priority="3957">
      <formula>$E$7&lt;&gt;"Yes"</formula>
    </cfRule>
  </conditionalFormatting>
  <conditionalFormatting sqref="V191">
    <cfRule type="expression" dxfId="3845" priority="3956">
      <formula>$E191&lt;&gt;"Yes"</formula>
    </cfRule>
  </conditionalFormatting>
  <conditionalFormatting sqref="R191:V191">
    <cfRule type="expression" dxfId="3844" priority="3955">
      <formula>$E$7&lt;&gt;"Yes"</formula>
    </cfRule>
  </conditionalFormatting>
  <conditionalFormatting sqref="R191:V191">
    <cfRule type="expression" dxfId="3843" priority="3954">
      <formula>$E191&lt;&gt;"Yes"</formula>
    </cfRule>
  </conditionalFormatting>
  <conditionalFormatting sqref="Z191">
    <cfRule type="expression" dxfId="3842" priority="3953">
      <formula>$E$7&lt;&gt;"Yes"</formula>
    </cfRule>
  </conditionalFormatting>
  <conditionalFormatting sqref="Z191">
    <cfRule type="expression" dxfId="3841" priority="3952">
      <formula>$E191&lt;&gt;"Yes"</formula>
    </cfRule>
  </conditionalFormatting>
  <conditionalFormatting sqref="AN191:AO191">
    <cfRule type="expression" dxfId="3840" priority="3951">
      <formula>$E$7&lt;&gt;"Yes"</formula>
    </cfRule>
  </conditionalFormatting>
  <conditionalFormatting sqref="AN191:AO191">
    <cfRule type="expression" dxfId="3839" priority="3950">
      <formula>$E191&lt;&gt;"Yes"</formula>
    </cfRule>
  </conditionalFormatting>
  <conditionalFormatting sqref="AI191">
    <cfRule type="expression" dxfId="3838" priority="3949">
      <formula>$E$7&lt;&gt;"Yes"</formula>
    </cfRule>
  </conditionalFormatting>
  <conditionalFormatting sqref="AI191">
    <cfRule type="expression" dxfId="3837" priority="3948">
      <formula>$E191&lt;&gt;"Yes"</formula>
    </cfRule>
  </conditionalFormatting>
  <conditionalFormatting sqref="P191">
    <cfRule type="expression" dxfId="3836" priority="3947">
      <formula>$E$7&lt;&gt;"Yes"</formula>
    </cfRule>
  </conditionalFormatting>
  <conditionalFormatting sqref="P191">
    <cfRule type="expression" dxfId="3835" priority="3946">
      <formula>$E191&lt;&gt;"Yes"</formula>
    </cfRule>
  </conditionalFormatting>
  <conditionalFormatting sqref="O191">
    <cfRule type="expression" dxfId="3834" priority="3945">
      <formula>$E$7&lt;&gt;"Yes"</formula>
    </cfRule>
  </conditionalFormatting>
  <conditionalFormatting sqref="O191">
    <cfRule type="expression" dxfId="3833" priority="3944">
      <formula>$E191&lt;&gt;"Yes"</formula>
    </cfRule>
  </conditionalFormatting>
  <conditionalFormatting sqref="F190:J190 M190 Q190 AJ190:AK190 AF190:AH190 Y190">
    <cfRule type="expression" dxfId="3832" priority="3943">
      <formula>$E$7&lt;&gt;"Yes"</formula>
    </cfRule>
  </conditionalFormatting>
  <conditionalFormatting sqref="F190:J190 M190 Q190 AJ190:AK190 AF190:AH190 Y190">
    <cfRule type="expression" dxfId="3831" priority="3942">
      <formula>$E190&lt;&gt;"Yes"</formula>
    </cfRule>
  </conditionalFormatting>
  <conditionalFormatting sqref="G190">
    <cfRule type="expression" dxfId="3830" priority="3941">
      <formula>$E$7&lt;&gt;"Yes"</formula>
    </cfRule>
  </conditionalFormatting>
  <conditionalFormatting sqref="K190:L190">
    <cfRule type="expression" dxfId="3829" priority="3940">
      <formula>$E$7&lt;&gt;"Yes"</formula>
    </cfRule>
  </conditionalFormatting>
  <conditionalFormatting sqref="K190:L190">
    <cfRule type="expression" dxfId="3828" priority="3939">
      <formula>$E190&lt;&gt;"Yes"</formula>
    </cfRule>
  </conditionalFormatting>
  <conditionalFormatting sqref="W190">
    <cfRule type="expression" dxfId="3827" priority="3938">
      <formula>$E$7&lt;&gt;"Yes"</formula>
    </cfRule>
  </conditionalFormatting>
  <conditionalFormatting sqref="W190">
    <cfRule type="expression" dxfId="3826" priority="3937">
      <formula>$E190&lt;&gt;"Yes"</formula>
    </cfRule>
  </conditionalFormatting>
  <conditionalFormatting sqref="AE190">
    <cfRule type="expression" dxfId="3825" priority="3936">
      <formula>$E$7&lt;&gt;"Yes"</formula>
    </cfRule>
  </conditionalFormatting>
  <conditionalFormatting sqref="AE190">
    <cfRule type="expression" dxfId="3824" priority="3935">
      <formula>$E190&lt;&gt;"Yes"</formula>
    </cfRule>
  </conditionalFormatting>
  <conditionalFormatting sqref="N190">
    <cfRule type="expression" dxfId="3823" priority="3934">
      <formula>$E$7&lt;&gt;"Yes"</formula>
    </cfRule>
  </conditionalFormatting>
  <conditionalFormatting sqref="N190">
    <cfRule type="expression" dxfId="3822" priority="3933">
      <formula>$E190&lt;&gt;"Yes"</formula>
    </cfRule>
  </conditionalFormatting>
  <conditionalFormatting sqref="AB190">
    <cfRule type="expression" dxfId="3821" priority="3932">
      <formula>$E$7&lt;&gt;"Yes"</formula>
    </cfRule>
  </conditionalFormatting>
  <conditionalFormatting sqref="AB190">
    <cfRule type="expression" dxfId="3820" priority="3931">
      <formula>$E190&lt;&gt;"Yes"</formula>
    </cfRule>
  </conditionalFormatting>
  <conditionalFormatting sqref="AA190">
    <cfRule type="expression" dxfId="3819" priority="3930">
      <formula>$E$7&lt;&gt;"Yes"</formula>
    </cfRule>
  </conditionalFormatting>
  <conditionalFormatting sqref="AA190">
    <cfRule type="expression" dxfId="3818" priority="3929">
      <formula>$E190&lt;&gt;"Yes"</formula>
    </cfRule>
  </conditionalFormatting>
  <conditionalFormatting sqref="Y190">
    <cfRule type="expression" dxfId="3817" priority="3928">
      <formula>$E$7&lt;&gt;"Yes"</formula>
    </cfRule>
  </conditionalFormatting>
  <conditionalFormatting sqref="Y190">
    <cfRule type="expression" dxfId="3816" priority="3927">
      <formula>$E190&lt;&gt;"Yes"</formula>
    </cfRule>
  </conditionalFormatting>
  <conditionalFormatting sqref="X190">
    <cfRule type="expression" dxfId="3815" priority="3926">
      <formula>$E$7&lt;&gt;"Yes"</formula>
    </cfRule>
  </conditionalFormatting>
  <conditionalFormatting sqref="X190">
    <cfRule type="expression" dxfId="3814" priority="3925">
      <formula>$E190&lt;&gt;"Yes"</formula>
    </cfRule>
  </conditionalFormatting>
  <conditionalFormatting sqref="AD190">
    <cfRule type="expression" dxfId="3813" priority="3924">
      <formula>$E$7&lt;&gt;"Yes"</formula>
    </cfRule>
  </conditionalFormatting>
  <conditionalFormatting sqref="AD190">
    <cfRule type="expression" dxfId="3812" priority="3923">
      <formula>$E190&lt;&gt;"Yes"</formula>
    </cfRule>
  </conditionalFormatting>
  <conditionalFormatting sqref="AC190">
    <cfRule type="expression" dxfId="3811" priority="3922">
      <formula>$E$7&lt;&gt;"Yes"</formula>
    </cfRule>
  </conditionalFormatting>
  <conditionalFormatting sqref="AC190">
    <cfRule type="expression" dxfId="3810" priority="3921">
      <formula>$E190&lt;&gt;"Yes"</formula>
    </cfRule>
  </conditionalFormatting>
  <conditionalFormatting sqref="R190:V190">
    <cfRule type="expression" dxfId="3809" priority="3920">
      <formula>$E$7&lt;&gt;"Yes"</formula>
    </cfRule>
  </conditionalFormatting>
  <conditionalFormatting sqref="R190:V190">
    <cfRule type="expression" dxfId="3808" priority="3919">
      <formula>$E190&lt;&gt;"Yes"</formula>
    </cfRule>
  </conditionalFormatting>
  <conditionalFormatting sqref="S190">
    <cfRule type="expression" dxfId="3807" priority="3918">
      <formula>$E$7&lt;&gt;"Yes"</formula>
    </cfRule>
  </conditionalFormatting>
  <conditionalFormatting sqref="S190">
    <cfRule type="expression" dxfId="3806" priority="3917">
      <formula>$E190&lt;&gt;"Yes"</formula>
    </cfRule>
  </conditionalFormatting>
  <conditionalFormatting sqref="T190">
    <cfRule type="expression" dxfId="3805" priority="3916">
      <formula>$E$7&lt;&gt;"Yes"</formula>
    </cfRule>
  </conditionalFormatting>
  <conditionalFormatting sqref="T190">
    <cfRule type="expression" dxfId="3804" priority="3915">
      <formula>$E190&lt;&gt;"Yes"</formula>
    </cfRule>
  </conditionalFormatting>
  <conditionalFormatting sqref="U190">
    <cfRule type="expression" dxfId="3803" priority="3914">
      <formula>$E$7&lt;&gt;"Yes"</formula>
    </cfRule>
  </conditionalFormatting>
  <conditionalFormatting sqref="U190">
    <cfRule type="expression" dxfId="3802" priority="3913">
      <formula>$E190&lt;&gt;"Yes"</formula>
    </cfRule>
  </conditionalFormatting>
  <conditionalFormatting sqref="V190">
    <cfRule type="expression" dxfId="3801" priority="3912">
      <formula>$E$7&lt;&gt;"Yes"</formula>
    </cfRule>
  </conditionalFormatting>
  <conditionalFormatting sqref="V190">
    <cfRule type="expression" dxfId="3800" priority="3911">
      <formula>$E190&lt;&gt;"Yes"</formula>
    </cfRule>
  </conditionalFormatting>
  <conditionalFormatting sqref="R190:V190">
    <cfRule type="expression" dxfId="3799" priority="3910">
      <formula>$E$7&lt;&gt;"Yes"</formula>
    </cfRule>
  </conditionalFormatting>
  <conditionalFormatting sqref="R190:V190">
    <cfRule type="expression" dxfId="3798" priority="3909">
      <formula>$E190&lt;&gt;"Yes"</formula>
    </cfRule>
  </conditionalFormatting>
  <conditionalFormatting sqref="Z190">
    <cfRule type="expression" dxfId="3797" priority="3908">
      <formula>$E$7&lt;&gt;"Yes"</formula>
    </cfRule>
  </conditionalFormatting>
  <conditionalFormatting sqref="Z190">
    <cfRule type="expression" dxfId="3796" priority="3907">
      <formula>$E190&lt;&gt;"Yes"</formula>
    </cfRule>
  </conditionalFormatting>
  <conditionalFormatting sqref="AN190:AO190">
    <cfRule type="expression" dxfId="3795" priority="3906">
      <formula>$E$7&lt;&gt;"Yes"</formula>
    </cfRule>
  </conditionalFormatting>
  <conditionalFormatting sqref="AN190:AO190">
    <cfRule type="expression" dxfId="3794" priority="3905">
      <formula>$E190&lt;&gt;"Yes"</formula>
    </cfRule>
  </conditionalFormatting>
  <conditionalFormatting sqref="AI190">
    <cfRule type="expression" dxfId="3793" priority="3904">
      <formula>$E$7&lt;&gt;"Yes"</formula>
    </cfRule>
  </conditionalFormatting>
  <conditionalFormatting sqref="AI190">
    <cfRule type="expression" dxfId="3792" priority="3903">
      <formula>$E190&lt;&gt;"Yes"</formula>
    </cfRule>
  </conditionalFormatting>
  <conditionalFormatting sqref="P190">
    <cfRule type="expression" dxfId="3791" priority="3902">
      <formula>$E$7&lt;&gt;"Yes"</formula>
    </cfRule>
  </conditionalFormatting>
  <conditionalFormatting sqref="P190">
    <cfRule type="expression" dxfId="3790" priority="3901">
      <formula>$E190&lt;&gt;"Yes"</formula>
    </cfRule>
  </conditionalFormatting>
  <conditionalFormatting sqref="O190">
    <cfRule type="expression" dxfId="3789" priority="3900">
      <formula>$E$7&lt;&gt;"Yes"</formula>
    </cfRule>
  </conditionalFormatting>
  <conditionalFormatting sqref="O190">
    <cfRule type="expression" dxfId="3788" priority="3899">
      <formula>$E190&lt;&gt;"Yes"</formula>
    </cfRule>
  </conditionalFormatting>
  <conditionalFormatting sqref="F453:J453 M453 Q453 AJ453:AK453 AF453:AH453 Y453">
    <cfRule type="expression" dxfId="3787" priority="3763">
      <formula>$E$7&lt;&gt;"Yes"</formula>
    </cfRule>
  </conditionalFormatting>
  <conditionalFormatting sqref="F453:J453 M453 Q453 AJ453:AK453 AF453:AH453 Y453">
    <cfRule type="expression" dxfId="3786" priority="3762">
      <formula>$E453&lt;&gt;"Yes"</formula>
    </cfRule>
  </conditionalFormatting>
  <conditionalFormatting sqref="G453">
    <cfRule type="expression" dxfId="3785" priority="3761">
      <formula>$E$7&lt;&gt;"Yes"</formula>
    </cfRule>
  </conditionalFormatting>
  <conditionalFormatting sqref="K453:L453">
    <cfRule type="expression" dxfId="3784" priority="3760">
      <formula>$E$7&lt;&gt;"Yes"</formula>
    </cfRule>
  </conditionalFormatting>
  <conditionalFormatting sqref="K453:L453">
    <cfRule type="expression" dxfId="3783" priority="3759">
      <formula>$E453&lt;&gt;"Yes"</formula>
    </cfRule>
  </conditionalFormatting>
  <conditionalFormatting sqref="W453">
    <cfRule type="expression" dxfId="3782" priority="3758">
      <formula>$E$7&lt;&gt;"Yes"</formula>
    </cfRule>
  </conditionalFormatting>
  <conditionalFormatting sqref="W453">
    <cfRule type="expression" dxfId="3781" priority="3757">
      <formula>$E453&lt;&gt;"Yes"</formula>
    </cfRule>
  </conditionalFormatting>
  <conditionalFormatting sqref="AE453">
    <cfRule type="expression" dxfId="3780" priority="3756">
      <formula>$E$7&lt;&gt;"Yes"</formula>
    </cfRule>
  </conditionalFormatting>
  <conditionalFormatting sqref="AE453">
    <cfRule type="expression" dxfId="3779" priority="3755">
      <formula>$E453&lt;&gt;"Yes"</formula>
    </cfRule>
  </conditionalFormatting>
  <conditionalFormatting sqref="N453">
    <cfRule type="expression" dxfId="3778" priority="3754">
      <formula>$E$7&lt;&gt;"Yes"</formula>
    </cfRule>
  </conditionalFormatting>
  <conditionalFormatting sqref="N453">
    <cfRule type="expression" dxfId="3777" priority="3753">
      <formula>$E453&lt;&gt;"Yes"</formula>
    </cfRule>
  </conditionalFormatting>
  <conditionalFormatting sqref="AB453">
    <cfRule type="expression" dxfId="3776" priority="3752">
      <formula>$E$7&lt;&gt;"Yes"</formula>
    </cfRule>
  </conditionalFormatting>
  <conditionalFormatting sqref="AB453">
    <cfRule type="expression" dxfId="3775" priority="3751">
      <formula>$E453&lt;&gt;"Yes"</formula>
    </cfRule>
  </conditionalFormatting>
  <conditionalFormatting sqref="AA453">
    <cfRule type="expression" dxfId="3774" priority="3750">
      <formula>$E$7&lt;&gt;"Yes"</formula>
    </cfRule>
  </conditionalFormatting>
  <conditionalFormatting sqref="AA453">
    <cfRule type="expression" dxfId="3773" priority="3749">
      <formula>$E453&lt;&gt;"Yes"</formula>
    </cfRule>
  </conditionalFormatting>
  <conditionalFormatting sqref="Y453">
    <cfRule type="expression" dxfId="3772" priority="3748">
      <formula>$E$7&lt;&gt;"Yes"</formula>
    </cfRule>
  </conditionalFormatting>
  <conditionalFormatting sqref="Y453">
    <cfRule type="expression" dxfId="3771" priority="3747">
      <formula>$E453&lt;&gt;"Yes"</formula>
    </cfRule>
  </conditionalFormatting>
  <conditionalFormatting sqref="X453">
    <cfRule type="expression" dxfId="3770" priority="3746">
      <formula>$E$7&lt;&gt;"Yes"</formula>
    </cfRule>
  </conditionalFormatting>
  <conditionalFormatting sqref="X453">
    <cfRule type="expression" dxfId="3769" priority="3745">
      <formula>$E453&lt;&gt;"Yes"</formula>
    </cfRule>
  </conditionalFormatting>
  <conditionalFormatting sqref="AD453">
    <cfRule type="expression" dxfId="3768" priority="3744">
      <formula>$E$7&lt;&gt;"Yes"</formula>
    </cfRule>
  </conditionalFormatting>
  <conditionalFormatting sqref="AD453">
    <cfRule type="expression" dxfId="3767" priority="3743">
      <formula>$E453&lt;&gt;"Yes"</formula>
    </cfRule>
  </conditionalFormatting>
  <conditionalFormatting sqref="AC453">
    <cfRule type="expression" dxfId="3766" priority="3742">
      <formula>$E$7&lt;&gt;"Yes"</formula>
    </cfRule>
  </conditionalFormatting>
  <conditionalFormatting sqref="AC453">
    <cfRule type="expression" dxfId="3765" priority="3741">
      <formula>$E453&lt;&gt;"Yes"</formula>
    </cfRule>
  </conditionalFormatting>
  <conditionalFormatting sqref="R453:V453">
    <cfRule type="expression" dxfId="3764" priority="3740">
      <formula>$E$7&lt;&gt;"Yes"</formula>
    </cfRule>
  </conditionalFormatting>
  <conditionalFormatting sqref="R453:V453">
    <cfRule type="expression" dxfId="3763" priority="3739">
      <formula>$E453&lt;&gt;"Yes"</formula>
    </cfRule>
  </conditionalFormatting>
  <conditionalFormatting sqref="S453">
    <cfRule type="expression" dxfId="3762" priority="3738">
      <formula>$E$7&lt;&gt;"Yes"</formula>
    </cfRule>
  </conditionalFormatting>
  <conditionalFormatting sqref="S453">
    <cfRule type="expression" dxfId="3761" priority="3737">
      <formula>$E453&lt;&gt;"Yes"</formula>
    </cfRule>
  </conditionalFormatting>
  <conditionalFormatting sqref="T453">
    <cfRule type="expression" dxfId="3760" priority="3736">
      <formula>$E$7&lt;&gt;"Yes"</formula>
    </cfRule>
  </conditionalFormatting>
  <conditionalFormatting sqref="T453">
    <cfRule type="expression" dxfId="3759" priority="3735">
      <formula>$E453&lt;&gt;"Yes"</formula>
    </cfRule>
  </conditionalFormatting>
  <conditionalFormatting sqref="U453">
    <cfRule type="expression" dxfId="3758" priority="3734">
      <formula>$E$7&lt;&gt;"Yes"</formula>
    </cfRule>
  </conditionalFormatting>
  <conditionalFormatting sqref="U453">
    <cfRule type="expression" dxfId="3757" priority="3733">
      <formula>$E453&lt;&gt;"Yes"</formula>
    </cfRule>
  </conditionalFormatting>
  <conditionalFormatting sqref="V453">
    <cfRule type="expression" dxfId="3756" priority="3732">
      <formula>$E$7&lt;&gt;"Yes"</formula>
    </cfRule>
  </conditionalFormatting>
  <conditionalFormatting sqref="V453">
    <cfRule type="expression" dxfId="3755" priority="3731">
      <formula>$E453&lt;&gt;"Yes"</formula>
    </cfRule>
  </conditionalFormatting>
  <conditionalFormatting sqref="R453:V453">
    <cfRule type="expression" dxfId="3754" priority="3730">
      <formula>$E$7&lt;&gt;"Yes"</formula>
    </cfRule>
  </conditionalFormatting>
  <conditionalFormatting sqref="R453:V453">
    <cfRule type="expression" dxfId="3753" priority="3729">
      <formula>$E453&lt;&gt;"Yes"</formula>
    </cfRule>
  </conditionalFormatting>
  <conditionalFormatting sqref="Z453">
    <cfRule type="expression" dxfId="3752" priority="3728">
      <formula>$E$7&lt;&gt;"Yes"</formula>
    </cfRule>
  </conditionalFormatting>
  <conditionalFormatting sqref="Z453">
    <cfRule type="expression" dxfId="3751" priority="3727">
      <formula>$E453&lt;&gt;"Yes"</formula>
    </cfRule>
  </conditionalFormatting>
  <conditionalFormatting sqref="AN453:AO453">
    <cfRule type="expression" dxfId="3750" priority="3726">
      <formula>$E$7&lt;&gt;"Yes"</formula>
    </cfRule>
  </conditionalFormatting>
  <conditionalFormatting sqref="AN453:AO453">
    <cfRule type="expression" dxfId="3749" priority="3725">
      <formula>$E453&lt;&gt;"Yes"</formula>
    </cfRule>
  </conditionalFormatting>
  <conditionalFormatting sqref="AI453">
    <cfRule type="expression" dxfId="3748" priority="3724">
      <formula>$E$7&lt;&gt;"Yes"</formula>
    </cfRule>
  </conditionalFormatting>
  <conditionalFormatting sqref="AI453">
    <cfRule type="expression" dxfId="3747" priority="3723">
      <formula>$E453&lt;&gt;"Yes"</formula>
    </cfRule>
  </conditionalFormatting>
  <conditionalFormatting sqref="P453">
    <cfRule type="expression" dxfId="3746" priority="3722">
      <formula>$E$7&lt;&gt;"Yes"</formula>
    </cfRule>
  </conditionalFormatting>
  <conditionalFormatting sqref="P453">
    <cfRule type="expression" dxfId="3745" priority="3721">
      <formula>$E453&lt;&gt;"Yes"</formula>
    </cfRule>
  </conditionalFormatting>
  <conditionalFormatting sqref="O453">
    <cfRule type="expression" dxfId="3744" priority="3720">
      <formula>$E$7&lt;&gt;"Yes"</formula>
    </cfRule>
  </conditionalFormatting>
  <conditionalFormatting sqref="O453">
    <cfRule type="expression" dxfId="3743" priority="3719">
      <formula>$E453&lt;&gt;"Yes"</formula>
    </cfRule>
  </conditionalFormatting>
  <conditionalFormatting sqref="F455:J455 M455 Q455 AJ455:AK455 AF455:AH455 Y455">
    <cfRule type="expression" dxfId="3742" priority="3718">
      <formula>$E$7&lt;&gt;"Yes"</formula>
    </cfRule>
  </conditionalFormatting>
  <conditionalFormatting sqref="F455:J455 M455 Q455 AJ455:AK455 AF455:AH455 Y455">
    <cfRule type="expression" dxfId="3741" priority="3717">
      <formula>$E455&lt;&gt;"Yes"</formula>
    </cfRule>
  </conditionalFormatting>
  <conditionalFormatting sqref="G455">
    <cfRule type="expression" dxfId="3740" priority="3716">
      <formula>$E$7&lt;&gt;"Yes"</formula>
    </cfRule>
  </conditionalFormatting>
  <conditionalFormatting sqref="K455:L455">
    <cfRule type="expression" dxfId="3739" priority="3715">
      <formula>$E$7&lt;&gt;"Yes"</formula>
    </cfRule>
  </conditionalFormatting>
  <conditionalFormatting sqref="K455:L455">
    <cfRule type="expression" dxfId="3738" priority="3714">
      <formula>$E455&lt;&gt;"Yes"</formula>
    </cfRule>
  </conditionalFormatting>
  <conditionalFormatting sqref="W455">
    <cfRule type="expression" dxfId="3737" priority="3713">
      <formula>$E$7&lt;&gt;"Yes"</formula>
    </cfRule>
  </conditionalFormatting>
  <conditionalFormatting sqref="W455">
    <cfRule type="expression" dxfId="3736" priority="3712">
      <formula>$E455&lt;&gt;"Yes"</formula>
    </cfRule>
  </conditionalFormatting>
  <conditionalFormatting sqref="AE455">
    <cfRule type="expression" dxfId="3735" priority="3711">
      <formula>$E$7&lt;&gt;"Yes"</formula>
    </cfRule>
  </conditionalFormatting>
  <conditionalFormatting sqref="AE455">
    <cfRule type="expression" dxfId="3734" priority="3710">
      <formula>$E455&lt;&gt;"Yes"</formula>
    </cfRule>
  </conditionalFormatting>
  <conditionalFormatting sqref="N455">
    <cfRule type="expression" dxfId="3733" priority="3709">
      <formula>$E$7&lt;&gt;"Yes"</formula>
    </cfRule>
  </conditionalFormatting>
  <conditionalFormatting sqref="N455">
    <cfRule type="expression" dxfId="3732" priority="3708">
      <formula>$E455&lt;&gt;"Yes"</formula>
    </cfRule>
  </conditionalFormatting>
  <conditionalFormatting sqref="AB455">
    <cfRule type="expression" dxfId="3731" priority="3707">
      <formula>$E$7&lt;&gt;"Yes"</formula>
    </cfRule>
  </conditionalFormatting>
  <conditionalFormatting sqref="AB455">
    <cfRule type="expression" dxfId="3730" priority="3706">
      <formula>$E455&lt;&gt;"Yes"</formula>
    </cfRule>
  </conditionalFormatting>
  <conditionalFormatting sqref="AA455">
    <cfRule type="expression" dxfId="3729" priority="3705">
      <formula>$E$7&lt;&gt;"Yes"</formula>
    </cfRule>
  </conditionalFormatting>
  <conditionalFormatting sqref="AA455">
    <cfRule type="expression" dxfId="3728" priority="3704">
      <formula>$E455&lt;&gt;"Yes"</formula>
    </cfRule>
  </conditionalFormatting>
  <conditionalFormatting sqref="Y455">
    <cfRule type="expression" dxfId="3727" priority="3703">
      <formula>$E$7&lt;&gt;"Yes"</formula>
    </cfRule>
  </conditionalFormatting>
  <conditionalFormatting sqref="Y455">
    <cfRule type="expression" dxfId="3726" priority="3702">
      <formula>$E455&lt;&gt;"Yes"</formula>
    </cfRule>
  </conditionalFormatting>
  <conditionalFormatting sqref="X455">
    <cfRule type="expression" dxfId="3725" priority="3701">
      <formula>$E$7&lt;&gt;"Yes"</formula>
    </cfRule>
  </conditionalFormatting>
  <conditionalFormatting sqref="X455">
    <cfRule type="expression" dxfId="3724" priority="3700">
      <formula>$E455&lt;&gt;"Yes"</formula>
    </cfRule>
  </conditionalFormatting>
  <conditionalFormatting sqref="AD455">
    <cfRule type="expression" dxfId="3723" priority="3699">
      <formula>$E$7&lt;&gt;"Yes"</formula>
    </cfRule>
  </conditionalFormatting>
  <conditionalFormatting sqref="AD455">
    <cfRule type="expression" dxfId="3722" priority="3698">
      <formula>$E455&lt;&gt;"Yes"</formula>
    </cfRule>
  </conditionalFormatting>
  <conditionalFormatting sqref="AC455">
    <cfRule type="expression" dxfId="3721" priority="3697">
      <formula>$E$7&lt;&gt;"Yes"</formula>
    </cfRule>
  </conditionalFormatting>
  <conditionalFormatting sqref="AC455">
    <cfRule type="expression" dxfId="3720" priority="3696">
      <formula>$E455&lt;&gt;"Yes"</formula>
    </cfRule>
  </conditionalFormatting>
  <conditionalFormatting sqref="R455:V455">
    <cfRule type="expression" dxfId="3719" priority="3695">
      <formula>$E$7&lt;&gt;"Yes"</formula>
    </cfRule>
  </conditionalFormatting>
  <conditionalFormatting sqref="R455:V455">
    <cfRule type="expression" dxfId="3718" priority="3694">
      <formula>$E455&lt;&gt;"Yes"</formula>
    </cfRule>
  </conditionalFormatting>
  <conditionalFormatting sqref="S455">
    <cfRule type="expression" dxfId="3717" priority="3693">
      <formula>$E$7&lt;&gt;"Yes"</formula>
    </cfRule>
  </conditionalFormatting>
  <conditionalFormatting sqref="S455">
    <cfRule type="expression" dxfId="3716" priority="3692">
      <formula>$E455&lt;&gt;"Yes"</formula>
    </cfRule>
  </conditionalFormatting>
  <conditionalFormatting sqref="T455">
    <cfRule type="expression" dxfId="3715" priority="3691">
      <formula>$E$7&lt;&gt;"Yes"</formula>
    </cfRule>
  </conditionalFormatting>
  <conditionalFormatting sqref="T455">
    <cfRule type="expression" dxfId="3714" priority="3690">
      <formula>$E455&lt;&gt;"Yes"</formula>
    </cfRule>
  </conditionalFormatting>
  <conditionalFormatting sqref="U455">
    <cfRule type="expression" dxfId="3713" priority="3689">
      <formula>$E$7&lt;&gt;"Yes"</formula>
    </cfRule>
  </conditionalFormatting>
  <conditionalFormatting sqref="U455">
    <cfRule type="expression" dxfId="3712" priority="3688">
      <formula>$E455&lt;&gt;"Yes"</formula>
    </cfRule>
  </conditionalFormatting>
  <conditionalFormatting sqref="V455">
    <cfRule type="expression" dxfId="3711" priority="3687">
      <formula>$E$7&lt;&gt;"Yes"</formula>
    </cfRule>
  </conditionalFormatting>
  <conditionalFormatting sqref="V455">
    <cfRule type="expression" dxfId="3710" priority="3686">
      <formula>$E455&lt;&gt;"Yes"</formula>
    </cfRule>
  </conditionalFormatting>
  <conditionalFormatting sqref="R455:V455">
    <cfRule type="expression" dxfId="3709" priority="3685">
      <formula>$E$7&lt;&gt;"Yes"</formula>
    </cfRule>
  </conditionalFormatting>
  <conditionalFormatting sqref="R455:V455">
    <cfRule type="expression" dxfId="3708" priority="3684">
      <formula>$E455&lt;&gt;"Yes"</formula>
    </cfRule>
  </conditionalFormatting>
  <conditionalFormatting sqref="Z455">
    <cfRule type="expression" dxfId="3707" priority="3683">
      <formula>$E$7&lt;&gt;"Yes"</formula>
    </cfRule>
  </conditionalFormatting>
  <conditionalFormatting sqref="Z455">
    <cfRule type="expression" dxfId="3706" priority="3682">
      <formula>$E455&lt;&gt;"Yes"</formula>
    </cfRule>
  </conditionalFormatting>
  <conditionalFormatting sqref="AN455:AO455">
    <cfRule type="expression" dxfId="3705" priority="3681">
      <formula>$E$7&lt;&gt;"Yes"</formula>
    </cfRule>
  </conditionalFormatting>
  <conditionalFormatting sqref="AN455:AO455">
    <cfRule type="expression" dxfId="3704" priority="3680">
      <formula>$E455&lt;&gt;"Yes"</formula>
    </cfRule>
  </conditionalFormatting>
  <conditionalFormatting sqref="AI455">
    <cfRule type="expression" dxfId="3703" priority="3679">
      <formula>$E$7&lt;&gt;"Yes"</formula>
    </cfRule>
  </conditionalFormatting>
  <conditionalFormatting sqref="AI455">
    <cfRule type="expression" dxfId="3702" priority="3678">
      <formula>$E455&lt;&gt;"Yes"</formula>
    </cfRule>
  </conditionalFormatting>
  <conditionalFormatting sqref="P455">
    <cfRule type="expression" dxfId="3701" priority="3677">
      <formula>$E$7&lt;&gt;"Yes"</formula>
    </cfRule>
  </conditionalFormatting>
  <conditionalFormatting sqref="P455">
    <cfRule type="expression" dxfId="3700" priority="3676">
      <formula>$E455&lt;&gt;"Yes"</formula>
    </cfRule>
  </conditionalFormatting>
  <conditionalFormatting sqref="O455">
    <cfRule type="expression" dxfId="3699" priority="3675">
      <formula>$E$7&lt;&gt;"Yes"</formula>
    </cfRule>
  </conditionalFormatting>
  <conditionalFormatting sqref="O455">
    <cfRule type="expression" dxfId="3698" priority="3674">
      <formula>$E455&lt;&gt;"Yes"</formula>
    </cfRule>
  </conditionalFormatting>
  <conditionalFormatting sqref="F454:J454 M454 Q454 AJ454:AK454 AF454:AH454 Y454">
    <cfRule type="expression" dxfId="3697" priority="3673">
      <formula>$E$7&lt;&gt;"Yes"</formula>
    </cfRule>
  </conditionalFormatting>
  <conditionalFormatting sqref="F454:J454 M454 Q454 AJ454:AK454 AF454:AH454 Y454">
    <cfRule type="expression" dxfId="3696" priority="3672">
      <formula>$E454&lt;&gt;"Yes"</formula>
    </cfRule>
  </conditionalFormatting>
  <conditionalFormatting sqref="G454">
    <cfRule type="expression" dxfId="3695" priority="3671">
      <formula>$E$7&lt;&gt;"Yes"</formula>
    </cfRule>
  </conditionalFormatting>
  <conditionalFormatting sqref="K454:L454">
    <cfRule type="expression" dxfId="3694" priority="3670">
      <formula>$E$7&lt;&gt;"Yes"</formula>
    </cfRule>
  </conditionalFormatting>
  <conditionalFormatting sqref="K454:L454">
    <cfRule type="expression" dxfId="3693" priority="3669">
      <formula>$E454&lt;&gt;"Yes"</formula>
    </cfRule>
  </conditionalFormatting>
  <conditionalFormatting sqref="W454">
    <cfRule type="expression" dxfId="3692" priority="3668">
      <formula>$E$7&lt;&gt;"Yes"</formula>
    </cfRule>
  </conditionalFormatting>
  <conditionalFormatting sqref="W454">
    <cfRule type="expression" dxfId="3691" priority="3667">
      <formula>$E454&lt;&gt;"Yes"</formula>
    </cfRule>
  </conditionalFormatting>
  <conditionalFormatting sqref="AE454">
    <cfRule type="expression" dxfId="3690" priority="3666">
      <formula>$E$7&lt;&gt;"Yes"</formula>
    </cfRule>
  </conditionalFormatting>
  <conditionalFormatting sqref="AE454">
    <cfRule type="expression" dxfId="3689" priority="3665">
      <formula>$E454&lt;&gt;"Yes"</formula>
    </cfRule>
  </conditionalFormatting>
  <conditionalFormatting sqref="N454">
    <cfRule type="expression" dxfId="3688" priority="3664">
      <formula>$E$7&lt;&gt;"Yes"</formula>
    </cfRule>
  </conditionalFormatting>
  <conditionalFormatting sqref="N454">
    <cfRule type="expression" dxfId="3687" priority="3663">
      <formula>$E454&lt;&gt;"Yes"</formula>
    </cfRule>
  </conditionalFormatting>
  <conditionalFormatting sqref="AB454">
    <cfRule type="expression" dxfId="3686" priority="3662">
      <formula>$E$7&lt;&gt;"Yes"</formula>
    </cfRule>
  </conditionalFormatting>
  <conditionalFormatting sqref="AB454">
    <cfRule type="expression" dxfId="3685" priority="3661">
      <formula>$E454&lt;&gt;"Yes"</formula>
    </cfRule>
  </conditionalFormatting>
  <conditionalFormatting sqref="AA454">
    <cfRule type="expression" dxfId="3684" priority="3660">
      <formula>$E$7&lt;&gt;"Yes"</formula>
    </cfRule>
  </conditionalFormatting>
  <conditionalFormatting sqref="AA454">
    <cfRule type="expression" dxfId="3683" priority="3659">
      <formula>$E454&lt;&gt;"Yes"</formula>
    </cfRule>
  </conditionalFormatting>
  <conditionalFormatting sqref="Y454">
    <cfRule type="expression" dxfId="3682" priority="3658">
      <formula>$E$7&lt;&gt;"Yes"</formula>
    </cfRule>
  </conditionalFormatting>
  <conditionalFormatting sqref="Y454">
    <cfRule type="expression" dxfId="3681" priority="3657">
      <formula>$E454&lt;&gt;"Yes"</formula>
    </cfRule>
  </conditionalFormatting>
  <conditionalFormatting sqref="X454">
    <cfRule type="expression" dxfId="3680" priority="3656">
      <formula>$E$7&lt;&gt;"Yes"</formula>
    </cfRule>
  </conditionalFormatting>
  <conditionalFormatting sqref="X454">
    <cfRule type="expression" dxfId="3679" priority="3655">
      <formula>$E454&lt;&gt;"Yes"</formula>
    </cfRule>
  </conditionalFormatting>
  <conditionalFormatting sqref="AD454">
    <cfRule type="expression" dxfId="3678" priority="3654">
      <formula>$E$7&lt;&gt;"Yes"</formula>
    </cfRule>
  </conditionalFormatting>
  <conditionalFormatting sqref="AD454">
    <cfRule type="expression" dxfId="3677" priority="3653">
      <formula>$E454&lt;&gt;"Yes"</formula>
    </cfRule>
  </conditionalFormatting>
  <conditionalFormatting sqref="AC454">
    <cfRule type="expression" dxfId="3676" priority="3652">
      <formula>$E$7&lt;&gt;"Yes"</formula>
    </cfRule>
  </conditionalFormatting>
  <conditionalFormatting sqref="AC454">
    <cfRule type="expression" dxfId="3675" priority="3651">
      <formula>$E454&lt;&gt;"Yes"</formula>
    </cfRule>
  </conditionalFormatting>
  <conditionalFormatting sqref="R454:V454">
    <cfRule type="expression" dxfId="3674" priority="3650">
      <formula>$E$7&lt;&gt;"Yes"</formula>
    </cfRule>
  </conditionalFormatting>
  <conditionalFormatting sqref="R454:V454">
    <cfRule type="expression" dxfId="3673" priority="3649">
      <formula>$E454&lt;&gt;"Yes"</formula>
    </cfRule>
  </conditionalFormatting>
  <conditionalFormatting sqref="S454">
    <cfRule type="expression" dxfId="3672" priority="3648">
      <formula>$E$7&lt;&gt;"Yes"</formula>
    </cfRule>
  </conditionalFormatting>
  <conditionalFormatting sqref="S454">
    <cfRule type="expression" dxfId="3671" priority="3647">
      <formula>$E454&lt;&gt;"Yes"</formula>
    </cfRule>
  </conditionalFormatting>
  <conditionalFormatting sqref="T454">
    <cfRule type="expression" dxfId="3670" priority="3646">
      <formula>$E$7&lt;&gt;"Yes"</formula>
    </cfRule>
  </conditionalFormatting>
  <conditionalFormatting sqref="T454">
    <cfRule type="expression" dxfId="3669" priority="3645">
      <formula>$E454&lt;&gt;"Yes"</formula>
    </cfRule>
  </conditionalFormatting>
  <conditionalFormatting sqref="U454">
    <cfRule type="expression" dxfId="3668" priority="3644">
      <formula>$E$7&lt;&gt;"Yes"</formula>
    </cfRule>
  </conditionalFormatting>
  <conditionalFormatting sqref="U454">
    <cfRule type="expression" dxfId="3667" priority="3643">
      <formula>$E454&lt;&gt;"Yes"</formula>
    </cfRule>
  </conditionalFormatting>
  <conditionalFormatting sqref="V454">
    <cfRule type="expression" dxfId="3666" priority="3642">
      <formula>$E$7&lt;&gt;"Yes"</formula>
    </cfRule>
  </conditionalFormatting>
  <conditionalFormatting sqref="V454">
    <cfRule type="expression" dxfId="3665" priority="3641">
      <formula>$E454&lt;&gt;"Yes"</formula>
    </cfRule>
  </conditionalFormatting>
  <conditionalFormatting sqref="R454:V454">
    <cfRule type="expression" dxfId="3664" priority="3640">
      <formula>$E$7&lt;&gt;"Yes"</formula>
    </cfRule>
  </conditionalFormatting>
  <conditionalFormatting sqref="R454:V454">
    <cfRule type="expression" dxfId="3663" priority="3639">
      <formula>$E454&lt;&gt;"Yes"</formula>
    </cfRule>
  </conditionalFormatting>
  <conditionalFormatting sqref="Z454">
    <cfRule type="expression" dxfId="3662" priority="3638">
      <formula>$E$7&lt;&gt;"Yes"</formula>
    </cfRule>
  </conditionalFormatting>
  <conditionalFormatting sqref="Z454">
    <cfRule type="expression" dxfId="3661" priority="3637">
      <formula>$E454&lt;&gt;"Yes"</formula>
    </cfRule>
  </conditionalFormatting>
  <conditionalFormatting sqref="AN454:AO454">
    <cfRule type="expression" dxfId="3660" priority="3636">
      <formula>$E$7&lt;&gt;"Yes"</formula>
    </cfRule>
  </conditionalFormatting>
  <conditionalFormatting sqref="AN454:AO454">
    <cfRule type="expression" dxfId="3659" priority="3635">
      <formula>$E454&lt;&gt;"Yes"</formula>
    </cfRule>
  </conditionalFormatting>
  <conditionalFormatting sqref="AI454">
    <cfRule type="expression" dxfId="3658" priority="3634">
      <formula>$E$7&lt;&gt;"Yes"</formula>
    </cfRule>
  </conditionalFormatting>
  <conditionalFormatting sqref="AI454">
    <cfRule type="expression" dxfId="3657" priority="3633">
      <formula>$E454&lt;&gt;"Yes"</formula>
    </cfRule>
  </conditionalFormatting>
  <conditionalFormatting sqref="P454">
    <cfRule type="expression" dxfId="3656" priority="3632">
      <formula>$E$7&lt;&gt;"Yes"</formula>
    </cfRule>
  </conditionalFormatting>
  <conditionalFormatting sqref="P454">
    <cfRule type="expression" dxfId="3655" priority="3631">
      <formula>$E454&lt;&gt;"Yes"</formula>
    </cfRule>
  </conditionalFormatting>
  <conditionalFormatting sqref="O454">
    <cfRule type="expression" dxfId="3654" priority="3630">
      <formula>$E$7&lt;&gt;"Yes"</formula>
    </cfRule>
  </conditionalFormatting>
  <conditionalFormatting sqref="O454">
    <cfRule type="expression" dxfId="3653" priority="3629">
      <formula>$E454&lt;&gt;"Yes"</formula>
    </cfRule>
  </conditionalFormatting>
  <conditionalFormatting sqref="F61:J61 M61 Q61 AJ61:AK61 AF61:AH61 Y61">
    <cfRule type="expression" dxfId="3652" priority="3628">
      <formula>$E$7&lt;&gt;"Yes"</formula>
    </cfRule>
  </conditionalFormatting>
  <conditionalFormatting sqref="F61:J61 M61 Q61 AJ61:AK61 AF61:AH61 Y61">
    <cfRule type="expression" dxfId="3651" priority="3627">
      <formula>$E61&lt;&gt;"Yes"</formula>
    </cfRule>
  </conditionalFormatting>
  <conditionalFormatting sqref="G61">
    <cfRule type="expression" dxfId="3650" priority="3626">
      <formula>$E$7&lt;&gt;"Yes"</formula>
    </cfRule>
  </conditionalFormatting>
  <conditionalFormatting sqref="K61:L61">
    <cfRule type="expression" dxfId="3649" priority="3625">
      <formula>$E$7&lt;&gt;"Yes"</formula>
    </cfRule>
  </conditionalFormatting>
  <conditionalFormatting sqref="K61:L61">
    <cfRule type="expression" dxfId="3648" priority="3624">
      <formula>$E61&lt;&gt;"Yes"</formula>
    </cfRule>
  </conditionalFormatting>
  <conditionalFormatting sqref="W61">
    <cfRule type="expression" dxfId="3647" priority="3623">
      <formula>$E$7&lt;&gt;"Yes"</formula>
    </cfRule>
  </conditionalFormatting>
  <conditionalFormatting sqref="W61">
    <cfRule type="expression" dxfId="3646" priority="3622">
      <formula>$E61&lt;&gt;"Yes"</formula>
    </cfRule>
  </conditionalFormatting>
  <conditionalFormatting sqref="AE61">
    <cfRule type="expression" dxfId="3645" priority="3621">
      <formula>$E$7&lt;&gt;"Yes"</formula>
    </cfRule>
  </conditionalFormatting>
  <conditionalFormatting sqref="AE61">
    <cfRule type="expression" dxfId="3644" priority="3620">
      <formula>$E61&lt;&gt;"Yes"</formula>
    </cfRule>
  </conditionalFormatting>
  <conditionalFormatting sqref="N61">
    <cfRule type="expression" dxfId="3643" priority="3619">
      <formula>$E$7&lt;&gt;"Yes"</formula>
    </cfRule>
  </conditionalFormatting>
  <conditionalFormatting sqref="N61">
    <cfRule type="expression" dxfId="3642" priority="3618">
      <formula>$E61&lt;&gt;"Yes"</formula>
    </cfRule>
  </conditionalFormatting>
  <conditionalFormatting sqref="AB61">
    <cfRule type="expression" dxfId="3641" priority="3617">
      <formula>$E$7&lt;&gt;"Yes"</formula>
    </cfRule>
  </conditionalFormatting>
  <conditionalFormatting sqref="AB61">
    <cfRule type="expression" dxfId="3640" priority="3616">
      <formula>$E61&lt;&gt;"Yes"</formula>
    </cfRule>
  </conditionalFormatting>
  <conditionalFormatting sqref="AA61">
    <cfRule type="expression" dxfId="3639" priority="3615">
      <formula>$E$7&lt;&gt;"Yes"</formula>
    </cfRule>
  </conditionalFormatting>
  <conditionalFormatting sqref="AA61">
    <cfRule type="expression" dxfId="3638" priority="3614">
      <formula>$E61&lt;&gt;"Yes"</formula>
    </cfRule>
  </conditionalFormatting>
  <conditionalFormatting sqref="Y61">
    <cfRule type="expression" dxfId="3637" priority="3613">
      <formula>$E$7&lt;&gt;"Yes"</formula>
    </cfRule>
  </conditionalFormatting>
  <conditionalFormatting sqref="Y61">
    <cfRule type="expression" dxfId="3636" priority="3612">
      <formula>$E61&lt;&gt;"Yes"</formula>
    </cfRule>
  </conditionalFormatting>
  <conditionalFormatting sqref="O61:P61">
    <cfRule type="expression" dxfId="3635" priority="3611">
      <formula>$E$7&lt;&gt;"Yes"</formula>
    </cfRule>
  </conditionalFormatting>
  <conditionalFormatting sqref="O61:P61">
    <cfRule type="expression" dxfId="3634" priority="3610">
      <formula>$E61&lt;&gt;"Yes"</formula>
    </cfRule>
  </conditionalFormatting>
  <conditionalFormatting sqref="X61">
    <cfRule type="expression" dxfId="3633" priority="3609">
      <formula>$E$7&lt;&gt;"Yes"</formula>
    </cfRule>
  </conditionalFormatting>
  <conditionalFormatting sqref="X61">
    <cfRule type="expression" dxfId="3632" priority="3608">
      <formula>$E61&lt;&gt;"Yes"</formula>
    </cfRule>
  </conditionalFormatting>
  <conditionalFormatting sqref="AD61">
    <cfRule type="expression" dxfId="3631" priority="3607">
      <formula>$E$7&lt;&gt;"Yes"</formula>
    </cfRule>
  </conditionalFormatting>
  <conditionalFormatting sqref="AD61">
    <cfRule type="expression" dxfId="3630" priority="3606">
      <formula>$E61&lt;&gt;"Yes"</formula>
    </cfRule>
  </conditionalFormatting>
  <conditionalFormatting sqref="AC61">
    <cfRule type="expression" dxfId="3629" priority="3605">
      <formula>$E$7&lt;&gt;"Yes"</formula>
    </cfRule>
  </conditionalFormatting>
  <conditionalFormatting sqref="AC61">
    <cfRule type="expression" dxfId="3628" priority="3604">
      <formula>$E61&lt;&gt;"Yes"</formula>
    </cfRule>
  </conditionalFormatting>
  <conditionalFormatting sqref="R61:V61">
    <cfRule type="expression" dxfId="3627" priority="3603">
      <formula>$E$7&lt;&gt;"Yes"</formula>
    </cfRule>
  </conditionalFormatting>
  <conditionalFormatting sqref="R61:V61">
    <cfRule type="expression" dxfId="3626" priority="3602">
      <formula>$E61&lt;&gt;"Yes"</formula>
    </cfRule>
  </conditionalFormatting>
  <conditionalFormatting sqref="S61">
    <cfRule type="expression" dxfId="3625" priority="3601">
      <formula>$E$7&lt;&gt;"Yes"</formula>
    </cfRule>
  </conditionalFormatting>
  <conditionalFormatting sqref="S61">
    <cfRule type="expression" dxfId="3624" priority="3600">
      <formula>$E61&lt;&gt;"Yes"</formula>
    </cfRule>
  </conditionalFormatting>
  <conditionalFormatting sqref="T61">
    <cfRule type="expression" dxfId="3623" priority="3599">
      <formula>$E$7&lt;&gt;"Yes"</formula>
    </cfRule>
  </conditionalFormatting>
  <conditionalFormatting sqref="T61">
    <cfRule type="expression" dxfId="3622" priority="3598">
      <formula>$E61&lt;&gt;"Yes"</formula>
    </cfRule>
  </conditionalFormatting>
  <conditionalFormatting sqref="U61">
    <cfRule type="expression" dxfId="3621" priority="3597">
      <formula>$E$7&lt;&gt;"Yes"</formula>
    </cfRule>
  </conditionalFormatting>
  <conditionalFormatting sqref="U61">
    <cfRule type="expression" dxfId="3620" priority="3596">
      <formula>$E61&lt;&gt;"Yes"</formula>
    </cfRule>
  </conditionalFormatting>
  <conditionalFormatting sqref="V61">
    <cfRule type="expression" dxfId="3619" priority="3595">
      <formula>$E$7&lt;&gt;"Yes"</formula>
    </cfRule>
  </conditionalFormatting>
  <conditionalFormatting sqref="V61">
    <cfRule type="expression" dxfId="3618" priority="3594">
      <formula>$E61&lt;&gt;"Yes"</formula>
    </cfRule>
  </conditionalFormatting>
  <conditionalFormatting sqref="R61:V61">
    <cfRule type="expression" dxfId="3617" priority="3593">
      <formula>$E$7&lt;&gt;"Yes"</formula>
    </cfRule>
  </conditionalFormatting>
  <conditionalFormatting sqref="R61:V61">
    <cfRule type="expression" dxfId="3616" priority="3592">
      <formula>$E61&lt;&gt;"Yes"</formula>
    </cfRule>
  </conditionalFormatting>
  <conditionalFormatting sqref="Z61">
    <cfRule type="expression" dxfId="3615" priority="3591">
      <formula>$E$7&lt;&gt;"Yes"</formula>
    </cfRule>
  </conditionalFormatting>
  <conditionalFormatting sqref="Z61">
    <cfRule type="expression" dxfId="3614" priority="3590">
      <formula>$E61&lt;&gt;"Yes"</formula>
    </cfRule>
  </conditionalFormatting>
  <conditionalFormatting sqref="AN61">
    <cfRule type="expression" dxfId="3613" priority="3589">
      <formula>$E$7&lt;&gt;"Yes"</formula>
    </cfRule>
  </conditionalFormatting>
  <conditionalFormatting sqref="AN61">
    <cfRule type="expression" dxfId="3612" priority="3588">
      <formula>$E61&lt;&gt;"Yes"</formula>
    </cfRule>
  </conditionalFormatting>
  <conditionalFormatting sqref="AI61">
    <cfRule type="expression" dxfId="3611" priority="3587">
      <formula>$E$7&lt;&gt;"Yes"</formula>
    </cfRule>
  </conditionalFormatting>
  <conditionalFormatting sqref="AI61">
    <cfRule type="expression" dxfId="3610" priority="3586">
      <formula>$E61&lt;&gt;"Yes"</formula>
    </cfRule>
  </conditionalFormatting>
  <conditionalFormatting sqref="AO61">
    <cfRule type="expression" dxfId="3609" priority="3585">
      <formula>$E$7&lt;&gt;"Yes"</formula>
    </cfRule>
  </conditionalFormatting>
  <conditionalFormatting sqref="AO61">
    <cfRule type="expression" dxfId="3608" priority="3584">
      <formula>$E61&lt;&gt;"Yes"</formula>
    </cfRule>
  </conditionalFormatting>
  <conditionalFormatting sqref="F192:J192 M192 Q192 AJ192:AK192 AF192:AH192 Y192">
    <cfRule type="expression" dxfId="3607" priority="3583">
      <formula>$E$7&lt;&gt;"Yes"</formula>
    </cfRule>
  </conditionalFormatting>
  <conditionalFormatting sqref="F192:J192 M192 Q192 AJ192:AK192 AF192:AH192 Y192">
    <cfRule type="expression" dxfId="3606" priority="3582">
      <formula>$E192&lt;&gt;"Yes"</formula>
    </cfRule>
  </conditionalFormatting>
  <conditionalFormatting sqref="G192">
    <cfRule type="expression" dxfId="3605" priority="3581">
      <formula>$E$7&lt;&gt;"Yes"</formula>
    </cfRule>
  </conditionalFormatting>
  <conditionalFormatting sqref="K192:L192">
    <cfRule type="expression" dxfId="3604" priority="3580">
      <formula>$E$7&lt;&gt;"Yes"</formula>
    </cfRule>
  </conditionalFormatting>
  <conditionalFormatting sqref="K192:L192">
    <cfRule type="expression" dxfId="3603" priority="3579">
      <formula>$E192&lt;&gt;"Yes"</formula>
    </cfRule>
  </conditionalFormatting>
  <conditionalFormatting sqref="W192">
    <cfRule type="expression" dxfId="3602" priority="3578">
      <formula>$E$7&lt;&gt;"Yes"</formula>
    </cfRule>
  </conditionalFormatting>
  <conditionalFormatting sqref="W192">
    <cfRule type="expression" dxfId="3601" priority="3577">
      <formula>$E192&lt;&gt;"Yes"</formula>
    </cfRule>
  </conditionalFormatting>
  <conditionalFormatting sqref="AE192">
    <cfRule type="expression" dxfId="3600" priority="3576">
      <formula>$E$7&lt;&gt;"Yes"</formula>
    </cfRule>
  </conditionalFormatting>
  <conditionalFormatting sqref="AE192">
    <cfRule type="expression" dxfId="3599" priority="3575">
      <formula>$E192&lt;&gt;"Yes"</formula>
    </cfRule>
  </conditionalFormatting>
  <conditionalFormatting sqref="N192">
    <cfRule type="expression" dxfId="3598" priority="3574">
      <formula>$E$7&lt;&gt;"Yes"</formula>
    </cfRule>
  </conditionalFormatting>
  <conditionalFormatting sqref="N192">
    <cfRule type="expression" dxfId="3597" priority="3573">
      <formula>$E192&lt;&gt;"Yes"</formula>
    </cfRule>
  </conditionalFormatting>
  <conditionalFormatting sqref="AB192">
    <cfRule type="expression" dxfId="3596" priority="3572">
      <formula>$E$7&lt;&gt;"Yes"</formula>
    </cfRule>
  </conditionalFormatting>
  <conditionalFormatting sqref="AB192">
    <cfRule type="expression" dxfId="3595" priority="3571">
      <formula>$E192&lt;&gt;"Yes"</formula>
    </cfRule>
  </conditionalFormatting>
  <conditionalFormatting sqref="AA192">
    <cfRule type="expression" dxfId="3594" priority="3570">
      <formula>$E$7&lt;&gt;"Yes"</formula>
    </cfRule>
  </conditionalFormatting>
  <conditionalFormatting sqref="AA192">
    <cfRule type="expression" dxfId="3593" priority="3569">
      <formula>$E192&lt;&gt;"Yes"</formula>
    </cfRule>
  </conditionalFormatting>
  <conditionalFormatting sqref="Y192">
    <cfRule type="expression" dxfId="3592" priority="3568">
      <formula>$E$7&lt;&gt;"Yes"</formula>
    </cfRule>
  </conditionalFormatting>
  <conditionalFormatting sqref="Y192">
    <cfRule type="expression" dxfId="3591" priority="3567">
      <formula>$E192&lt;&gt;"Yes"</formula>
    </cfRule>
  </conditionalFormatting>
  <conditionalFormatting sqref="X192">
    <cfRule type="expression" dxfId="3590" priority="3566">
      <formula>$E$7&lt;&gt;"Yes"</formula>
    </cfRule>
  </conditionalFormatting>
  <conditionalFormatting sqref="X192">
    <cfRule type="expression" dxfId="3589" priority="3565">
      <formula>$E192&lt;&gt;"Yes"</formula>
    </cfRule>
  </conditionalFormatting>
  <conditionalFormatting sqref="AD192">
    <cfRule type="expression" dxfId="3588" priority="3564">
      <formula>$E$7&lt;&gt;"Yes"</formula>
    </cfRule>
  </conditionalFormatting>
  <conditionalFormatting sqref="AD192">
    <cfRule type="expression" dxfId="3587" priority="3563">
      <formula>$E192&lt;&gt;"Yes"</formula>
    </cfRule>
  </conditionalFormatting>
  <conditionalFormatting sqref="AC192">
    <cfRule type="expression" dxfId="3586" priority="3562">
      <formula>$E$7&lt;&gt;"Yes"</formula>
    </cfRule>
  </conditionalFormatting>
  <conditionalFormatting sqref="AC192">
    <cfRule type="expression" dxfId="3585" priority="3561">
      <formula>$E192&lt;&gt;"Yes"</formula>
    </cfRule>
  </conditionalFormatting>
  <conditionalFormatting sqref="R192:V192">
    <cfRule type="expression" dxfId="3584" priority="3560">
      <formula>$E$7&lt;&gt;"Yes"</formula>
    </cfRule>
  </conditionalFormatting>
  <conditionalFormatting sqref="R192:V192">
    <cfRule type="expression" dxfId="3583" priority="3559">
      <formula>$E192&lt;&gt;"Yes"</formula>
    </cfRule>
  </conditionalFormatting>
  <conditionalFormatting sqref="S192">
    <cfRule type="expression" dxfId="3582" priority="3558">
      <formula>$E$7&lt;&gt;"Yes"</formula>
    </cfRule>
  </conditionalFormatting>
  <conditionalFormatting sqref="S192">
    <cfRule type="expression" dxfId="3581" priority="3557">
      <formula>$E192&lt;&gt;"Yes"</formula>
    </cfRule>
  </conditionalFormatting>
  <conditionalFormatting sqref="T192">
    <cfRule type="expression" dxfId="3580" priority="3556">
      <formula>$E$7&lt;&gt;"Yes"</formula>
    </cfRule>
  </conditionalFormatting>
  <conditionalFormatting sqref="T192">
    <cfRule type="expression" dxfId="3579" priority="3555">
      <formula>$E192&lt;&gt;"Yes"</formula>
    </cfRule>
  </conditionalFormatting>
  <conditionalFormatting sqref="U192">
    <cfRule type="expression" dxfId="3578" priority="3554">
      <formula>$E$7&lt;&gt;"Yes"</formula>
    </cfRule>
  </conditionalFormatting>
  <conditionalFormatting sqref="U192">
    <cfRule type="expression" dxfId="3577" priority="3553">
      <formula>$E192&lt;&gt;"Yes"</formula>
    </cfRule>
  </conditionalFormatting>
  <conditionalFormatting sqref="V192">
    <cfRule type="expression" dxfId="3576" priority="3552">
      <formula>$E$7&lt;&gt;"Yes"</formula>
    </cfRule>
  </conditionalFormatting>
  <conditionalFormatting sqref="V192">
    <cfRule type="expression" dxfId="3575" priority="3551">
      <formula>$E192&lt;&gt;"Yes"</formula>
    </cfRule>
  </conditionalFormatting>
  <conditionalFormatting sqref="R192:V192">
    <cfRule type="expression" dxfId="3574" priority="3550">
      <formula>$E$7&lt;&gt;"Yes"</formula>
    </cfRule>
  </conditionalFormatting>
  <conditionalFormatting sqref="R192:V192">
    <cfRule type="expression" dxfId="3573" priority="3549">
      <formula>$E192&lt;&gt;"Yes"</formula>
    </cfRule>
  </conditionalFormatting>
  <conditionalFormatting sqref="Z192">
    <cfRule type="expression" dxfId="3572" priority="3548">
      <formula>$E$7&lt;&gt;"Yes"</formula>
    </cfRule>
  </conditionalFormatting>
  <conditionalFormatting sqref="Z192">
    <cfRule type="expression" dxfId="3571" priority="3547">
      <formula>$E192&lt;&gt;"Yes"</formula>
    </cfRule>
  </conditionalFormatting>
  <conditionalFormatting sqref="AN192:AO192">
    <cfRule type="expression" dxfId="3570" priority="3546">
      <formula>$E$7&lt;&gt;"Yes"</formula>
    </cfRule>
  </conditionalFormatting>
  <conditionalFormatting sqref="AN192:AO192">
    <cfRule type="expression" dxfId="3569" priority="3545">
      <formula>$E192&lt;&gt;"Yes"</formula>
    </cfRule>
  </conditionalFormatting>
  <conditionalFormatting sqref="AI192">
    <cfRule type="expression" dxfId="3568" priority="3544">
      <formula>$E$7&lt;&gt;"Yes"</formula>
    </cfRule>
  </conditionalFormatting>
  <conditionalFormatting sqref="AI192">
    <cfRule type="expression" dxfId="3567" priority="3543">
      <formula>$E192&lt;&gt;"Yes"</formula>
    </cfRule>
  </conditionalFormatting>
  <conditionalFormatting sqref="P192">
    <cfRule type="expression" dxfId="3566" priority="3542">
      <formula>$E$7&lt;&gt;"Yes"</formula>
    </cfRule>
  </conditionalFormatting>
  <conditionalFormatting sqref="P192">
    <cfRule type="expression" dxfId="3565" priority="3541">
      <formula>$E192&lt;&gt;"Yes"</formula>
    </cfRule>
  </conditionalFormatting>
  <conditionalFormatting sqref="O192">
    <cfRule type="expression" dxfId="3564" priority="3540">
      <formula>$E$7&lt;&gt;"Yes"</formula>
    </cfRule>
  </conditionalFormatting>
  <conditionalFormatting sqref="O192">
    <cfRule type="expression" dxfId="3563" priority="3539">
      <formula>$E192&lt;&gt;"Yes"</formula>
    </cfRule>
  </conditionalFormatting>
  <conditionalFormatting sqref="F456:J459 M456:M459 Q456:Q459 AJ456:AK459 AF456:AH459 Y456:Y459">
    <cfRule type="expression" dxfId="3562" priority="3538">
      <formula>$E$7&lt;&gt;"Yes"</formula>
    </cfRule>
  </conditionalFormatting>
  <conditionalFormatting sqref="G456:G459">
    <cfRule type="expression" dxfId="3561" priority="3536">
      <formula>$E$7&lt;&gt;"Yes"</formula>
    </cfRule>
  </conditionalFormatting>
  <conditionalFormatting sqref="K456:L459">
    <cfRule type="expression" dxfId="3560" priority="3535">
      <formula>$E$7&lt;&gt;"Yes"</formula>
    </cfRule>
  </conditionalFormatting>
  <conditionalFormatting sqref="W456:W459">
    <cfRule type="expression" dxfId="3559" priority="3533">
      <formula>$E$7&lt;&gt;"Yes"</formula>
    </cfRule>
  </conditionalFormatting>
  <conditionalFormatting sqref="AE456:AE459">
    <cfRule type="expression" dxfId="3558" priority="3531">
      <formula>$E$7&lt;&gt;"Yes"</formula>
    </cfRule>
  </conditionalFormatting>
  <conditionalFormatting sqref="N456:N459">
    <cfRule type="expression" dxfId="3557" priority="3529">
      <formula>$E$7&lt;&gt;"Yes"</formula>
    </cfRule>
  </conditionalFormatting>
  <conditionalFormatting sqref="AB456:AB459">
    <cfRule type="expression" dxfId="3556" priority="3527">
      <formula>$E$7&lt;&gt;"Yes"</formula>
    </cfRule>
  </conditionalFormatting>
  <conditionalFormatting sqref="AA456:AA459">
    <cfRule type="expression" dxfId="3555" priority="3525">
      <formula>$E$7&lt;&gt;"Yes"</formula>
    </cfRule>
  </conditionalFormatting>
  <conditionalFormatting sqref="Y456:Y459">
    <cfRule type="expression" dxfId="3554" priority="3523">
      <formula>$E$7&lt;&gt;"Yes"</formula>
    </cfRule>
  </conditionalFormatting>
  <conditionalFormatting sqref="X456:X459">
    <cfRule type="expression" dxfId="3553" priority="3521">
      <formula>$E$7&lt;&gt;"Yes"</formula>
    </cfRule>
  </conditionalFormatting>
  <conditionalFormatting sqref="AD456:AD459">
    <cfRule type="expression" dxfId="3552" priority="3519">
      <formula>$E$7&lt;&gt;"Yes"</formula>
    </cfRule>
  </conditionalFormatting>
  <conditionalFormatting sqref="AC456:AC459">
    <cfRule type="expression" dxfId="3551" priority="3517">
      <formula>$E$7&lt;&gt;"Yes"</formula>
    </cfRule>
  </conditionalFormatting>
  <conditionalFormatting sqref="R456:V459">
    <cfRule type="expression" dxfId="3550" priority="3515">
      <formula>$E$7&lt;&gt;"Yes"</formula>
    </cfRule>
  </conditionalFormatting>
  <conditionalFormatting sqref="S456:S459">
    <cfRule type="expression" dxfId="3549" priority="3513">
      <formula>$E$7&lt;&gt;"Yes"</formula>
    </cfRule>
  </conditionalFormatting>
  <conditionalFormatting sqref="T456:T459">
    <cfRule type="expression" dxfId="3548" priority="3511">
      <formula>$E$7&lt;&gt;"Yes"</formula>
    </cfRule>
  </conditionalFormatting>
  <conditionalFormatting sqref="U456:U459">
    <cfRule type="expression" dxfId="3547" priority="3509">
      <formula>$E$7&lt;&gt;"Yes"</formula>
    </cfRule>
  </conditionalFormatting>
  <conditionalFormatting sqref="V456:V459">
    <cfRule type="expression" dxfId="3546" priority="3507">
      <formula>$E$7&lt;&gt;"Yes"</formula>
    </cfRule>
  </conditionalFormatting>
  <conditionalFormatting sqref="R456:V459">
    <cfRule type="expression" dxfId="3545" priority="3505">
      <formula>$E$7&lt;&gt;"Yes"</formula>
    </cfRule>
  </conditionalFormatting>
  <conditionalFormatting sqref="Z456:Z459">
    <cfRule type="expression" dxfId="3544" priority="3503">
      <formula>$E$7&lt;&gt;"Yes"</formula>
    </cfRule>
  </conditionalFormatting>
  <conditionalFormatting sqref="AN456:AO459">
    <cfRule type="expression" dxfId="3543" priority="3501">
      <formula>$E$7&lt;&gt;"Yes"</formula>
    </cfRule>
  </conditionalFormatting>
  <conditionalFormatting sqref="AI456:AI459">
    <cfRule type="expression" dxfId="3542" priority="3499">
      <formula>$E$7&lt;&gt;"Yes"</formula>
    </cfRule>
  </conditionalFormatting>
  <conditionalFormatting sqref="P456:P459">
    <cfRule type="expression" dxfId="3541" priority="3497">
      <formula>$E$7&lt;&gt;"Yes"</formula>
    </cfRule>
  </conditionalFormatting>
  <conditionalFormatting sqref="O456:O459">
    <cfRule type="expression" dxfId="3540" priority="3495">
      <formula>$E$7&lt;&gt;"Yes"</formula>
    </cfRule>
  </conditionalFormatting>
  <conditionalFormatting sqref="Q120 N120 AJ120:AK120 AF120:AH120 Y120">
    <cfRule type="expression" dxfId="3539" priority="3493">
      <formula>$E$7&lt;&gt;"Yes"</formula>
    </cfRule>
  </conditionalFormatting>
  <conditionalFormatting sqref="Q120 N120 AJ120:AK120 AF120:AH120 Y120">
    <cfRule type="expression" dxfId="3538" priority="3492">
      <formula>$E120&lt;&gt;"Yes"</formula>
    </cfRule>
  </conditionalFormatting>
  <conditionalFormatting sqref="G120">
    <cfRule type="expression" dxfId="3537" priority="3489">
      <formula>$E$7&lt;&gt;"Yes"</formula>
    </cfRule>
  </conditionalFormatting>
  <conditionalFormatting sqref="M120 F120:J120 Q120">
    <cfRule type="expression" dxfId="3536" priority="3491">
      <formula>$E$7&lt;&gt;"Yes"</formula>
    </cfRule>
  </conditionalFormatting>
  <conditionalFormatting sqref="M120 F120:J120 Q120">
    <cfRule type="expression" dxfId="3535" priority="3490">
      <formula>$E120&lt;&gt;"Yes"</formula>
    </cfRule>
  </conditionalFormatting>
  <conditionalFormatting sqref="K120:L120">
    <cfRule type="expression" dxfId="3534" priority="3488">
      <formula>$E$7&lt;&gt;"Yes"</formula>
    </cfRule>
  </conditionalFormatting>
  <conditionalFormatting sqref="K120:L120">
    <cfRule type="expression" dxfId="3533" priority="3487">
      <formula>$E120&lt;&gt;"Yes"</formula>
    </cfRule>
  </conditionalFormatting>
  <conditionalFormatting sqref="W120">
    <cfRule type="expression" dxfId="3532" priority="3486">
      <formula>$E$7&lt;&gt;"Yes"</formula>
    </cfRule>
  </conditionalFormatting>
  <conditionalFormatting sqref="W120">
    <cfRule type="expression" dxfId="3531" priority="3485">
      <formula>$E120&lt;&gt;"Yes"</formula>
    </cfRule>
  </conditionalFormatting>
  <conditionalFormatting sqref="AE120">
    <cfRule type="expression" dxfId="3530" priority="3484">
      <formula>$E$7&lt;&gt;"Yes"</formula>
    </cfRule>
  </conditionalFormatting>
  <conditionalFormatting sqref="AE120">
    <cfRule type="expression" dxfId="3529" priority="3483">
      <formula>$E120&lt;&gt;"Yes"</formula>
    </cfRule>
  </conditionalFormatting>
  <conditionalFormatting sqref="AB120">
    <cfRule type="expression" dxfId="3528" priority="3482">
      <formula>$E$7&lt;&gt;"Yes"</formula>
    </cfRule>
  </conditionalFormatting>
  <conditionalFormatting sqref="AB120">
    <cfRule type="expression" dxfId="3527" priority="3481">
      <formula>$E120&lt;&gt;"Yes"</formula>
    </cfRule>
  </conditionalFormatting>
  <conditionalFormatting sqref="AA120">
    <cfRule type="expression" dxfId="3526" priority="3480">
      <formula>$E$7&lt;&gt;"Yes"</formula>
    </cfRule>
  </conditionalFormatting>
  <conditionalFormatting sqref="AA120">
    <cfRule type="expression" dxfId="3525" priority="3479">
      <formula>$E120&lt;&gt;"Yes"</formula>
    </cfRule>
  </conditionalFormatting>
  <conditionalFormatting sqref="Y120">
    <cfRule type="expression" dxfId="3524" priority="3478">
      <formula>$E$7&lt;&gt;"Yes"</formula>
    </cfRule>
  </conditionalFormatting>
  <conditionalFormatting sqref="Y120">
    <cfRule type="expression" dxfId="3523" priority="3477">
      <formula>$E120&lt;&gt;"Yes"</formula>
    </cfRule>
  </conditionalFormatting>
  <conditionalFormatting sqref="O120:P120">
    <cfRule type="expression" dxfId="3522" priority="3476">
      <formula>$E$7&lt;&gt;"Yes"</formula>
    </cfRule>
  </conditionalFormatting>
  <conditionalFormatting sqref="O120:P120">
    <cfRule type="expression" dxfId="3521" priority="3475">
      <formula>$E120&lt;&gt;"Yes"</formula>
    </cfRule>
  </conditionalFormatting>
  <conditionalFormatting sqref="X120">
    <cfRule type="expression" dxfId="3520" priority="3474">
      <formula>$E$7&lt;&gt;"Yes"</formula>
    </cfRule>
  </conditionalFormatting>
  <conditionalFormatting sqref="X120">
    <cfRule type="expression" dxfId="3519" priority="3473">
      <formula>$E120&lt;&gt;"Yes"</formula>
    </cfRule>
  </conditionalFormatting>
  <conditionalFormatting sqref="AD120">
    <cfRule type="expression" dxfId="3518" priority="3472">
      <formula>$E$7&lt;&gt;"Yes"</formula>
    </cfRule>
  </conditionalFormatting>
  <conditionalFormatting sqref="AD120">
    <cfRule type="expression" dxfId="3517" priority="3471">
      <formula>$E120&lt;&gt;"Yes"</formula>
    </cfRule>
  </conditionalFormatting>
  <conditionalFormatting sqref="AC120">
    <cfRule type="expression" dxfId="3516" priority="3470">
      <formula>$E$7&lt;&gt;"Yes"</formula>
    </cfRule>
  </conditionalFormatting>
  <conditionalFormatting sqref="AC120">
    <cfRule type="expression" dxfId="3515" priority="3469">
      <formula>$E120&lt;&gt;"Yes"</formula>
    </cfRule>
  </conditionalFormatting>
  <conditionalFormatting sqref="R120:V120">
    <cfRule type="expression" dxfId="3514" priority="3468">
      <formula>$E$7&lt;&gt;"Yes"</formula>
    </cfRule>
  </conditionalFormatting>
  <conditionalFormatting sqref="R120:V120">
    <cfRule type="expression" dxfId="3513" priority="3467">
      <formula>$E120&lt;&gt;"Yes"</formula>
    </cfRule>
  </conditionalFormatting>
  <conditionalFormatting sqref="S120">
    <cfRule type="expression" dxfId="3512" priority="3466">
      <formula>$E$7&lt;&gt;"Yes"</formula>
    </cfRule>
  </conditionalFormatting>
  <conditionalFormatting sqref="S120">
    <cfRule type="expression" dxfId="3511" priority="3465">
      <formula>$E120&lt;&gt;"Yes"</formula>
    </cfRule>
  </conditionalFormatting>
  <conditionalFormatting sqref="T120">
    <cfRule type="expression" dxfId="3510" priority="3464">
      <formula>$E$7&lt;&gt;"Yes"</formula>
    </cfRule>
  </conditionalFormatting>
  <conditionalFormatting sqref="T120">
    <cfRule type="expression" dxfId="3509" priority="3463">
      <formula>$E120&lt;&gt;"Yes"</formula>
    </cfRule>
  </conditionalFormatting>
  <conditionalFormatting sqref="U120">
    <cfRule type="expression" dxfId="3508" priority="3462">
      <formula>$E$7&lt;&gt;"Yes"</formula>
    </cfRule>
  </conditionalFormatting>
  <conditionalFormatting sqref="U120">
    <cfRule type="expression" dxfId="3507" priority="3461">
      <formula>$E120&lt;&gt;"Yes"</formula>
    </cfRule>
  </conditionalFormatting>
  <conditionalFormatting sqref="V120">
    <cfRule type="expression" dxfId="3506" priority="3460">
      <formula>$E$7&lt;&gt;"Yes"</formula>
    </cfRule>
  </conditionalFormatting>
  <conditionalFormatting sqref="V120">
    <cfRule type="expression" dxfId="3505" priority="3459">
      <formula>$E120&lt;&gt;"Yes"</formula>
    </cfRule>
  </conditionalFormatting>
  <conditionalFormatting sqref="R120:V120">
    <cfRule type="expression" dxfId="3504" priority="3458">
      <formula>$E$7&lt;&gt;"Yes"</formula>
    </cfRule>
  </conditionalFormatting>
  <conditionalFormatting sqref="R120:V120">
    <cfRule type="expression" dxfId="3503" priority="3457">
      <formula>$E120&lt;&gt;"Yes"</formula>
    </cfRule>
  </conditionalFormatting>
  <conditionalFormatting sqref="Z120">
    <cfRule type="expression" dxfId="3502" priority="3456">
      <formula>$E$7&lt;&gt;"Yes"</formula>
    </cfRule>
  </conditionalFormatting>
  <conditionalFormatting sqref="Z120">
    <cfRule type="expression" dxfId="3501" priority="3455">
      <formula>$E120&lt;&gt;"Yes"</formula>
    </cfRule>
  </conditionalFormatting>
  <conditionalFormatting sqref="AN120:AO120">
    <cfRule type="expression" dxfId="3500" priority="3454">
      <formula>$E$7&lt;&gt;"Yes"</formula>
    </cfRule>
  </conditionalFormatting>
  <conditionalFormatting sqref="AN120:AO120">
    <cfRule type="expression" dxfId="3499" priority="3453">
      <formula>$E120&lt;&gt;"Yes"</formula>
    </cfRule>
  </conditionalFormatting>
  <conditionalFormatting sqref="AI120">
    <cfRule type="expression" dxfId="3498" priority="3452">
      <formula>$E$7&lt;&gt;"Yes"</formula>
    </cfRule>
  </conditionalFormatting>
  <conditionalFormatting sqref="AI120">
    <cfRule type="expression" dxfId="3497" priority="3451">
      <formula>$E120&lt;&gt;"Yes"</formula>
    </cfRule>
  </conditionalFormatting>
  <conditionalFormatting sqref="Q124:Q125 N124:N125 AJ124:AK125 AF124:AH125 Y124:Y125">
    <cfRule type="expression" dxfId="3496" priority="3450">
      <formula>$E$7&lt;&gt;"Yes"</formula>
    </cfRule>
  </conditionalFormatting>
  <conditionalFormatting sqref="G124:G125">
    <cfRule type="expression" dxfId="3495" priority="3446">
      <formula>$E$7&lt;&gt;"Yes"</formula>
    </cfRule>
  </conditionalFormatting>
  <conditionalFormatting sqref="M124:M125 F124:J125 Q124:Q125">
    <cfRule type="expression" dxfId="3494" priority="3448">
      <formula>$E$7&lt;&gt;"Yes"</formula>
    </cfRule>
  </conditionalFormatting>
  <conditionalFormatting sqref="K124:L125">
    <cfRule type="expression" dxfId="3493" priority="3445">
      <formula>$E$7&lt;&gt;"Yes"</formula>
    </cfRule>
  </conditionalFormatting>
  <conditionalFormatting sqref="W124:W125">
    <cfRule type="expression" dxfId="3492" priority="3443">
      <formula>$E$7&lt;&gt;"Yes"</formula>
    </cfRule>
  </conditionalFormatting>
  <conditionalFormatting sqref="AE124:AE125">
    <cfRule type="expression" dxfId="3491" priority="3441">
      <formula>$E$7&lt;&gt;"Yes"</formula>
    </cfRule>
  </conditionalFormatting>
  <conditionalFormatting sqref="AB124:AB125">
    <cfRule type="expression" dxfId="3490" priority="3439">
      <formula>$E$7&lt;&gt;"Yes"</formula>
    </cfRule>
  </conditionalFormatting>
  <conditionalFormatting sqref="AA124:AA125">
    <cfRule type="expression" dxfId="3489" priority="3437">
      <formula>$E$7&lt;&gt;"Yes"</formula>
    </cfRule>
  </conditionalFormatting>
  <conditionalFormatting sqref="Y124:Y125">
    <cfRule type="expression" dxfId="3488" priority="3435">
      <formula>$E$7&lt;&gt;"Yes"</formula>
    </cfRule>
  </conditionalFormatting>
  <conditionalFormatting sqref="O124:P125">
    <cfRule type="expression" dxfId="3487" priority="3433">
      <formula>$E$7&lt;&gt;"Yes"</formula>
    </cfRule>
  </conditionalFormatting>
  <conditionalFormatting sqref="X124:X125">
    <cfRule type="expression" dxfId="3486" priority="3431">
      <formula>$E$7&lt;&gt;"Yes"</formula>
    </cfRule>
  </conditionalFormatting>
  <conditionalFormatting sqref="AD124:AD125">
    <cfRule type="expression" dxfId="3485" priority="3429">
      <formula>$E$7&lt;&gt;"Yes"</formula>
    </cfRule>
  </conditionalFormatting>
  <conditionalFormatting sqref="AC124:AC125">
    <cfRule type="expression" dxfId="3484" priority="3427">
      <formula>$E$7&lt;&gt;"Yes"</formula>
    </cfRule>
  </conditionalFormatting>
  <conditionalFormatting sqref="R124:V125">
    <cfRule type="expression" dxfId="3483" priority="3425">
      <formula>$E$7&lt;&gt;"Yes"</formula>
    </cfRule>
  </conditionalFormatting>
  <conditionalFormatting sqref="S124:S125">
    <cfRule type="expression" dxfId="3482" priority="3423">
      <formula>$E$7&lt;&gt;"Yes"</formula>
    </cfRule>
  </conditionalFormatting>
  <conditionalFormatting sqref="T124:T125">
    <cfRule type="expression" dxfId="3481" priority="3421">
      <formula>$E$7&lt;&gt;"Yes"</formula>
    </cfRule>
  </conditionalFormatting>
  <conditionalFormatting sqref="U124:U125">
    <cfRule type="expression" dxfId="3480" priority="3419">
      <formula>$E$7&lt;&gt;"Yes"</formula>
    </cfRule>
  </conditionalFormatting>
  <conditionalFormatting sqref="V124:V125">
    <cfRule type="expression" dxfId="3479" priority="3417">
      <formula>$E$7&lt;&gt;"Yes"</formula>
    </cfRule>
  </conditionalFormatting>
  <conditionalFormatting sqref="R124:V125">
    <cfRule type="expression" dxfId="3478" priority="3415">
      <formula>$E$7&lt;&gt;"Yes"</formula>
    </cfRule>
  </conditionalFormatting>
  <conditionalFormatting sqref="Z124:Z125">
    <cfRule type="expression" dxfId="3477" priority="3413">
      <formula>$E$7&lt;&gt;"Yes"</formula>
    </cfRule>
  </conditionalFormatting>
  <conditionalFormatting sqref="AN124:AO125">
    <cfRule type="expression" dxfId="3476" priority="3411">
      <formula>$E$7&lt;&gt;"Yes"</formula>
    </cfRule>
  </conditionalFormatting>
  <conditionalFormatting sqref="AI124:AI125">
    <cfRule type="expression" dxfId="3475" priority="3409">
      <formula>$E$7&lt;&gt;"Yes"</formula>
    </cfRule>
  </conditionalFormatting>
  <conditionalFormatting sqref="Q147 N147 AJ147:AK147 AF147:AH147 Y147">
    <cfRule type="expression" dxfId="3474" priority="3407">
      <formula>$E$7&lt;&gt;"Yes"</formula>
    </cfRule>
  </conditionalFormatting>
  <conditionalFormatting sqref="Q147 N147 AJ147:AK147 AF147:AH147 Y147">
    <cfRule type="expression" dxfId="3473" priority="3406">
      <formula>$E147&lt;&gt;"Yes"</formula>
    </cfRule>
  </conditionalFormatting>
  <conditionalFormatting sqref="G147">
    <cfRule type="expression" dxfId="3472" priority="3403">
      <formula>$E$7&lt;&gt;"Yes"</formula>
    </cfRule>
  </conditionalFormatting>
  <conditionalFormatting sqref="M147 F147:J147 Q147">
    <cfRule type="expression" dxfId="3471" priority="3405">
      <formula>$E$7&lt;&gt;"Yes"</formula>
    </cfRule>
  </conditionalFormatting>
  <conditionalFormatting sqref="M147 F147:J147 Q147">
    <cfRule type="expression" dxfId="3470" priority="3404">
      <formula>$E147&lt;&gt;"Yes"</formula>
    </cfRule>
  </conditionalFormatting>
  <conditionalFormatting sqref="K147:L147">
    <cfRule type="expression" dxfId="3469" priority="3402">
      <formula>$E$7&lt;&gt;"Yes"</formula>
    </cfRule>
  </conditionalFormatting>
  <conditionalFormatting sqref="K147:L147">
    <cfRule type="expression" dxfId="3468" priority="3401">
      <formula>$E147&lt;&gt;"Yes"</formula>
    </cfRule>
  </conditionalFormatting>
  <conditionalFormatting sqref="W147">
    <cfRule type="expression" dxfId="3467" priority="3400">
      <formula>$E$7&lt;&gt;"Yes"</formula>
    </cfRule>
  </conditionalFormatting>
  <conditionalFormatting sqref="W147">
    <cfRule type="expression" dxfId="3466" priority="3399">
      <formula>$E147&lt;&gt;"Yes"</formula>
    </cfRule>
  </conditionalFormatting>
  <conditionalFormatting sqref="AE147">
    <cfRule type="expression" dxfId="3465" priority="3398">
      <formula>$E$7&lt;&gt;"Yes"</formula>
    </cfRule>
  </conditionalFormatting>
  <conditionalFormatting sqref="AE147">
    <cfRule type="expression" dxfId="3464" priority="3397">
      <formula>$E147&lt;&gt;"Yes"</formula>
    </cfRule>
  </conditionalFormatting>
  <conditionalFormatting sqref="AB147">
    <cfRule type="expression" dxfId="3463" priority="3396">
      <formula>$E$7&lt;&gt;"Yes"</formula>
    </cfRule>
  </conditionalFormatting>
  <conditionalFormatting sqref="AB147">
    <cfRule type="expression" dxfId="3462" priority="3395">
      <formula>$E147&lt;&gt;"Yes"</formula>
    </cfRule>
  </conditionalFormatting>
  <conditionalFormatting sqref="AA147">
    <cfRule type="expression" dxfId="3461" priority="3394">
      <formula>$E$7&lt;&gt;"Yes"</formula>
    </cfRule>
  </conditionalFormatting>
  <conditionalFormatting sqref="AA147">
    <cfRule type="expression" dxfId="3460" priority="3393">
      <formula>$E147&lt;&gt;"Yes"</formula>
    </cfRule>
  </conditionalFormatting>
  <conditionalFormatting sqref="Y147">
    <cfRule type="expression" dxfId="3459" priority="3392">
      <formula>$E$7&lt;&gt;"Yes"</formula>
    </cfRule>
  </conditionalFormatting>
  <conditionalFormatting sqref="Y147">
    <cfRule type="expression" dxfId="3458" priority="3391">
      <formula>$E147&lt;&gt;"Yes"</formula>
    </cfRule>
  </conditionalFormatting>
  <conditionalFormatting sqref="O147:P147">
    <cfRule type="expression" dxfId="3457" priority="3390">
      <formula>$E$7&lt;&gt;"Yes"</formula>
    </cfRule>
  </conditionalFormatting>
  <conditionalFormatting sqref="O147:P147">
    <cfRule type="expression" dxfId="3456" priority="3389">
      <formula>$E147&lt;&gt;"Yes"</formula>
    </cfRule>
  </conditionalFormatting>
  <conditionalFormatting sqref="X147">
    <cfRule type="expression" dxfId="3455" priority="3388">
      <formula>$E$7&lt;&gt;"Yes"</formula>
    </cfRule>
  </conditionalFormatting>
  <conditionalFormatting sqref="X147">
    <cfRule type="expression" dxfId="3454" priority="3387">
      <formula>$E147&lt;&gt;"Yes"</formula>
    </cfRule>
  </conditionalFormatting>
  <conditionalFormatting sqref="AD147">
    <cfRule type="expression" dxfId="3453" priority="3386">
      <formula>$E$7&lt;&gt;"Yes"</formula>
    </cfRule>
  </conditionalFormatting>
  <conditionalFormatting sqref="AD147">
    <cfRule type="expression" dxfId="3452" priority="3385">
      <formula>$E147&lt;&gt;"Yes"</formula>
    </cfRule>
  </conditionalFormatting>
  <conditionalFormatting sqref="AC147">
    <cfRule type="expression" dxfId="3451" priority="3384">
      <formula>$E$7&lt;&gt;"Yes"</formula>
    </cfRule>
  </conditionalFormatting>
  <conditionalFormatting sqref="AC147">
    <cfRule type="expression" dxfId="3450" priority="3383">
      <formula>$E147&lt;&gt;"Yes"</formula>
    </cfRule>
  </conditionalFormatting>
  <conditionalFormatting sqref="R147:V147">
    <cfRule type="expression" dxfId="3449" priority="3382">
      <formula>$E$7&lt;&gt;"Yes"</formula>
    </cfRule>
  </conditionalFormatting>
  <conditionalFormatting sqref="R147:V147">
    <cfRule type="expression" dxfId="3448" priority="3381">
      <formula>$E147&lt;&gt;"Yes"</formula>
    </cfRule>
  </conditionalFormatting>
  <conditionalFormatting sqref="S147">
    <cfRule type="expression" dxfId="3447" priority="3380">
      <formula>$E$7&lt;&gt;"Yes"</formula>
    </cfRule>
  </conditionalFormatting>
  <conditionalFormatting sqref="S147">
    <cfRule type="expression" dxfId="3446" priority="3379">
      <formula>$E147&lt;&gt;"Yes"</formula>
    </cfRule>
  </conditionalFormatting>
  <conditionalFormatting sqref="T147">
    <cfRule type="expression" dxfId="3445" priority="3378">
      <formula>$E$7&lt;&gt;"Yes"</formula>
    </cfRule>
  </conditionalFormatting>
  <conditionalFormatting sqref="T147">
    <cfRule type="expression" dxfId="3444" priority="3377">
      <formula>$E147&lt;&gt;"Yes"</formula>
    </cfRule>
  </conditionalFormatting>
  <conditionalFormatting sqref="U147">
    <cfRule type="expression" dxfId="3443" priority="3376">
      <formula>$E$7&lt;&gt;"Yes"</formula>
    </cfRule>
  </conditionalFormatting>
  <conditionalFormatting sqref="U147">
    <cfRule type="expression" dxfId="3442" priority="3375">
      <formula>$E147&lt;&gt;"Yes"</formula>
    </cfRule>
  </conditionalFormatting>
  <conditionalFormatting sqref="V147">
    <cfRule type="expression" dxfId="3441" priority="3374">
      <formula>$E$7&lt;&gt;"Yes"</formula>
    </cfRule>
  </conditionalFormatting>
  <conditionalFormatting sqref="V147">
    <cfRule type="expression" dxfId="3440" priority="3373">
      <formula>$E147&lt;&gt;"Yes"</formula>
    </cfRule>
  </conditionalFormatting>
  <conditionalFormatting sqref="R147:V147">
    <cfRule type="expression" dxfId="3439" priority="3372">
      <formula>$E$7&lt;&gt;"Yes"</formula>
    </cfRule>
  </conditionalFormatting>
  <conditionalFormatting sqref="R147:V147">
    <cfRule type="expression" dxfId="3438" priority="3371">
      <formula>$E147&lt;&gt;"Yes"</formula>
    </cfRule>
  </conditionalFormatting>
  <conditionalFormatting sqref="Z147">
    <cfRule type="expression" dxfId="3437" priority="3370">
      <formula>$E$7&lt;&gt;"Yes"</formula>
    </cfRule>
  </conditionalFormatting>
  <conditionalFormatting sqref="Z147">
    <cfRule type="expression" dxfId="3436" priority="3369">
      <formula>$E147&lt;&gt;"Yes"</formula>
    </cfRule>
  </conditionalFormatting>
  <conditionalFormatting sqref="AN147:AO147">
    <cfRule type="expression" dxfId="3435" priority="3368">
      <formula>$E$7&lt;&gt;"Yes"</formula>
    </cfRule>
  </conditionalFormatting>
  <conditionalFormatting sqref="AN147:AO147">
    <cfRule type="expression" dxfId="3434" priority="3367">
      <formula>$E147&lt;&gt;"Yes"</formula>
    </cfRule>
  </conditionalFormatting>
  <conditionalFormatting sqref="AI147">
    <cfRule type="expression" dxfId="3433" priority="3366">
      <formula>$E$7&lt;&gt;"Yes"</formula>
    </cfRule>
  </conditionalFormatting>
  <conditionalFormatting sqref="AI147">
    <cfRule type="expression" dxfId="3432" priority="3365">
      <formula>$E147&lt;&gt;"Yes"</formula>
    </cfRule>
  </conditionalFormatting>
  <conditionalFormatting sqref="Q151 N151 AJ151:AK151 AF151:AH151 Y151">
    <cfRule type="expression" dxfId="3431" priority="3364">
      <formula>$E$7&lt;&gt;"Yes"</formula>
    </cfRule>
  </conditionalFormatting>
  <conditionalFormatting sqref="Q151 N151 AJ151:AK151 AF151:AH151 Y151">
    <cfRule type="expression" dxfId="3430" priority="3363">
      <formula>$E151&lt;&gt;"Yes"</formula>
    </cfRule>
  </conditionalFormatting>
  <conditionalFormatting sqref="G151">
    <cfRule type="expression" dxfId="3429" priority="3360">
      <formula>$E$7&lt;&gt;"Yes"</formula>
    </cfRule>
  </conditionalFormatting>
  <conditionalFormatting sqref="M151 F151:J151 Q151">
    <cfRule type="expression" dxfId="3428" priority="3362">
      <formula>$E$7&lt;&gt;"Yes"</formula>
    </cfRule>
  </conditionalFormatting>
  <conditionalFormatting sqref="M151 F151:J151 Q151">
    <cfRule type="expression" dxfId="3427" priority="3361">
      <formula>$E151&lt;&gt;"Yes"</formula>
    </cfRule>
  </conditionalFormatting>
  <conditionalFormatting sqref="K151:L151">
    <cfRule type="expression" dxfId="3426" priority="3359">
      <formula>$E$7&lt;&gt;"Yes"</formula>
    </cfRule>
  </conditionalFormatting>
  <conditionalFormatting sqref="K151:L151">
    <cfRule type="expression" dxfId="3425" priority="3358">
      <formula>$E151&lt;&gt;"Yes"</formula>
    </cfRule>
  </conditionalFormatting>
  <conditionalFormatting sqref="W151">
    <cfRule type="expression" dxfId="3424" priority="3357">
      <formula>$E$7&lt;&gt;"Yes"</formula>
    </cfRule>
  </conditionalFormatting>
  <conditionalFormatting sqref="W151">
    <cfRule type="expression" dxfId="3423" priority="3356">
      <formula>$E151&lt;&gt;"Yes"</formula>
    </cfRule>
  </conditionalFormatting>
  <conditionalFormatting sqref="AE151">
    <cfRule type="expression" dxfId="3422" priority="3355">
      <formula>$E$7&lt;&gt;"Yes"</formula>
    </cfRule>
  </conditionalFormatting>
  <conditionalFormatting sqref="AE151">
    <cfRule type="expression" dxfId="3421" priority="3354">
      <formula>$E151&lt;&gt;"Yes"</formula>
    </cfRule>
  </conditionalFormatting>
  <conditionalFormatting sqref="AB151">
    <cfRule type="expression" dxfId="3420" priority="3353">
      <formula>$E$7&lt;&gt;"Yes"</formula>
    </cfRule>
  </conditionalFormatting>
  <conditionalFormatting sqref="AB151">
    <cfRule type="expression" dxfId="3419" priority="3352">
      <formula>$E151&lt;&gt;"Yes"</formula>
    </cfRule>
  </conditionalFormatting>
  <conditionalFormatting sqref="AA151">
    <cfRule type="expression" dxfId="3418" priority="3351">
      <formula>$E$7&lt;&gt;"Yes"</formula>
    </cfRule>
  </conditionalFormatting>
  <conditionalFormatting sqref="AA151">
    <cfRule type="expression" dxfId="3417" priority="3350">
      <formula>$E151&lt;&gt;"Yes"</formula>
    </cfRule>
  </conditionalFormatting>
  <conditionalFormatting sqref="Y151">
    <cfRule type="expression" dxfId="3416" priority="3349">
      <formula>$E$7&lt;&gt;"Yes"</formula>
    </cfRule>
  </conditionalFormatting>
  <conditionalFormatting sqref="Y151">
    <cfRule type="expression" dxfId="3415" priority="3348">
      <formula>$E151&lt;&gt;"Yes"</formula>
    </cfRule>
  </conditionalFormatting>
  <conditionalFormatting sqref="O151:P151">
    <cfRule type="expression" dxfId="3414" priority="3347">
      <formula>$E$7&lt;&gt;"Yes"</formula>
    </cfRule>
  </conditionalFormatting>
  <conditionalFormatting sqref="O151:P151">
    <cfRule type="expression" dxfId="3413" priority="3346">
      <formula>$E151&lt;&gt;"Yes"</formula>
    </cfRule>
  </conditionalFormatting>
  <conditionalFormatting sqref="X151">
    <cfRule type="expression" dxfId="3412" priority="3345">
      <formula>$E$7&lt;&gt;"Yes"</formula>
    </cfRule>
  </conditionalFormatting>
  <conditionalFormatting sqref="X151">
    <cfRule type="expression" dxfId="3411" priority="3344">
      <formula>$E151&lt;&gt;"Yes"</formula>
    </cfRule>
  </conditionalFormatting>
  <conditionalFormatting sqref="AD151">
    <cfRule type="expression" dxfId="3410" priority="3343">
      <formula>$E$7&lt;&gt;"Yes"</formula>
    </cfRule>
  </conditionalFormatting>
  <conditionalFormatting sqref="AD151">
    <cfRule type="expression" dxfId="3409" priority="3342">
      <formula>$E151&lt;&gt;"Yes"</formula>
    </cfRule>
  </conditionalFormatting>
  <conditionalFormatting sqref="AC151">
    <cfRule type="expression" dxfId="3408" priority="3341">
      <formula>$E$7&lt;&gt;"Yes"</formula>
    </cfRule>
  </conditionalFormatting>
  <conditionalFormatting sqref="AC151">
    <cfRule type="expression" dxfId="3407" priority="3340">
      <formula>$E151&lt;&gt;"Yes"</formula>
    </cfRule>
  </conditionalFormatting>
  <conditionalFormatting sqref="R151:V151">
    <cfRule type="expression" dxfId="3406" priority="3339">
      <formula>$E$7&lt;&gt;"Yes"</formula>
    </cfRule>
  </conditionalFormatting>
  <conditionalFormatting sqref="R151:V151">
    <cfRule type="expression" dxfId="3405" priority="3338">
      <formula>$E151&lt;&gt;"Yes"</formula>
    </cfRule>
  </conditionalFormatting>
  <conditionalFormatting sqref="S151">
    <cfRule type="expression" dxfId="3404" priority="3337">
      <formula>$E$7&lt;&gt;"Yes"</formula>
    </cfRule>
  </conditionalFormatting>
  <conditionalFormatting sqref="S151">
    <cfRule type="expression" dxfId="3403" priority="3336">
      <formula>$E151&lt;&gt;"Yes"</formula>
    </cfRule>
  </conditionalFormatting>
  <conditionalFormatting sqref="T151">
    <cfRule type="expression" dxfId="3402" priority="3335">
      <formula>$E$7&lt;&gt;"Yes"</formula>
    </cfRule>
  </conditionalFormatting>
  <conditionalFormatting sqref="T151">
    <cfRule type="expression" dxfId="3401" priority="3334">
      <formula>$E151&lt;&gt;"Yes"</formula>
    </cfRule>
  </conditionalFormatting>
  <conditionalFormatting sqref="U151">
    <cfRule type="expression" dxfId="3400" priority="3333">
      <formula>$E$7&lt;&gt;"Yes"</formula>
    </cfRule>
  </conditionalFormatting>
  <conditionalFormatting sqref="U151">
    <cfRule type="expression" dxfId="3399" priority="3332">
      <formula>$E151&lt;&gt;"Yes"</formula>
    </cfRule>
  </conditionalFormatting>
  <conditionalFormatting sqref="V151">
    <cfRule type="expression" dxfId="3398" priority="3331">
      <formula>$E$7&lt;&gt;"Yes"</formula>
    </cfRule>
  </conditionalFormatting>
  <conditionalFormatting sqref="V151">
    <cfRule type="expression" dxfId="3397" priority="3330">
      <formula>$E151&lt;&gt;"Yes"</formula>
    </cfRule>
  </conditionalFormatting>
  <conditionalFormatting sqref="R151:V151">
    <cfRule type="expression" dxfId="3396" priority="3329">
      <formula>$E$7&lt;&gt;"Yes"</formula>
    </cfRule>
  </conditionalFormatting>
  <conditionalFormatting sqref="R151:V151">
    <cfRule type="expression" dxfId="3395" priority="3328">
      <formula>$E151&lt;&gt;"Yes"</formula>
    </cfRule>
  </conditionalFormatting>
  <conditionalFormatting sqref="Z151">
    <cfRule type="expression" dxfId="3394" priority="3327">
      <formula>$E$7&lt;&gt;"Yes"</formula>
    </cfRule>
  </conditionalFormatting>
  <conditionalFormatting sqref="Z151">
    <cfRule type="expression" dxfId="3393" priority="3326">
      <formula>$E151&lt;&gt;"Yes"</formula>
    </cfRule>
  </conditionalFormatting>
  <conditionalFormatting sqref="AN151:AO151">
    <cfRule type="expression" dxfId="3392" priority="3325">
      <formula>$E$7&lt;&gt;"Yes"</formula>
    </cfRule>
  </conditionalFormatting>
  <conditionalFormatting sqref="AN151:AO151">
    <cfRule type="expression" dxfId="3391" priority="3324">
      <formula>$E151&lt;&gt;"Yes"</formula>
    </cfRule>
  </conditionalFormatting>
  <conditionalFormatting sqref="AI151">
    <cfRule type="expression" dxfId="3390" priority="3323">
      <formula>$E$7&lt;&gt;"Yes"</formula>
    </cfRule>
  </conditionalFormatting>
  <conditionalFormatting sqref="AI151">
    <cfRule type="expression" dxfId="3389" priority="3322">
      <formula>$E151&lt;&gt;"Yes"</formula>
    </cfRule>
  </conditionalFormatting>
  <conditionalFormatting sqref="Q163 N163 AJ163:AK163 AF163:AH163 Y163">
    <cfRule type="expression" dxfId="3388" priority="3321">
      <formula>$E$7&lt;&gt;"Yes"</formula>
    </cfRule>
  </conditionalFormatting>
  <conditionalFormatting sqref="Q163 N163 AJ163:AK163 AF163:AH163 Y163">
    <cfRule type="expression" dxfId="3387" priority="3320">
      <formula>$E163&lt;&gt;"Yes"</formula>
    </cfRule>
  </conditionalFormatting>
  <conditionalFormatting sqref="G163">
    <cfRule type="expression" dxfId="3386" priority="3317">
      <formula>$E$7&lt;&gt;"Yes"</formula>
    </cfRule>
  </conditionalFormatting>
  <conditionalFormatting sqref="M163 F163:J163 Q163">
    <cfRule type="expression" dxfId="3385" priority="3319">
      <formula>$E$7&lt;&gt;"Yes"</formula>
    </cfRule>
  </conditionalFormatting>
  <conditionalFormatting sqref="M163 F163:J163 Q163">
    <cfRule type="expression" dxfId="3384" priority="3318">
      <formula>$E163&lt;&gt;"Yes"</formula>
    </cfRule>
  </conditionalFormatting>
  <conditionalFormatting sqref="K163:L163">
    <cfRule type="expression" dxfId="3383" priority="3316">
      <formula>$E$7&lt;&gt;"Yes"</formula>
    </cfRule>
  </conditionalFormatting>
  <conditionalFormatting sqref="K163:L163">
    <cfRule type="expression" dxfId="3382" priority="3315">
      <formula>$E163&lt;&gt;"Yes"</formula>
    </cfRule>
  </conditionalFormatting>
  <conditionalFormatting sqref="W163">
    <cfRule type="expression" dxfId="3381" priority="3314">
      <formula>$E$7&lt;&gt;"Yes"</formula>
    </cfRule>
  </conditionalFormatting>
  <conditionalFormatting sqref="W163">
    <cfRule type="expression" dxfId="3380" priority="3313">
      <formula>$E163&lt;&gt;"Yes"</formula>
    </cfRule>
  </conditionalFormatting>
  <conditionalFormatting sqref="AE163">
    <cfRule type="expression" dxfId="3379" priority="3312">
      <formula>$E$7&lt;&gt;"Yes"</formula>
    </cfRule>
  </conditionalFormatting>
  <conditionalFormatting sqref="AE163">
    <cfRule type="expression" dxfId="3378" priority="3311">
      <formula>$E163&lt;&gt;"Yes"</formula>
    </cfRule>
  </conditionalFormatting>
  <conditionalFormatting sqref="AB163">
    <cfRule type="expression" dxfId="3377" priority="3310">
      <formula>$E$7&lt;&gt;"Yes"</formula>
    </cfRule>
  </conditionalFormatting>
  <conditionalFormatting sqref="AB163">
    <cfRule type="expression" dxfId="3376" priority="3309">
      <formula>$E163&lt;&gt;"Yes"</formula>
    </cfRule>
  </conditionalFormatting>
  <conditionalFormatting sqref="AA163">
    <cfRule type="expression" dxfId="3375" priority="3308">
      <formula>$E$7&lt;&gt;"Yes"</formula>
    </cfRule>
  </conditionalFormatting>
  <conditionalFormatting sqref="AA163">
    <cfRule type="expression" dxfId="3374" priority="3307">
      <formula>$E163&lt;&gt;"Yes"</formula>
    </cfRule>
  </conditionalFormatting>
  <conditionalFormatting sqref="Y163">
    <cfRule type="expression" dxfId="3373" priority="3306">
      <formula>$E$7&lt;&gt;"Yes"</formula>
    </cfRule>
  </conditionalFormatting>
  <conditionalFormatting sqref="Y163">
    <cfRule type="expression" dxfId="3372" priority="3305">
      <formula>$E163&lt;&gt;"Yes"</formula>
    </cfRule>
  </conditionalFormatting>
  <conditionalFormatting sqref="O163:P163">
    <cfRule type="expression" dxfId="3371" priority="3304">
      <formula>$E$7&lt;&gt;"Yes"</formula>
    </cfRule>
  </conditionalFormatting>
  <conditionalFormatting sqref="O163:P163">
    <cfRule type="expression" dxfId="3370" priority="3303">
      <formula>$E163&lt;&gt;"Yes"</formula>
    </cfRule>
  </conditionalFormatting>
  <conditionalFormatting sqref="X163">
    <cfRule type="expression" dxfId="3369" priority="3302">
      <formula>$E$7&lt;&gt;"Yes"</formula>
    </cfRule>
  </conditionalFormatting>
  <conditionalFormatting sqref="X163">
    <cfRule type="expression" dxfId="3368" priority="3301">
      <formula>$E163&lt;&gt;"Yes"</formula>
    </cfRule>
  </conditionalFormatting>
  <conditionalFormatting sqref="AD163">
    <cfRule type="expression" dxfId="3367" priority="3300">
      <formula>$E$7&lt;&gt;"Yes"</formula>
    </cfRule>
  </conditionalFormatting>
  <conditionalFormatting sqref="AD163">
    <cfRule type="expression" dxfId="3366" priority="3299">
      <formula>$E163&lt;&gt;"Yes"</formula>
    </cfRule>
  </conditionalFormatting>
  <conditionalFormatting sqref="AC163">
    <cfRule type="expression" dxfId="3365" priority="3298">
      <formula>$E$7&lt;&gt;"Yes"</formula>
    </cfRule>
  </conditionalFormatting>
  <conditionalFormatting sqref="AC163">
    <cfRule type="expression" dxfId="3364" priority="3297">
      <formula>$E163&lt;&gt;"Yes"</formula>
    </cfRule>
  </conditionalFormatting>
  <conditionalFormatting sqref="R163:V163">
    <cfRule type="expression" dxfId="3363" priority="3296">
      <formula>$E$7&lt;&gt;"Yes"</formula>
    </cfRule>
  </conditionalFormatting>
  <conditionalFormatting sqref="R163:V163">
    <cfRule type="expression" dxfId="3362" priority="3295">
      <formula>$E163&lt;&gt;"Yes"</formula>
    </cfRule>
  </conditionalFormatting>
  <conditionalFormatting sqref="S163">
    <cfRule type="expression" dxfId="3361" priority="3294">
      <formula>$E$7&lt;&gt;"Yes"</formula>
    </cfRule>
  </conditionalFormatting>
  <conditionalFormatting sqref="S163">
    <cfRule type="expression" dxfId="3360" priority="3293">
      <formula>$E163&lt;&gt;"Yes"</formula>
    </cfRule>
  </conditionalFormatting>
  <conditionalFormatting sqref="T163">
    <cfRule type="expression" dxfId="3359" priority="3292">
      <formula>$E$7&lt;&gt;"Yes"</formula>
    </cfRule>
  </conditionalFormatting>
  <conditionalFormatting sqref="T163">
    <cfRule type="expression" dxfId="3358" priority="3291">
      <formula>$E163&lt;&gt;"Yes"</formula>
    </cfRule>
  </conditionalFormatting>
  <conditionalFormatting sqref="U163">
    <cfRule type="expression" dxfId="3357" priority="3290">
      <formula>$E$7&lt;&gt;"Yes"</formula>
    </cfRule>
  </conditionalFormatting>
  <conditionalFormatting sqref="U163">
    <cfRule type="expression" dxfId="3356" priority="3289">
      <formula>$E163&lt;&gt;"Yes"</formula>
    </cfRule>
  </conditionalFormatting>
  <conditionalFormatting sqref="V163">
    <cfRule type="expression" dxfId="3355" priority="3288">
      <formula>$E$7&lt;&gt;"Yes"</formula>
    </cfRule>
  </conditionalFormatting>
  <conditionalFormatting sqref="V163">
    <cfRule type="expression" dxfId="3354" priority="3287">
      <formula>$E163&lt;&gt;"Yes"</formula>
    </cfRule>
  </conditionalFormatting>
  <conditionalFormatting sqref="R163:V163">
    <cfRule type="expression" dxfId="3353" priority="3286">
      <formula>$E$7&lt;&gt;"Yes"</formula>
    </cfRule>
  </conditionalFormatting>
  <conditionalFormatting sqref="R163:V163">
    <cfRule type="expression" dxfId="3352" priority="3285">
      <formula>$E163&lt;&gt;"Yes"</formula>
    </cfRule>
  </conditionalFormatting>
  <conditionalFormatting sqref="Z163">
    <cfRule type="expression" dxfId="3351" priority="3284">
      <formula>$E$7&lt;&gt;"Yes"</formula>
    </cfRule>
  </conditionalFormatting>
  <conditionalFormatting sqref="Z163">
    <cfRule type="expression" dxfId="3350" priority="3283">
      <formula>$E163&lt;&gt;"Yes"</formula>
    </cfRule>
  </conditionalFormatting>
  <conditionalFormatting sqref="AN163:AO163">
    <cfRule type="expression" dxfId="3349" priority="3282">
      <formula>$E$7&lt;&gt;"Yes"</formula>
    </cfRule>
  </conditionalFormatting>
  <conditionalFormatting sqref="AN163:AO163">
    <cfRule type="expression" dxfId="3348" priority="3281">
      <formula>$E163&lt;&gt;"Yes"</formula>
    </cfRule>
  </conditionalFormatting>
  <conditionalFormatting sqref="AI163">
    <cfRule type="expression" dxfId="3347" priority="3280">
      <formula>$E$7&lt;&gt;"Yes"</formula>
    </cfRule>
  </conditionalFormatting>
  <conditionalFormatting sqref="AI163">
    <cfRule type="expression" dxfId="3346" priority="3279">
      <formula>$E163&lt;&gt;"Yes"</formula>
    </cfRule>
  </conditionalFormatting>
  <conditionalFormatting sqref="Q246 N246 AJ246:AK246 AF246:AH246 Y246">
    <cfRule type="expression" dxfId="3345" priority="3278">
      <formula>$E$7&lt;&gt;"Yes"</formula>
    </cfRule>
  </conditionalFormatting>
  <conditionalFormatting sqref="Q246 N246 AJ246:AK246 AF246:AH246 Y246">
    <cfRule type="expression" dxfId="3344" priority="3277">
      <formula>$E246&lt;&gt;"Yes"</formula>
    </cfRule>
  </conditionalFormatting>
  <conditionalFormatting sqref="G246">
    <cfRule type="expression" dxfId="3343" priority="3274">
      <formula>$E$7&lt;&gt;"Yes"</formula>
    </cfRule>
  </conditionalFormatting>
  <conditionalFormatting sqref="M246 F246:J246 Q246">
    <cfRule type="expression" dxfId="3342" priority="3276">
      <formula>$E$7&lt;&gt;"Yes"</formula>
    </cfRule>
  </conditionalFormatting>
  <conditionalFormatting sqref="M246 F246:J246 Q246">
    <cfRule type="expression" dxfId="3341" priority="3275">
      <formula>$E246&lt;&gt;"Yes"</formula>
    </cfRule>
  </conditionalFormatting>
  <conditionalFormatting sqref="K246:L246">
    <cfRule type="expression" dxfId="3340" priority="3273">
      <formula>$E$7&lt;&gt;"Yes"</formula>
    </cfRule>
  </conditionalFormatting>
  <conditionalFormatting sqref="K246:L246">
    <cfRule type="expression" dxfId="3339" priority="3272">
      <formula>$E246&lt;&gt;"Yes"</formula>
    </cfRule>
  </conditionalFormatting>
  <conditionalFormatting sqref="W246">
    <cfRule type="expression" dxfId="3338" priority="3271">
      <formula>$E$7&lt;&gt;"Yes"</formula>
    </cfRule>
  </conditionalFormatting>
  <conditionalFormatting sqref="W246">
    <cfRule type="expression" dxfId="3337" priority="3270">
      <formula>$E246&lt;&gt;"Yes"</formula>
    </cfRule>
  </conditionalFormatting>
  <conditionalFormatting sqref="AE246">
    <cfRule type="expression" dxfId="3336" priority="3269">
      <formula>$E$7&lt;&gt;"Yes"</formula>
    </cfRule>
  </conditionalFormatting>
  <conditionalFormatting sqref="AE246">
    <cfRule type="expression" dxfId="3335" priority="3268">
      <formula>$E246&lt;&gt;"Yes"</formula>
    </cfRule>
  </conditionalFormatting>
  <conditionalFormatting sqref="AB246">
    <cfRule type="expression" dxfId="3334" priority="3267">
      <formula>$E$7&lt;&gt;"Yes"</formula>
    </cfRule>
  </conditionalFormatting>
  <conditionalFormatting sqref="AB246">
    <cfRule type="expression" dxfId="3333" priority="3266">
      <formula>$E246&lt;&gt;"Yes"</formula>
    </cfRule>
  </conditionalFormatting>
  <conditionalFormatting sqref="AA246">
    <cfRule type="expression" dxfId="3332" priority="3265">
      <formula>$E$7&lt;&gt;"Yes"</formula>
    </cfRule>
  </conditionalFormatting>
  <conditionalFormatting sqref="AA246">
    <cfRule type="expression" dxfId="3331" priority="3264">
      <formula>$E246&lt;&gt;"Yes"</formula>
    </cfRule>
  </conditionalFormatting>
  <conditionalFormatting sqref="Y246">
    <cfRule type="expression" dxfId="3330" priority="3263">
      <formula>$E$7&lt;&gt;"Yes"</formula>
    </cfRule>
  </conditionalFormatting>
  <conditionalFormatting sqref="Y246">
    <cfRule type="expression" dxfId="3329" priority="3262">
      <formula>$E246&lt;&gt;"Yes"</formula>
    </cfRule>
  </conditionalFormatting>
  <conditionalFormatting sqref="O246:P246">
    <cfRule type="expression" dxfId="3328" priority="3261">
      <formula>$E$7&lt;&gt;"Yes"</formula>
    </cfRule>
  </conditionalFormatting>
  <conditionalFormatting sqref="O246:P246">
    <cfRule type="expression" dxfId="3327" priority="3260">
      <formula>$E246&lt;&gt;"Yes"</formula>
    </cfRule>
  </conditionalFormatting>
  <conditionalFormatting sqref="X246">
    <cfRule type="expression" dxfId="3326" priority="3259">
      <formula>$E$7&lt;&gt;"Yes"</formula>
    </cfRule>
  </conditionalFormatting>
  <conditionalFormatting sqref="X246">
    <cfRule type="expression" dxfId="3325" priority="3258">
      <formula>$E246&lt;&gt;"Yes"</formula>
    </cfRule>
  </conditionalFormatting>
  <conditionalFormatting sqref="AD246">
    <cfRule type="expression" dxfId="3324" priority="3257">
      <formula>$E$7&lt;&gt;"Yes"</formula>
    </cfRule>
  </conditionalFormatting>
  <conditionalFormatting sqref="AD246">
    <cfRule type="expression" dxfId="3323" priority="3256">
      <formula>$E246&lt;&gt;"Yes"</formula>
    </cfRule>
  </conditionalFormatting>
  <conditionalFormatting sqref="AC246">
    <cfRule type="expression" dxfId="3322" priority="3255">
      <formula>$E$7&lt;&gt;"Yes"</formula>
    </cfRule>
  </conditionalFormatting>
  <conditionalFormatting sqref="AC246">
    <cfRule type="expression" dxfId="3321" priority="3254">
      <formula>$E246&lt;&gt;"Yes"</formula>
    </cfRule>
  </conditionalFormatting>
  <conditionalFormatting sqref="R246:V246">
    <cfRule type="expression" dxfId="3320" priority="3253">
      <formula>$E$7&lt;&gt;"Yes"</formula>
    </cfRule>
  </conditionalFormatting>
  <conditionalFormatting sqref="R246:V246">
    <cfRule type="expression" dxfId="3319" priority="3252">
      <formula>$E246&lt;&gt;"Yes"</formula>
    </cfRule>
  </conditionalFormatting>
  <conditionalFormatting sqref="S246">
    <cfRule type="expression" dxfId="3318" priority="3251">
      <formula>$E$7&lt;&gt;"Yes"</formula>
    </cfRule>
  </conditionalFormatting>
  <conditionalFormatting sqref="S246">
    <cfRule type="expression" dxfId="3317" priority="3250">
      <formula>$E246&lt;&gt;"Yes"</formula>
    </cfRule>
  </conditionalFormatting>
  <conditionalFormatting sqref="T246">
    <cfRule type="expression" dxfId="3316" priority="3249">
      <formula>$E$7&lt;&gt;"Yes"</formula>
    </cfRule>
  </conditionalFormatting>
  <conditionalFormatting sqref="T246">
    <cfRule type="expression" dxfId="3315" priority="3248">
      <formula>$E246&lt;&gt;"Yes"</formula>
    </cfRule>
  </conditionalFormatting>
  <conditionalFormatting sqref="U246">
    <cfRule type="expression" dxfId="3314" priority="3247">
      <formula>$E$7&lt;&gt;"Yes"</formula>
    </cfRule>
  </conditionalFormatting>
  <conditionalFormatting sqref="U246">
    <cfRule type="expression" dxfId="3313" priority="3246">
      <formula>$E246&lt;&gt;"Yes"</formula>
    </cfRule>
  </conditionalFormatting>
  <conditionalFormatting sqref="V246">
    <cfRule type="expression" dxfId="3312" priority="3245">
      <formula>$E$7&lt;&gt;"Yes"</formula>
    </cfRule>
  </conditionalFormatting>
  <conditionalFormatting sqref="V246">
    <cfRule type="expression" dxfId="3311" priority="3244">
      <formula>$E246&lt;&gt;"Yes"</formula>
    </cfRule>
  </conditionalFormatting>
  <conditionalFormatting sqref="R246:V246">
    <cfRule type="expression" dxfId="3310" priority="3243">
      <formula>$E$7&lt;&gt;"Yes"</formula>
    </cfRule>
  </conditionalFormatting>
  <conditionalFormatting sqref="R246:V246">
    <cfRule type="expression" dxfId="3309" priority="3242">
      <formula>$E246&lt;&gt;"Yes"</formula>
    </cfRule>
  </conditionalFormatting>
  <conditionalFormatting sqref="Z246">
    <cfRule type="expression" dxfId="3308" priority="3241">
      <formula>$E$7&lt;&gt;"Yes"</formula>
    </cfRule>
  </conditionalFormatting>
  <conditionalFormatting sqref="Z246">
    <cfRule type="expression" dxfId="3307" priority="3240">
      <formula>$E246&lt;&gt;"Yes"</formula>
    </cfRule>
  </conditionalFormatting>
  <conditionalFormatting sqref="AN246:AO246">
    <cfRule type="expression" dxfId="3306" priority="3239">
      <formula>$E$7&lt;&gt;"Yes"</formula>
    </cfRule>
  </conditionalFormatting>
  <conditionalFormatting sqref="AN246:AO246">
    <cfRule type="expression" dxfId="3305" priority="3238">
      <formula>$E246&lt;&gt;"Yes"</formula>
    </cfRule>
  </conditionalFormatting>
  <conditionalFormatting sqref="AI246">
    <cfRule type="expression" dxfId="3304" priority="3237">
      <formula>$E$7&lt;&gt;"Yes"</formula>
    </cfRule>
  </conditionalFormatting>
  <conditionalFormatting sqref="AI246">
    <cfRule type="expression" dxfId="3303" priority="3236">
      <formula>$E246&lt;&gt;"Yes"</formula>
    </cfRule>
  </conditionalFormatting>
  <conditionalFormatting sqref="Q355 N355 AJ355:AK355 AF355:AH355 Y355">
    <cfRule type="expression" dxfId="3302" priority="3235">
      <formula>$E$7&lt;&gt;"Yes"</formula>
    </cfRule>
  </conditionalFormatting>
  <conditionalFormatting sqref="Q355 N355 AJ355:AK355 AF355:AH355 Y355">
    <cfRule type="expression" dxfId="3301" priority="3234">
      <formula>$E355&lt;&gt;"Yes"</formula>
    </cfRule>
  </conditionalFormatting>
  <conditionalFormatting sqref="G355">
    <cfRule type="expression" dxfId="3300" priority="3231">
      <formula>$E$7&lt;&gt;"Yes"</formula>
    </cfRule>
  </conditionalFormatting>
  <conditionalFormatting sqref="M355 F355:J355 Q355">
    <cfRule type="expression" dxfId="3299" priority="3233">
      <formula>$E$7&lt;&gt;"Yes"</formula>
    </cfRule>
  </conditionalFormatting>
  <conditionalFormatting sqref="M355 F355:J355 Q355">
    <cfRule type="expression" dxfId="3298" priority="3232">
      <formula>$E355&lt;&gt;"Yes"</formula>
    </cfRule>
  </conditionalFormatting>
  <conditionalFormatting sqref="K355:L355">
    <cfRule type="expression" dxfId="3297" priority="3230">
      <formula>$E$7&lt;&gt;"Yes"</formula>
    </cfRule>
  </conditionalFormatting>
  <conditionalFormatting sqref="K355:L355">
    <cfRule type="expression" dxfId="3296" priority="3229">
      <formula>$E355&lt;&gt;"Yes"</formula>
    </cfRule>
  </conditionalFormatting>
  <conditionalFormatting sqref="W355">
    <cfRule type="expression" dxfId="3295" priority="3228">
      <formula>$E$7&lt;&gt;"Yes"</formula>
    </cfRule>
  </conditionalFormatting>
  <conditionalFormatting sqref="W355">
    <cfRule type="expression" dxfId="3294" priority="3227">
      <formula>$E355&lt;&gt;"Yes"</formula>
    </cfRule>
  </conditionalFormatting>
  <conditionalFormatting sqref="AE355">
    <cfRule type="expression" dxfId="3293" priority="3226">
      <formula>$E$7&lt;&gt;"Yes"</formula>
    </cfRule>
  </conditionalFormatting>
  <conditionalFormatting sqref="AE355">
    <cfRule type="expression" dxfId="3292" priority="3225">
      <formula>$E355&lt;&gt;"Yes"</formula>
    </cfRule>
  </conditionalFormatting>
  <conditionalFormatting sqref="AB355">
    <cfRule type="expression" dxfId="3291" priority="3224">
      <formula>$E$7&lt;&gt;"Yes"</formula>
    </cfRule>
  </conditionalFormatting>
  <conditionalFormatting sqref="AB355">
    <cfRule type="expression" dxfId="3290" priority="3223">
      <formula>$E355&lt;&gt;"Yes"</formula>
    </cfRule>
  </conditionalFormatting>
  <conditionalFormatting sqref="AA355">
    <cfRule type="expression" dxfId="3289" priority="3222">
      <formula>$E$7&lt;&gt;"Yes"</formula>
    </cfRule>
  </conditionalFormatting>
  <conditionalFormatting sqref="AA355">
    <cfRule type="expression" dxfId="3288" priority="3221">
      <formula>$E355&lt;&gt;"Yes"</formula>
    </cfRule>
  </conditionalFormatting>
  <conditionalFormatting sqref="Y355">
    <cfRule type="expression" dxfId="3287" priority="3220">
      <formula>$E$7&lt;&gt;"Yes"</formula>
    </cfRule>
  </conditionalFormatting>
  <conditionalFormatting sqref="Y355">
    <cfRule type="expression" dxfId="3286" priority="3219">
      <formula>$E355&lt;&gt;"Yes"</formula>
    </cfRule>
  </conditionalFormatting>
  <conditionalFormatting sqref="O355:P355">
    <cfRule type="expression" dxfId="3285" priority="3218">
      <formula>$E$7&lt;&gt;"Yes"</formula>
    </cfRule>
  </conditionalFormatting>
  <conditionalFormatting sqref="O355:P355">
    <cfRule type="expression" dxfId="3284" priority="3217">
      <formula>$E355&lt;&gt;"Yes"</formula>
    </cfRule>
  </conditionalFormatting>
  <conditionalFormatting sqref="X355">
    <cfRule type="expression" dxfId="3283" priority="3216">
      <formula>$E$7&lt;&gt;"Yes"</formula>
    </cfRule>
  </conditionalFormatting>
  <conditionalFormatting sqref="X355">
    <cfRule type="expression" dxfId="3282" priority="3215">
      <formula>$E355&lt;&gt;"Yes"</formula>
    </cfRule>
  </conditionalFormatting>
  <conditionalFormatting sqref="AD355">
    <cfRule type="expression" dxfId="3281" priority="3214">
      <formula>$E$7&lt;&gt;"Yes"</formula>
    </cfRule>
  </conditionalFormatting>
  <conditionalFormatting sqref="AD355">
    <cfRule type="expression" dxfId="3280" priority="3213">
      <formula>$E355&lt;&gt;"Yes"</formula>
    </cfRule>
  </conditionalFormatting>
  <conditionalFormatting sqref="AC355">
    <cfRule type="expression" dxfId="3279" priority="3212">
      <formula>$E$7&lt;&gt;"Yes"</formula>
    </cfRule>
  </conditionalFormatting>
  <conditionalFormatting sqref="AC355">
    <cfRule type="expression" dxfId="3278" priority="3211">
      <formula>$E355&lt;&gt;"Yes"</formula>
    </cfRule>
  </conditionalFormatting>
  <conditionalFormatting sqref="R355:V355">
    <cfRule type="expression" dxfId="3277" priority="3210">
      <formula>$E$7&lt;&gt;"Yes"</formula>
    </cfRule>
  </conditionalFormatting>
  <conditionalFormatting sqref="R355:V355">
    <cfRule type="expression" dxfId="3276" priority="3209">
      <formula>$E355&lt;&gt;"Yes"</formula>
    </cfRule>
  </conditionalFormatting>
  <conditionalFormatting sqref="S355">
    <cfRule type="expression" dxfId="3275" priority="3208">
      <formula>$E$7&lt;&gt;"Yes"</formula>
    </cfRule>
  </conditionalFormatting>
  <conditionalFormatting sqref="S355">
    <cfRule type="expression" dxfId="3274" priority="3207">
      <formula>$E355&lt;&gt;"Yes"</formula>
    </cfRule>
  </conditionalFormatting>
  <conditionalFormatting sqref="T355">
    <cfRule type="expression" dxfId="3273" priority="3206">
      <formula>$E$7&lt;&gt;"Yes"</formula>
    </cfRule>
  </conditionalFormatting>
  <conditionalFormatting sqref="T355">
    <cfRule type="expression" dxfId="3272" priority="3205">
      <formula>$E355&lt;&gt;"Yes"</formula>
    </cfRule>
  </conditionalFormatting>
  <conditionalFormatting sqref="U355">
    <cfRule type="expression" dxfId="3271" priority="3204">
      <formula>$E$7&lt;&gt;"Yes"</formula>
    </cfRule>
  </conditionalFormatting>
  <conditionalFormatting sqref="U355">
    <cfRule type="expression" dxfId="3270" priority="3203">
      <formula>$E355&lt;&gt;"Yes"</formula>
    </cfRule>
  </conditionalFormatting>
  <conditionalFormatting sqref="V355">
    <cfRule type="expression" dxfId="3269" priority="3202">
      <formula>$E$7&lt;&gt;"Yes"</formula>
    </cfRule>
  </conditionalFormatting>
  <conditionalFormatting sqref="V355">
    <cfRule type="expression" dxfId="3268" priority="3201">
      <formula>$E355&lt;&gt;"Yes"</formula>
    </cfRule>
  </conditionalFormatting>
  <conditionalFormatting sqref="R355:V355">
    <cfRule type="expression" dxfId="3267" priority="3200">
      <formula>$E$7&lt;&gt;"Yes"</formula>
    </cfRule>
  </conditionalFormatting>
  <conditionalFormatting sqref="R355:V355">
    <cfRule type="expression" dxfId="3266" priority="3199">
      <formula>$E355&lt;&gt;"Yes"</formula>
    </cfRule>
  </conditionalFormatting>
  <conditionalFormatting sqref="Z355">
    <cfRule type="expression" dxfId="3265" priority="3198">
      <formula>$E$7&lt;&gt;"Yes"</formula>
    </cfRule>
  </conditionalFormatting>
  <conditionalFormatting sqref="Z355">
    <cfRule type="expression" dxfId="3264" priority="3197">
      <formula>$E355&lt;&gt;"Yes"</formula>
    </cfRule>
  </conditionalFormatting>
  <conditionalFormatting sqref="AN355:AO355">
    <cfRule type="expression" dxfId="3263" priority="3196">
      <formula>$E$7&lt;&gt;"Yes"</formula>
    </cfRule>
  </conditionalFormatting>
  <conditionalFormatting sqref="AN355:AO355">
    <cfRule type="expression" dxfId="3262" priority="3195">
      <formula>$E355&lt;&gt;"Yes"</formula>
    </cfRule>
  </conditionalFormatting>
  <conditionalFormatting sqref="AI355">
    <cfRule type="expression" dxfId="3261" priority="3194">
      <formula>$E$7&lt;&gt;"Yes"</formula>
    </cfRule>
  </conditionalFormatting>
  <conditionalFormatting sqref="AI355">
    <cfRule type="expression" dxfId="3260" priority="3193">
      <formula>$E355&lt;&gt;"Yes"</formula>
    </cfRule>
  </conditionalFormatting>
  <conditionalFormatting sqref="M34 F34:J34 Q34 AJ34:AK34 AF34:AH34 Y34">
    <cfRule type="expression" dxfId="3259" priority="3192">
      <formula>$E$7&lt;&gt;"Yes"</formula>
    </cfRule>
  </conditionalFormatting>
  <conditionalFormatting sqref="M34 F34:J34 Q34 AJ34:AK34 AF34:AH34 Y34">
    <cfRule type="expression" dxfId="3258" priority="3191">
      <formula>$E34&lt;&gt;"Yes"</formula>
    </cfRule>
  </conditionalFormatting>
  <conditionalFormatting sqref="G34">
    <cfRule type="expression" dxfId="3257" priority="3190">
      <formula>$E$7&lt;&gt;"Yes"</formula>
    </cfRule>
  </conditionalFormatting>
  <conditionalFormatting sqref="K34:L34">
    <cfRule type="expression" dxfId="3256" priority="3189">
      <formula>$E$7&lt;&gt;"Yes"</formula>
    </cfRule>
  </conditionalFormatting>
  <conditionalFormatting sqref="K34:L34">
    <cfRule type="expression" dxfId="3255" priority="3188">
      <formula>$E34&lt;&gt;"Yes"</formula>
    </cfRule>
  </conditionalFormatting>
  <conditionalFormatting sqref="W34">
    <cfRule type="expression" dxfId="3254" priority="3187">
      <formula>$E$7&lt;&gt;"Yes"</formula>
    </cfRule>
  </conditionalFormatting>
  <conditionalFormatting sqref="W34">
    <cfRule type="expression" dxfId="3253" priority="3186">
      <formula>$E34&lt;&gt;"Yes"</formula>
    </cfRule>
  </conditionalFormatting>
  <conditionalFormatting sqref="AE34">
    <cfRule type="expression" dxfId="3252" priority="3185">
      <formula>$E$7&lt;&gt;"Yes"</formula>
    </cfRule>
  </conditionalFormatting>
  <conditionalFormatting sqref="AE34">
    <cfRule type="expression" dxfId="3251" priority="3184">
      <formula>$E34&lt;&gt;"Yes"</formula>
    </cfRule>
  </conditionalFormatting>
  <conditionalFormatting sqref="N34">
    <cfRule type="expression" dxfId="3250" priority="3183">
      <formula>$E$7&lt;&gt;"Yes"</formula>
    </cfRule>
  </conditionalFormatting>
  <conditionalFormatting sqref="N34">
    <cfRule type="expression" dxfId="3249" priority="3182">
      <formula>$E34&lt;&gt;"Yes"</formula>
    </cfRule>
  </conditionalFormatting>
  <conditionalFormatting sqref="AB34">
    <cfRule type="expression" dxfId="3248" priority="3181">
      <formula>$E$7&lt;&gt;"Yes"</formula>
    </cfRule>
  </conditionalFormatting>
  <conditionalFormatting sqref="AB34">
    <cfRule type="expression" dxfId="3247" priority="3180">
      <formula>$E34&lt;&gt;"Yes"</formula>
    </cfRule>
  </conditionalFormatting>
  <conditionalFormatting sqref="AA34">
    <cfRule type="expression" dxfId="3246" priority="3179">
      <formula>$E$7&lt;&gt;"Yes"</formula>
    </cfRule>
  </conditionalFormatting>
  <conditionalFormatting sqref="AA34">
    <cfRule type="expression" dxfId="3245" priority="3178">
      <formula>$E34&lt;&gt;"Yes"</formula>
    </cfRule>
  </conditionalFormatting>
  <conditionalFormatting sqref="Y34">
    <cfRule type="expression" dxfId="3244" priority="3177">
      <formula>$E$7&lt;&gt;"Yes"</formula>
    </cfRule>
  </conditionalFormatting>
  <conditionalFormatting sqref="Y34">
    <cfRule type="expression" dxfId="3243" priority="3176">
      <formula>$E34&lt;&gt;"Yes"</formula>
    </cfRule>
  </conditionalFormatting>
  <conditionalFormatting sqref="O34:P34">
    <cfRule type="expression" dxfId="3242" priority="3175">
      <formula>$E$7&lt;&gt;"Yes"</formula>
    </cfRule>
  </conditionalFormatting>
  <conditionalFormatting sqref="O34:P34">
    <cfRule type="expression" dxfId="3241" priority="3174">
      <formula>$E34&lt;&gt;"Yes"</formula>
    </cfRule>
  </conditionalFormatting>
  <conditionalFormatting sqref="X34">
    <cfRule type="expression" dxfId="3240" priority="3173">
      <formula>$E$7&lt;&gt;"Yes"</formula>
    </cfRule>
  </conditionalFormatting>
  <conditionalFormatting sqref="X34">
    <cfRule type="expression" dxfId="3239" priority="3172">
      <formula>$E34&lt;&gt;"Yes"</formula>
    </cfRule>
  </conditionalFormatting>
  <conditionalFormatting sqref="AD34">
    <cfRule type="expression" dxfId="3238" priority="3171">
      <formula>$E$7&lt;&gt;"Yes"</formula>
    </cfRule>
  </conditionalFormatting>
  <conditionalFormatting sqref="AD34">
    <cfRule type="expression" dxfId="3237" priority="3170">
      <formula>$E34&lt;&gt;"Yes"</formula>
    </cfRule>
  </conditionalFormatting>
  <conditionalFormatting sqref="AC34">
    <cfRule type="expression" dxfId="3236" priority="3169">
      <formula>$E$7&lt;&gt;"Yes"</formula>
    </cfRule>
  </conditionalFormatting>
  <conditionalFormatting sqref="AC34">
    <cfRule type="expression" dxfId="3235" priority="3168">
      <formula>$E34&lt;&gt;"Yes"</formula>
    </cfRule>
  </conditionalFormatting>
  <conditionalFormatting sqref="R34:V34">
    <cfRule type="expression" dxfId="3234" priority="3167">
      <formula>$E$7&lt;&gt;"Yes"</formula>
    </cfRule>
  </conditionalFormatting>
  <conditionalFormatting sqref="R34:V34">
    <cfRule type="expression" dxfId="3233" priority="3166">
      <formula>$E34&lt;&gt;"Yes"</formula>
    </cfRule>
  </conditionalFormatting>
  <conditionalFormatting sqref="S34">
    <cfRule type="expression" dxfId="3232" priority="3165">
      <formula>$E$7&lt;&gt;"Yes"</formula>
    </cfRule>
  </conditionalFormatting>
  <conditionalFormatting sqref="S34">
    <cfRule type="expression" dxfId="3231" priority="3164">
      <formula>$E34&lt;&gt;"Yes"</formula>
    </cfRule>
  </conditionalFormatting>
  <conditionalFormatting sqref="T34">
    <cfRule type="expression" dxfId="3230" priority="3163">
      <formula>$E$7&lt;&gt;"Yes"</formula>
    </cfRule>
  </conditionalFormatting>
  <conditionalFormatting sqref="T34">
    <cfRule type="expression" dxfId="3229" priority="3162">
      <formula>$E34&lt;&gt;"Yes"</formula>
    </cfRule>
  </conditionalFormatting>
  <conditionalFormatting sqref="U34">
    <cfRule type="expression" dxfId="3228" priority="3161">
      <formula>$E$7&lt;&gt;"Yes"</formula>
    </cfRule>
  </conditionalFormatting>
  <conditionalFormatting sqref="U34">
    <cfRule type="expression" dxfId="3227" priority="3160">
      <formula>$E34&lt;&gt;"Yes"</formula>
    </cfRule>
  </conditionalFormatting>
  <conditionalFormatting sqref="V34">
    <cfRule type="expression" dxfId="3226" priority="3159">
      <formula>$E$7&lt;&gt;"Yes"</formula>
    </cfRule>
  </conditionalFormatting>
  <conditionalFormatting sqref="V34">
    <cfRule type="expression" dxfId="3225" priority="3158">
      <formula>$E34&lt;&gt;"Yes"</formula>
    </cfRule>
  </conditionalFormatting>
  <conditionalFormatting sqref="R34:V34">
    <cfRule type="expression" dxfId="3224" priority="3157">
      <formula>$E$7&lt;&gt;"Yes"</formula>
    </cfRule>
  </conditionalFormatting>
  <conditionalFormatting sqref="R34:V34">
    <cfRule type="expression" dxfId="3223" priority="3156">
      <formula>$E34&lt;&gt;"Yes"</formula>
    </cfRule>
  </conditionalFormatting>
  <conditionalFormatting sqref="Z34">
    <cfRule type="expression" dxfId="3222" priority="3155">
      <formula>$E$7&lt;&gt;"Yes"</formula>
    </cfRule>
  </conditionalFormatting>
  <conditionalFormatting sqref="Z34">
    <cfRule type="expression" dxfId="3221" priority="3154">
      <formula>$E34&lt;&gt;"Yes"</formula>
    </cfRule>
  </conditionalFormatting>
  <conditionalFormatting sqref="AN34:AO34">
    <cfRule type="expression" dxfId="3220" priority="3153">
      <formula>$E$7&lt;&gt;"Yes"</formula>
    </cfRule>
  </conditionalFormatting>
  <conditionalFormatting sqref="AN34:AO34">
    <cfRule type="expression" dxfId="3219" priority="3152">
      <formula>$E34&lt;&gt;"Yes"</formula>
    </cfRule>
  </conditionalFormatting>
  <conditionalFormatting sqref="AI34">
    <cfRule type="expression" dxfId="3218" priority="3151">
      <formula>$E$7&lt;&gt;"Yes"</formula>
    </cfRule>
  </conditionalFormatting>
  <conditionalFormatting sqref="AI34">
    <cfRule type="expression" dxfId="3217" priority="3150">
      <formula>$E34&lt;&gt;"Yes"</formula>
    </cfRule>
  </conditionalFormatting>
  <conditionalFormatting sqref="M114 F114:J114 Q114 AJ114:AK114 AF114:AH114 Y114">
    <cfRule type="expression" dxfId="3216" priority="3149">
      <formula>$E$7&lt;&gt;"Yes"</formula>
    </cfRule>
  </conditionalFormatting>
  <conditionalFormatting sqref="M114 F114:J114 Q114 AJ114:AK114 AF114:AH114 Y114">
    <cfRule type="expression" dxfId="3215" priority="3148">
      <formula>$E114&lt;&gt;"Yes"</formula>
    </cfRule>
  </conditionalFormatting>
  <conditionalFormatting sqref="G114">
    <cfRule type="expression" dxfId="3214" priority="3147">
      <formula>$E$7&lt;&gt;"Yes"</formula>
    </cfRule>
  </conditionalFormatting>
  <conditionalFormatting sqref="K114:L114">
    <cfRule type="expression" dxfId="3213" priority="3146">
      <formula>$E$7&lt;&gt;"Yes"</formula>
    </cfRule>
  </conditionalFormatting>
  <conditionalFormatting sqref="K114:L114">
    <cfRule type="expression" dxfId="3212" priority="3145">
      <formula>$E114&lt;&gt;"Yes"</formula>
    </cfRule>
  </conditionalFormatting>
  <conditionalFormatting sqref="W114">
    <cfRule type="expression" dxfId="3211" priority="3144">
      <formula>$E$7&lt;&gt;"Yes"</formula>
    </cfRule>
  </conditionalFormatting>
  <conditionalFormatting sqref="W114">
    <cfRule type="expression" dxfId="3210" priority="3143">
      <formula>$E114&lt;&gt;"Yes"</formula>
    </cfRule>
  </conditionalFormatting>
  <conditionalFormatting sqref="AE114">
    <cfRule type="expression" dxfId="3209" priority="3142">
      <formula>$E$7&lt;&gt;"Yes"</formula>
    </cfRule>
  </conditionalFormatting>
  <conditionalFormatting sqref="AE114">
    <cfRule type="expression" dxfId="3208" priority="3141">
      <formula>$E114&lt;&gt;"Yes"</formula>
    </cfRule>
  </conditionalFormatting>
  <conditionalFormatting sqref="N114">
    <cfRule type="expression" dxfId="3207" priority="3140">
      <formula>$E$7&lt;&gt;"Yes"</formula>
    </cfRule>
  </conditionalFormatting>
  <conditionalFormatting sqref="N114">
    <cfRule type="expression" dxfId="3206" priority="3139">
      <formula>$E114&lt;&gt;"Yes"</formula>
    </cfRule>
  </conditionalFormatting>
  <conditionalFormatting sqref="AB114">
    <cfRule type="expression" dxfId="3205" priority="3138">
      <formula>$E$7&lt;&gt;"Yes"</formula>
    </cfRule>
  </conditionalFormatting>
  <conditionalFormatting sqref="AB114">
    <cfRule type="expression" dxfId="3204" priority="3137">
      <formula>$E114&lt;&gt;"Yes"</formula>
    </cfRule>
  </conditionalFormatting>
  <conditionalFormatting sqref="AA114">
    <cfRule type="expression" dxfId="3203" priority="3136">
      <formula>$E$7&lt;&gt;"Yes"</formula>
    </cfRule>
  </conditionalFormatting>
  <conditionalFormatting sqref="AA114">
    <cfRule type="expression" dxfId="3202" priority="3135">
      <formula>$E114&lt;&gt;"Yes"</formula>
    </cfRule>
  </conditionalFormatting>
  <conditionalFormatting sqref="Y114">
    <cfRule type="expression" dxfId="3201" priority="3134">
      <formula>$E$7&lt;&gt;"Yes"</formula>
    </cfRule>
  </conditionalFormatting>
  <conditionalFormatting sqref="Y114">
    <cfRule type="expression" dxfId="3200" priority="3133">
      <formula>$E114&lt;&gt;"Yes"</formula>
    </cfRule>
  </conditionalFormatting>
  <conditionalFormatting sqref="O114:P114">
    <cfRule type="expression" dxfId="3199" priority="3132">
      <formula>$E$7&lt;&gt;"Yes"</formula>
    </cfRule>
  </conditionalFormatting>
  <conditionalFormatting sqref="O114:P114">
    <cfRule type="expression" dxfId="3198" priority="3131">
      <formula>$E114&lt;&gt;"Yes"</formula>
    </cfRule>
  </conditionalFormatting>
  <conditionalFormatting sqref="X114">
    <cfRule type="expression" dxfId="3197" priority="3130">
      <formula>$E$7&lt;&gt;"Yes"</formula>
    </cfRule>
  </conditionalFormatting>
  <conditionalFormatting sqref="X114">
    <cfRule type="expression" dxfId="3196" priority="3129">
      <formula>$E114&lt;&gt;"Yes"</formula>
    </cfRule>
  </conditionalFormatting>
  <conditionalFormatting sqref="AD114">
    <cfRule type="expression" dxfId="3195" priority="3128">
      <formula>$E$7&lt;&gt;"Yes"</formula>
    </cfRule>
  </conditionalFormatting>
  <conditionalFormatting sqref="AD114">
    <cfRule type="expression" dxfId="3194" priority="3127">
      <formula>$E114&lt;&gt;"Yes"</formula>
    </cfRule>
  </conditionalFormatting>
  <conditionalFormatting sqref="AC114">
    <cfRule type="expression" dxfId="3193" priority="3126">
      <formula>$E$7&lt;&gt;"Yes"</formula>
    </cfRule>
  </conditionalFormatting>
  <conditionalFormatting sqref="AC114">
    <cfRule type="expression" dxfId="3192" priority="3125">
      <formula>$E114&lt;&gt;"Yes"</formula>
    </cfRule>
  </conditionalFormatting>
  <conditionalFormatting sqref="R114:V114">
    <cfRule type="expression" dxfId="3191" priority="3124">
      <formula>$E$7&lt;&gt;"Yes"</formula>
    </cfRule>
  </conditionalFormatting>
  <conditionalFormatting sqref="R114:V114">
    <cfRule type="expression" dxfId="3190" priority="3123">
      <formula>$E114&lt;&gt;"Yes"</formula>
    </cfRule>
  </conditionalFormatting>
  <conditionalFormatting sqref="S114">
    <cfRule type="expression" dxfId="3189" priority="3122">
      <formula>$E$7&lt;&gt;"Yes"</formula>
    </cfRule>
  </conditionalFormatting>
  <conditionalFormatting sqref="S114">
    <cfRule type="expression" dxfId="3188" priority="3121">
      <formula>$E114&lt;&gt;"Yes"</formula>
    </cfRule>
  </conditionalFormatting>
  <conditionalFormatting sqref="T114">
    <cfRule type="expression" dxfId="3187" priority="3120">
      <formula>$E$7&lt;&gt;"Yes"</formula>
    </cfRule>
  </conditionalFormatting>
  <conditionalFormatting sqref="T114">
    <cfRule type="expression" dxfId="3186" priority="3119">
      <formula>$E114&lt;&gt;"Yes"</formula>
    </cfRule>
  </conditionalFormatting>
  <conditionalFormatting sqref="U114">
    <cfRule type="expression" dxfId="3185" priority="3118">
      <formula>$E$7&lt;&gt;"Yes"</formula>
    </cfRule>
  </conditionalFormatting>
  <conditionalFormatting sqref="U114">
    <cfRule type="expression" dxfId="3184" priority="3117">
      <formula>$E114&lt;&gt;"Yes"</formula>
    </cfRule>
  </conditionalFormatting>
  <conditionalFormatting sqref="V114">
    <cfRule type="expression" dxfId="3183" priority="3116">
      <formula>$E$7&lt;&gt;"Yes"</formula>
    </cfRule>
  </conditionalFormatting>
  <conditionalFormatting sqref="V114">
    <cfRule type="expression" dxfId="3182" priority="3115">
      <formula>$E114&lt;&gt;"Yes"</formula>
    </cfRule>
  </conditionalFormatting>
  <conditionalFormatting sqref="R114:V114">
    <cfRule type="expression" dxfId="3181" priority="3114">
      <formula>$E$7&lt;&gt;"Yes"</formula>
    </cfRule>
  </conditionalFormatting>
  <conditionalFormatting sqref="R114:V114">
    <cfRule type="expression" dxfId="3180" priority="3113">
      <formula>$E114&lt;&gt;"Yes"</formula>
    </cfRule>
  </conditionalFormatting>
  <conditionalFormatting sqref="Z114">
    <cfRule type="expression" dxfId="3179" priority="3112">
      <formula>$E$7&lt;&gt;"Yes"</formula>
    </cfRule>
  </conditionalFormatting>
  <conditionalFormatting sqref="Z114">
    <cfRule type="expression" dxfId="3178" priority="3111">
      <formula>$E114&lt;&gt;"Yes"</formula>
    </cfRule>
  </conditionalFormatting>
  <conditionalFormatting sqref="AN114:AO114">
    <cfRule type="expression" dxfId="3177" priority="3110">
      <formula>$E$7&lt;&gt;"Yes"</formula>
    </cfRule>
  </conditionalFormatting>
  <conditionalFormatting sqref="AN114:AO114">
    <cfRule type="expression" dxfId="3176" priority="3109">
      <formula>$E114&lt;&gt;"Yes"</formula>
    </cfRule>
  </conditionalFormatting>
  <conditionalFormatting sqref="AI114">
    <cfRule type="expression" dxfId="3175" priority="3108">
      <formula>$E$7&lt;&gt;"Yes"</formula>
    </cfRule>
  </conditionalFormatting>
  <conditionalFormatting sqref="AI114">
    <cfRule type="expression" dxfId="3174" priority="3107">
      <formula>$E114&lt;&gt;"Yes"</formula>
    </cfRule>
  </conditionalFormatting>
  <conditionalFormatting sqref="M211 F211:J211 Q211 AJ211:AK211 AF211:AH211 Y211">
    <cfRule type="expression" dxfId="3173" priority="3106">
      <formula>$E$7&lt;&gt;"Yes"</formula>
    </cfRule>
  </conditionalFormatting>
  <conditionalFormatting sqref="M211 F211:J211 Q211 AJ211:AK211 AF211:AH211 Y211">
    <cfRule type="expression" dxfId="3172" priority="3105">
      <formula>$E211&lt;&gt;"Yes"</formula>
    </cfRule>
  </conditionalFormatting>
  <conditionalFormatting sqref="G211">
    <cfRule type="expression" dxfId="3171" priority="3104">
      <formula>$E$7&lt;&gt;"Yes"</formula>
    </cfRule>
  </conditionalFormatting>
  <conditionalFormatting sqref="K211:L211">
    <cfRule type="expression" dxfId="3170" priority="3103">
      <formula>$E$7&lt;&gt;"Yes"</formula>
    </cfRule>
  </conditionalFormatting>
  <conditionalFormatting sqref="K211:L211">
    <cfRule type="expression" dxfId="3169" priority="3102">
      <formula>$E211&lt;&gt;"Yes"</formula>
    </cfRule>
  </conditionalFormatting>
  <conditionalFormatting sqref="W211">
    <cfRule type="expression" dxfId="3168" priority="3101">
      <formula>$E$7&lt;&gt;"Yes"</formula>
    </cfRule>
  </conditionalFormatting>
  <conditionalFormatting sqref="W211">
    <cfRule type="expression" dxfId="3167" priority="3100">
      <formula>$E211&lt;&gt;"Yes"</formula>
    </cfRule>
  </conditionalFormatting>
  <conditionalFormatting sqref="AE211">
    <cfRule type="expression" dxfId="3166" priority="3099">
      <formula>$E$7&lt;&gt;"Yes"</formula>
    </cfRule>
  </conditionalFormatting>
  <conditionalFormatting sqref="AE211">
    <cfRule type="expression" dxfId="3165" priority="3098">
      <formula>$E211&lt;&gt;"Yes"</formula>
    </cfRule>
  </conditionalFormatting>
  <conditionalFormatting sqref="N211">
    <cfRule type="expression" dxfId="3164" priority="3097">
      <formula>$E$7&lt;&gt;"Yes"</formula>
    </cfRule>
  </conditionalFormatting>
  <conditionalFormatting sqref="N211">
    <cfRule type="expression" dxfId="3163" priority="3096">
      <formula>$E211&lt;&gt;"Yes"</formula>
    </cfRule>
  </conditionalFormatting>
  <conditionalFormatting sqref="AB211">
    <cfRule type="expression" dxfId="3162" priority="3095">
      <formula>$E$7&lt;&gt;"Yes"</formula>
    </cfRule>
  </conditionalFormatting>
  <conditionalFormatting sqref="AB211">
    <cfRule type="expression" dxfId="3161" priority="3094">
      <formula>$E211&lt;&gt;"Yes"</formula>
    </cfRule>
  </conditionalFormatting>
  <conditionalFormatting sqref="AA211">
    <cfRule type="expression" dxfId="3160" priority="3093">
      <formula>$E$7&lt;&gt;"Yes"</formula>
    </cfRule>
  </conditionalFormatting>
  <conditionalFormatting sqref="AA211">
    <cfRule type="expression" dxfId="3159" priority="3092">
      <formula>$E211&lt;&gt;"Yes"</formula>
    </cfRule>
  </conditionalFormatting>
  <conditionalFormatting sqref="Y211">
    <cfRule type="expression" dxfId="3158" priority="3091">
      <formula>$E$7&lt;&gt;"Yes"</formula>
    </cfRule>
  </conditionalFormatting>
  <conditionalFormatting sqref="Y211">
    <cfRule type="expression" dxfId="3157" priority="3090">
      <formula>$E211&lt;&gt;"Yes"</formula>
    </cfRule>
  </conditionalFormatting>
  <conditionalFormatting sqref="O211:P211">
    <cfRule type="expression" dxfId="3156" priority="3089">
      <formula>$E$7&lt;&gt;"Yes"</formula>
    </cfRule>
  </conditionalFormatting>
  <conditionalFormatting sqref="O211:P211">
    <cfRule type="expression" dxfId="3155" priority="3088">
      <formula>$E211&lt;&gt;"Yes"</formula>
    </cfRule>
  </conditionalFormatting>
  <conditionalFormatting sqref="X211">
    <cfRule type="expression" dxfId="3154" priority="3087">
      <formula>$E$7&lt;&gt;"Yes"</formula>
    </cfRule>
  </conditionalFormatting>
  <conditionalFormatting sqref="X211">
    <cfRule type="expression" dxfId="3153" priority="3086">
      <formula>$E211&lt;&gt;"Yes"</formula>
    </cfRule>
  </conditionalFormatting>
  <conditionalFormatting sqref="AD211">
    <cfRule type="expression" dxfId="3152" priority="3085">
      <formula>$E$7&lt;&gt;"Yes"</formula>
    </cfRule>
  </conditionalFormatting>
  <conditionalFormatting sqref="AD211">
    <cfRule type="expression" dxfId="3151" priority="3084">
      <formula>$E211&lt;&gt;"Yes"</formula>
    </cfRule>
  </conditionalFormatting>
  <conditionalFormatting sqref="AC211">
    <cfRule type="expression" dxfId="3150" priority="3083">
      <formula>$E$7&lt;&gt;"Yes"</formula>
    </cfRule>
  </conditionalFormatting>
  <conditionalFormatting sqref="AC211">
    <cfRule type="expression" dxfId="3149" priority="3082">
      <formula>$E211&lt;&gt;"Yes"</formula>
    </cfRule>
  </conditionalFormatting>
  <conditionalFormatting sqref="R211:V211">
    <cfRule type="expression" dxfId="3148" priority="3081">
      <formula>$E$7&lt;&gt;"Yes"</formula>
    </cfRule>
  </conditionalFormatting>
  <conditionalFormatting sqref="R211:V211">
    <cfRule type="expression" dxfId="3147" priority="3080">
      <formula>$E211&lt;&gt;"Yes"</formula>
    </cfRule>
  </conditionalFormatting>
  <conditionalFormatting sqref="S211">
    <cfRule type="expression" dxfId="3146" priority="3079">
      <formula>$E$7&lt;&gt;"Yes"</formula>
    </cfRule>
  </conditionalFormatting>
  <conditionalFormatting sqref="S211">
    <cfRule type="expression" dxfId="3145" priority="3078">
      <formula>$E211&lt;&gt;"Yes"</formula>
    </cfRule>
  </conditionalFormatting>
  <conditionalFormatting sqref="T211">
    <cfRule type="expression" dxfId="3144" priority="3077">
      <formula>$E$7&lt;&gt;"Yes"</formula>
    </cfRule>
  </conditionalFormatting>
  <conditionalFormatting sqref="T211">
    <cfRule type="expression" dxfId="3143" priority="3076">
      <formula>$E211&lt;&gt;"Yes"</formula>
    </cfRule>
  </conditionalFormatting>
  <conditionalFormatting sqref="U211">
    <cfRule type="expression" dxfId="3142" priority="3075">
      <formula>$E$7&lt;&gt;"Yes"</formula>
    </cfRule>
  </conditionalFormatting>
  <conditionalFormatting sqref="U211">
    <cfRule type="expression" dxfId="3141" priority="3074">
      <formula>$E211&lt;&gt;"Yes"</formula>
    </cfRule>
  </conditionalFormatting>
  <conditionalFormatting sqref="V211">
    <cfRule type="expression" dxfId="3140" priority="3073">
      <formula>$E$7&lt;&gt;"Yes"</formula>
    </cfRule>
  </conditionalFormatting>
  <conditionalFormatting sqref="V211">
    <cfRule type="expression" dxfId="3139" priority="3072">
      <formula>$E211&lt;&gt;"Yes"</formula>
    </cfRule>
  </conditionalFormatting>
  <conditionalFormatting sqref="R211:V211">
    <cfRule type="expression" dxfId="3138" priority="3071">
      <formula>$E$7&lt;&gt;"Yes"</formula>
    </cfRule>
  </conditionalFormatting>
  <conditionalFormatting sqref="R211:V211">
    <cfRule type="expression" dxfId="3137" priority="3070">
      <formula>$E211&lt;&gt;"Yes"</formula>
    </cfRule>
  </conditionalFormatting>
  <conditionalFormatting sqref="Z211">
    <cfRule type="expression" dxfId="3136" priority="3069">
      <formula>$E$7&lt;&gt;"Yes"</formula>
    </cfRule>
  </conditionalFormatting>
  <conditionalFormatting sqref="Z211">
    <cfRule type="expression" dxfId="3135" priority="3068">
      <formula>$E211&lt;&gt;"Yes"</formula>
    </cfRule>
  </conditionalFormatting>
  <conditionalFormatting sqref="AN211:AO211">
    <cfRule type="expression" dxfId="3134" priority="3067">
      <formula>$E$7&lt;&gt;"Yes"</formula>
    </cfRule>
  </conditionalFormatting>
  <conditionalFormatting sqref="AN211:AO211">
    <cfRule type="expression" dxfId="3133" priority="3066">
      <formula>$E211&lt;&gt;"Yes"</formula>
    </cfRule>
  </conditionalFormatting>
  <conditionalFormatting sqref="AI211">
    <cfRule type="expression" dxfId="3132" priority="3065">
      <formula>$E$7&lt;&gt;"Yes"</formula>
    </cfRule>
  </conditionalFormatting>
  <conditionalFormatting sqref="AI211">
    <cfRule type="expression" dxfId="3131" priority="3064">
      <formula>$E211&lt;&gt;"Yes"</formula>
    </cfRule>
  </conditionalFormatting>
  <conditionalFormatting sqref="M38 F38:J38 Q38 AJ38:AK38 AF38:AH38 Y38">
    <cfRule type="expression" dxfId="3130" priority="3063">
      <formula>$E$7&lt;&gt;"Yes"</formula>
    </cfRule>
  </conditionalFormatting>
  <conditionalFormatting sqref="M38 F38:J38 Q38 AJ38:AK38 AF38:AH38 Y38">
    <cfRule type="expression" dxfId="3129" priority="3062">
      <formula>$E38&lt;&gt;"Yes"</formula>
    </cfRule>
  </conditionalFormatting>
  <conditionalFormatting sqref="G38">
    <cfRule type="expression" dxfId="3128" priority="3061">
      <formula>$E$7&lt;&gt;"Yes"</formula>
    </cfRule>
  </conditionalFormatting>
  <conditionalFormatting sqref="K38:L38">
    <cfRule type="expression" dxfId="3127" priority="3060">
      <formula>$E$7&lt;&gt;"Yes"</formula>
    </cfRule>
  </conditionalFormatting>
  <conditionalFormatting sqref="K38:L38">
    <cfRule type="expression" dxfId="3126" priority="3059">
      <formula>$E38&lt;&gt;"Yes"</formula>
    </cfRule>
  </conditionalFormatting>
  <conditionalFormatting sqref="W38">
    <cfRule type="expression" dxfId="3125" priority="3058">
      <formula>$E$7&lt;&gt;"Yes"</formula>
    </cfRule>
  </conditionalFormatting>
  <conditionalFormatting sqref="W38">
    <cfRule type="expression" dxfId="3124" priority="3057">
      <formula>$E38&lt;&gt;"Yes"</formula>
    </cfRule>
  </conditionalFormatting>
  <conditionalFormatting sqref="AE38">
    <cfRule type="expression" dxfId="3123" priority="3056">
      <formula>$E$7&lt;&gt;"Yes"</formula>
    </cfRule>
  </conditionalFormatting>
  <conditionalFormatting sqref="AE38">
    <cfRule type="expression" dxfId="3122" priority="3055">
      <formula>$E38&lt;&gt;"Yes"</formula>
    </cfRule>
  </conditionalFormatting>
  <conditionalFormatting sqref="N38">
    <cfRule type="expression" dxfId="3121" priority="3054">
      <formula>$E$7&lt;&gt;"Yes"</formula>
    </cfRule>
  </conditionalFormatting>
  <conditionalFormatting sqref="N38">
    <cfRule type="expression" dxfId="3120" priority="3053">
      <formula>$E38&lt;&gt;"Yes"</formula>
    </cfRule>
  </conditionalFormatting>
  <conditionalFormatting sqref="AB38">
    <cfRule type="expression" dxfId="3119" priority="3052">
      <formula>$E$7&lt;&gt;"Yes"</formula>
    </cfRule>
  </conditionalFormatting>
  <conditionalFormatting sqref="AB38">
    <cfRule type="expression" dxfId="3118" priority="3051">
      <formula>$E38&lt;&gt;"Yes"</formula>
    </cfRule>
  </conditionalFormatting>
  <conditionalFormatting sqref="AA38">
    <cfRule type="expression" dxfId="3117" priority="3050">
      <formula>$E$7&lt;&gt;"Yes"</formula>
    </cfRule>
  </conditionalFormatting>
  <conditionalFormatting sqref="AA38">
    <cfRule type="expression" dxfId="3116" priority="3049">
      <formula>$E38&lt;&gt;"Yes"</formula>
    </cfRule>
  </conditionalFormatting>
  <conditionalFormatting sqref="Y38">
    <cfRule type="expression" dxfId="3115" priority="3048">
      <formula>$E$7&lt;&gt;"Yes"</formula>
    </cfRule>
  </conditionalFormatting>
  <conditionalFormatting sqref="Y38">
    <cfRule type="expression" dxfId="3114" priority="3047">
      <formula>$E38&lt;&gt;"Yes"</formula>
    </cfRule>
  </conditionalFormatting>
  <conditionalFormatting sqref="O38:P38">
    <cfRule type="expression" dxfId="3113" priority="3046">
      <formula>$E$7&lt;&gt;"Yes"</formula>
    </cfRule>
  </conditionalFormatting>
  <conditionalFormatting sqref="O38:P38">
    <cfRule type="expression" dxfId="3112" priority="3045">
      <formula>$E38&lt;&gt;"Yes"</formula>
    </cfRule>
  </conditionalFormatting>
  <conditionalFormatting sqref="X38">
    <cfRule type="expression" dxfId="3111" priority="3044">
      <formula>$E$7&lt;&gt;"Yes"</formula>
    </cfRule>
  </conditionalFormatting>
  <conditionalFormatting sqref="X38">
    <cfRule type="expression" dxfId="3110" priority="3043">
      <formula>$E38&lt;&gt;"Yes"</formula>
    </cfRule>
  </conditionalFormatting>
  <conditionalFormatting sqref="AD38">
    <cfRule type="expression" dxfId="3109" priority="3042">
      <formula>$E$7&lt;&gt;"Yes"</formula>
    </cfRule>
  </conditionalFormatting>
  <conditionalFormatting sqref="AD38">
    <cfRule type="expression" dxfId="3108" priority="3041">
      <formula>$E38&lt;&gt;"Yes"</formula>
    </cfRule>
  </conditionalFormatting>
  <conditionalFormatting sqref="AC38">
    <cfRule type="expression" dxfId="3107" priority="3040">
      <formula>$E$7&lt;&gt;"Yes"</formula>
    </cfRule>
  </conditionalFormatting>
  <conditionalFormatting sqref="AC38">
    <cfRule type="expression" dxfId="3106" priority="3039">
      <formula>$E38&lt;&gt;"Yes"</formula>
    </cfRule>
  </conditionalFormatting>
  <conditionalFormatting sqref="R38:V38">
    <cfRule type="expression" dxfId="3105" priority="3038">
      <formula>$E$7&lt;&gt;"Yes"</formula>
    </cfRule>
  </conditionalFormatting>
  <conditionalFormatting sqref="R38:V38">
    <cfRule type="expression" dxfId="3104" priority="3037">
      <formula>$E38&lt;&gt;"Yes"</formula>
    </cfRule>
  </conditionalFormatting>
  <conditionalFormatting sqref="S38">
    <cfRule type="expression" dxfId="3103" priority="3036">
      <formula>$E$7&lt;&gt;"Yes"</formula>
    </cfRule>
  </conditionalFormatting>
  <conditionalFormatting sqref="S38">
    <cfRule type="expression" dxfId="3102" priority="3035">
      <formula>$E38&lt;&gt;"Yes"</formula>
    </cfRule>
  </conditionalFormatting>
  <conditionalFormatting sqref="T38">
    <cfRule type="expression" dxfId="3101" priority="3034">
      <formula>$E$7&lt;&gt;"Yes"</formula>
    </cfRule>
  </conditionalFormatting>
  <conditionalFormatting sqref="T38">
    <cfRule type="expression" dxfId="3100" priority="3033">
      <formula>$E38&lt;&gt;"Yes"</formula>
    </cfRule>
  </conditionalFormatting>
  <conditionalFormatting sqref="U38">
    <cfRule type="expression" dxfId="3099" priority="3032">
      <formula>$E$7&lt;&gt;"Yes"</formula>
    </cfRule>
  </conditionalFormatting>
  <conditionalFormatting sqref="U38">
    <cfRule type="expression" dxfId="3098" priority="3031">
      <formula>$E38&lt;&gt;"Yes"</formula>
    </cfRule>
  </conditionalFormatting>
  <conditionalFormatting sqref="V38">
    <cfRule type="expression" dxfId="3097" priority="3030">
      <formula>$E$7&lt;&gt;"Yes"</formula>
    </cfRule>
  </conditionalFormatting>
  <conditionalFormatting sqref="V38">
    <cfRule type="expression" dxfId="3096" priority="3029">
      <formula>$E38&lt;&gt;"Yes"</formula>
    </cfRule>
  </conditionalFormatting>
  <conditionalFormatting sqref="R38:V38">
    <cfRule type="expression" dxfId="3095" priority="3028">
      <formula>$E$7&lt;&gt;"Yes"</formula>
    </cfRule>
  </conditionalFormatting>
  <conditionalFormatting sqref="R38:V38">
    <cfRule type="expression" dxfId="3094" priority="3027">
      <formula>$E38&lt;&gt;"Yes"</formula>
    </cfRule>
  </conditionalFormatting>
  <conditionalFormatting sqref="Z38">
    <cfRule type="expression" dxfId="3093" priority="3026">
      <formula>$E$7&lt;&gt;"Yes"</formula>
    </cfRule>
  </conditionalFormatting>
  <conditionalFormatting sqref="Z38">
    <cfRule type="expression" dxfId="3092" priority="3025">
      <formula>$E38&lt;&gt;"Yes"</formula>
    </cfRule>
  </conditionalFormatting>
  <conditionalFormatting sqref="AN38:AO38">
    <cfRule type="expression" dxfId="3091" priority="3024">
      <formula>$E$7&lt;&gt;"Yes"</formula>
    </cfRule>
  </conditionalFormatting>
  <conditionalFormatting sqref="AN38:AO38">
    <cfRule type="expression" dxfId="3090" priority="3023">
      <formula>$E38&lt;&gt;"Yes"</formula>
    </cfRule>
  </conditionalFormatting>
  <conditionalFormatting sqref="AI38">
    <cfRule type="expression" dxfId="3089" priority="3022">
      <formula>$E$7&lt;&gt;"Yes"</formula>
    </cfRule>
  </conditionalFormatting>
  <conditionalFormatting sqref="AI38">
    <cfRule type="expression" dxfId="3088" priority="3021">
      <formula>$E38&lt;&gt;"Yes"</formula>
    </cfRule>
  </conditionalFormatting>
  <conditionalFormatting sqref="M39 F39:J39 Q39 AJ39:AK39 AF39:AH39 Y39">
    <cfRule type="expression" dxfId="3087" priority="3020">
      <formula>$E$7&lt;&gt;"Yes"</formula>
    </cfRule>
  </conditionalFormatting>
  <conditionalFormatting sqref="M39 F39:J39 Q39 AJ39:AK39 AF39:AH39 Y39">
    <cfRule type="expression" dxfId="3086" priority="3019">
      <formula>$E39&lt;&gt;"Yes"</formula>
    </cfRule>
  </conditionalFormatting>
  <conditionalFormatting sqref="G39">
    <cfRule type="expression" dxfId="3085" priority="3018">
      <formula>$E$7&lt;&gt;"Yes"</formula>
    </cfRule>
  </conditionalFormatting>
  <conditionalFormatting sqref="K39:L39">
    <cfRule type="expression" dxfId="3084" priority="3017">
      <formula>$E$7&lt;&gt;"Yes"</formula>
    </cfRule>
  </conditionalFormatting>
  <conditionalFormatting sqref="K39:L39">
    <cfRule type="expression" dxfId="3083" priority="3016">
      <formula>$E39&lt;&gt;"Yes"</formula>
    </cfRule>
  </conditionalFormatting>
  <conditionalFormatting sqref="W39">
    <cfRule type="expression" dxfId="3082" priority="3015">
      <formula>$E$7&lt;&gt;"Yes"</formula>
    </cfRule>
  </conditionalFormatting>
  <conditionalFormatting sqref="W39">
    <cfRule type="expression" dxfId="3081" priority="3014">
      <formula>$E39&lt;&gt;"Yes"</formula>
    </cfRule>
  </conditionalFormatting>
  <conditionalFormatting sqref="AE39">
    <cfRule type="expression" dxfId="3080" priority="3013">
      <formula>$E$7&lt;&gt;"Yes"</formula>
    </cfRule>
  </conditionalFormatting>
  <conditionalFormatting sqref="AE39">
    <cfRule type="expression" dxfId="3079" priority="3012">
      <formula>$E39&lt;&gt;"Yes"</formula>
    </cfRule>
  </conditionalFormatting>
  <conditionalFormatting sqref="N39">
    <cfRule type="expression" dxfId="3078" priority="3011">
      <formula>$E$7&lt;&gt;"Yes"</formula>
    </cfRule>
  </conditionalFormatting>
  <conditionalFormatting sqref="N39">
    <cfRule type="expression" dxfId="3077" priority="3010">
      <formula>$E39&lt;&gt;"Yes"</formula>
    </cfRule>
  </conditionalFormatting>
  <conditionalFormatting sqref="AB39">
    <cfRule type="expression" dxfId="3076" priority="3009">
      <formula>$E$7&lt;&gt;"Yes"</formula>
    </cfRule>
  </conditionalFormatting>
  <conditionalFormatting sqref="AB39">
    <cfRule type="expression" dxfId="3075" priority="3008">
      <formula>$E39&lt;&gt;"Yes"</formula>
    </cfRule>
  </conditionalFormatting>
  <conditionalFormatting sqref="AA39">
    <cfRule type="expression" dxfId="3074" priority="3007">
      <formula>$E$7&lt;&gt;"Yes"</formula>
    </cfRule>
  </conditionalFormatting>
  <conditionalFormatting sqref="AA39">
    <cfRule type="expression" dxfId="3073" priority="3006">
      <formula>$E39&lt;&gt;"Yes"</formula>
    </cfRule>
  </conditionalFormatting>
  <conditionalFormatting sqref="Y39">
    <cfRule type="expression" dxfId="3072" priority="3005">
      <formula>$E$7&lt;&gt;"Yes"</formula>
    </cfRule>
  </conditionalFormatting>
  <conditionalFormatting sqref="Y39">
    <cfRule type="expression" dxfId="3071" priority="3004">
      <formula>$E39&lt;&gt;"Yes"</formula>
    </cfRule>
  </conditionalFormatting>
  <conditionalFormatting sqref="O39:P39">
    <cfRule type="expression" dxfId="3070" priority="3003">
      <formula>$E$7&lt;&gt;"Yes"</formula>
    </cfRule>
  </conditionalFormatting>
  <conditionalFormatting sqref="O39:P39">
    <cfRule type="expression" dxfId="3069" priority="3002">
      <formula>$E39&lt;&gt;"Yes"</formula>
    </cfRule>
  </conditionalFormatting>
  <conditionalFormatting sqref="X39">
    <cfRule type="expression" dxfId="3068" priority="3001">
      <formula>$E$7&lt;&gt;"Yes"</formula>
    </cfRule>
  </conditionalFormatting>
  <conditionalFormatting sqref="X39">
    <cfRule type="expression" dxfId="3067" priority="3000">
      <formula>$E39&lt;&gt;"Yes"</formula>
    </cfRule>
  </conditionalFormatting>
  <conditionalFormatting sqref="AD39">
    <cfRule type="expression" dxfId="3066" priority="2999">
      <formula>$E$7&lt;&gt;"Yes"</formula>
    </cfRule>
  </conditionalFormatting>
  <conditionalFormatting sqref="AD39">
    <cfRule type="expression" dxfId="3065" priority="2998">
      <formula>$E39&lt;&gt;"Yes"</formula>
    </cfRule>
  </conditionalFormatting>
  <conditionalFormatting sqref="AC39">
    <cfRule type="expression" dxfId="3064" priority="2997">
      <formula>$E$7&lt;&gt;"Yes"</formula>
    </cfRule>
  </conditionalFormatting>
  <conditionalFormatting sqref="AC39">
    <cfRule type="expression" dxfId="3063" priority="2996">
      <formula>$E39&lt;&gt;"Yes"</formula>
    </cfRule>
  </conditionalFormatting>
  <conditionalFormatting sqref="R39:V39">
    <cfRule type="expression" dxfId="3062" priority="2995">
      <formula>$E$7&lt;&gt;"Yes"</formula>
    </cfRule>
  </conditionalFormatting>
  <conditionalFormatting sqref="R39:V39">
    <cfRule type="expression" dxfId="3061" priority="2994">
      <formula>$E39&lt;&gt;"Yes"</formula>
    </cfRule>
  </conditionalFormatting>
  <conditionalFormatting sqref="S39">
    <cfRule type="expression" dxfId="3060" priority="2993">
      <formula>$E$7&lt;&gt;"Yes"</formula>
    </cfRule>
  </conditionalFormatting>
  <conditionalFormatting sqref="S39">
    <cfRule type="expression" dxfId="3059" priority="2992">
      <formula>$E39&lt;&gt;"Yes"</formula>
    </cfRule>
  </conditionalFormatting>
  <conditionalFormatting sqref="T39">
    <cfRule type="expression" dxfId="3058" priority="2991">
      <formula>$E$7&lt;&gt;"Yes"</formula>
    </cfRule>
  </conditionalFormatting>
  <conditionalFormatting sqref="T39">
    <cfRule type="expression" dxfId="3057" priority="2990">
      <formula>$E39&lt;&gt;"Yes"</formula>
    </cfRule>
  </conditionalFormatting>
  <conditionalFormatting sqref="U39">
    <cfRule type="expression" dxfId="3056" priority="2989">
      <formula>$E$7&lt;&gt;"Yes"</formula>
    </cfRule>
  </conditionalFormatting>
  <conditionalFormatting sqref="U39">
    <cfRule type="expression" dxfId="3055" priority="2988">
      <formula>$E39&lt;&gt;"Yes"</formula>
    </cfRule>
  </conditionalFormatting>
  <conditionalFormatting sqref="V39">
    <cfRule type="expression" dxfId="3054" priority="2987">
      <formula>$E$7&lt;&gt;"Yes"</formula>
    </cfRule>
  </conditionalFormatting>
  <conditionalFormatting sqref="V39">
    <cfRule type="expression" dxfId="3053" priority="2986">
      <formula>$E39&lt;&gt;"Yes"</formula>
    </cfRule>
  </conditionalFormatting>
  <conditionalFormatting sqref="R39:V39">
    <cfRule type="expression" dxfId="3052" priority="2985">
      <formula>$E$7&lt;&gt;"Yes"</formula>
    </cfRule>
  </conditionalFormatting>
  <conditionalFormatting sqref="R39:V39">
    <cfRule type="expression" dxfId="3051" priority="2984">
      <formula>$E39&lt;&gt;"Yes"</formula>
    </cfRule>
  </conditionalFormatting>
  <conditionalFormatting sqref="Z39">
    <cfRule type="expression" dxfId="3050" priority="2983">
      <formula>$E$7&lt;&gt;"Yes"</formula>
    </cfRule>
  </conditionalFormatting>
  <conditionalFormatting sqref="Z39">
    <cfRule type="expression" dxfId="3049" priority="2982">
      <formula>$E39&lt;&gt;"Yes"</formula>
    </cfRule>
  </conditionalFormatting>
  <conditionalFormatting sqref="AN39:AO39">
    <cfRule type="expression" dxfId="3048" priority="2981">
      <formula>$E$7&lt;&gt;"Yes"</formula>
    </cfRule>
  </conditionalFormatting>
  <conditionalFormatting sqref="AN39:AO39">
    <cfRule type="expression" dxfId="3047" priority="2980">
      <formula>$E39&lt;&gt;"Yes"</formula>
    </cfRule>
  </conditionalFormatting>
  <conditionalFormatting sqref="AI39">
    <cfRule type="expression" dxfId="3046" priority="2979">
      <formula>$E$7&lt;&gt;"Yes"</formula>
    </cfRule>
  </conditionalFormatting>
  <conditionalFormatting sqref="AI39">
    <cfRule type="expression" dxfId="3045" priority="2978">
      <formula>$E39&lt;&gt;"Yes"</formula>
    </cfRule>
  </conditionalFormatting>
  <conditionalFormatting sqref="M216 F216:J216 Q216 AJ216:AK216 AF216:AH216 Y216">
    <cfRule type="expression" dxfId="3044" priority="2977">
      <formula>$E$7&lt;&gt;"Yes"</formula>
    </cfRule>
  </conditionalFormatting>
  <conditionalFormatting sqref="M216 F216:J216 Q216 AJ216:AK216 AF216:AH216 Y216">
    <cfRule type="expression" dxfId="3043" priority="2976">
      <formula>$E216&lt;&gt;"Yes"</formula>
    </cfRule>
  </conditionalFormatting>
  <conditionalFormatting sqref="G216">
    <cfRule type="expression" dxfId="3042" priority="2975">
      <formula>$E$7&lt;&gt;"Yes"</formula>
    </cfRule>
  </conditionalFormatting>
  <conditionalFormatting sqref="K216:L216">
    <cfRule type="expression" dxfId="3041" priority="2974">
      <formula>$E$7&lt;&gt;"Yes"</formula>
    </cfRule>
  </conditionalFormatting>
  <conditionalFormatting sqref="K216:L216">
    <cfRule type="expression" dxfId="3040" priority="2973">
      <formula>$E216&lt;&gt;"Yes"</formula>
    </cfRule>
  </conditionalFormatting>
  <conditionalFormatting sqref="W216">
    <cfRule type="expression" dxfId="3039" priority="2972">
      <formula>$E$7&lt;&gt;"Yes"</formula>
    </cfRule>
  </conditionalFormatting>
  <conditionalFormatting sqref="W216">
    <cfRule type="expression" dxfId="3038" priority="2971">
      <formula>$E216&lt;&gt;"Yes"</formula>
    </cfRule>
  </conditionalFormatting>
  <conditionalFormatting sqref="AE216">
    <cfRule type="expression" dxfId="3037" priority="2970">
      <formula>$E$7&lt;&gt;"Yes"</formula>
    </cfRule>
  </conditionalFormatting>
  <conditionalFormatting sqref="AE216">
    <cfRule type="expression" dxfId="3036" priority="2969">
      <formula>$E216&lt;&gt;"Yes"</formula>
    </cfRule>
  </conditionalFormatting>
  <conditionalFormatting sqref="N216">
    <cfRule type="expression" dxfId="3035" priority="2968">
      <formula>$E$7&lt;&gt;"Yes"</formula>
    </cfRule>
  </conditionalFormatting>
  <conditionalFormatting sqref="N216">
    <cfRule type="expression" dxfId="3034" priority="2967">
      <formula>$E216&lt;&gt;"Yes"</formula>
    </cfRule>
  </conditionalFormatting>
  <conditionalFormatting sqref="AB216">
    <cfRule type="expression" dxfId="3033" priority="2966">
      <formula>$E$7&lt;&gt;"Yes"</formula>
    </cfRule>
  </conditionalFormatting>
  <conditionalFormatting sqref="AB216">
    <cfRule type="expression" dxfId="3032" priority="2965">
      <formula>$E216&lt;&gt;"Yes"</formula>
    </cfRule>
  </conditionalFormatting>
  <conditionalFormatting sqref="AA216">
    <cfRule type="expression" dxfId="3031" priority="2964">
      <formula>$E$7&lt;&gt;"Yes"</formula>
    </cfRule>
  </conditionalFormatting>
  <conditionalFormatting sqref="AA216">
    <cfRule type="expression" dxfId="3030" priority="2963">
      <formula>$E216&lt;&gt;"Yes"</formula>
    </cfRule>
  </conditionalFormatting>
  <conditionalFormatting sqref="Y216">
    <cfRule type="expression" dxfId="3029" priority="2962">
      <formula>$E$7&lt;&gt;"Yes"</formula>
    </cfRule>
  </conditionalFormatting>
  <conditionalFormatting sqref="Y216">
    <cfRule type="expression" dxfId="3028" priority="2961">
      <formula>$E216&lt;&gt;"Yes"</formula>
    </cfRule>
  </conditionalFormatting>
  <conditionalFormatting sqref="O216:P216">
    <cfRule type="expression" dxfId="3027" priority="2960">
      <formula>$E$7&lt;&gt;"Yes"</formula>
    </cfRule>
  </conditionalFormatting>
  <conditionalFormatting sqref="O216:P216">
    <cfRule type="expression" dxfId="3026" priority="2959">
      <formula>$E216&lt;&gt;"Yes"</formula>
    </cfRule>
  </conditionalFormatting>
  <conditionalFormatting sqref="X216">
    <cfRule type="expression" dxfId="3025" priority="2958">
      <formula>$E$7&lt;&gt;"Yes"</formula>
    </cfRule>
  </conditionalFormatting>
  <conditionalFormatting sqref="X216">
    <cfRule type="expression" dxfId="3024" priority="2957">
      <formula>$E216&lt;&gt;"Yes"</formula>
    </cfRule>
  </conditionalFormatting>
  <conditionalFormatting sqref="AD216">
    <cfRule type="expression" dxfId="3023" priority="2956">
      <formula>$E$7&lt;&gt;"Yes"</formula>
    </cfRule>
  </conditionalFormatting>
  <conditionalFormatting sqref="AD216">
    <cfRule type="expression" dxfId="3022" priority="2955">
      <formula>$E216&lt;&gt;"Yes"</formula>
    </cfRule>
  </conditionalFormatting>
  <conditionalFormatting sqref="AC216">
    <cfRule type="expression" dxfId="3021" priority="2954">
      <formula>$E$7&lt;&gt;"Yes"</formula>
    </cfRule>
  </conditionalFormatting>
  <conditionalFormatting sqref="AC216">
    <cfRule type="expression" dxfId="3020" priority="2953">
      <formula>$E216&lt;&gt;"Yes"</formula>
    </cfRule>
  </conditionalFormatting>
  <conditionalFormatting sqref="R216:V216">
    <cfRule type="expression" dxfId="3019" priority="2952">
      <formula>$E$7&lt;&gt;"Yes"</formula>
    </cfRule>
  </conditionalFormatting>
  <conditionalFormatting sqref="R216:V216">
    <cfRule type="expression" dxfId="3018" priority="2951">
      <formula>$E216&lt;&gt;"Yes"</formula>
    </cfRule>
  </conditionalFormatting>
  <conditionalFormatting sqref="S216">
    <cfRule type="expression" dxfId="3017" priority="2950">
      <formula>$E$7&lt;&gt;"Yes"</formula>
    </cfRule>
  </conditionalFormatting>
  <conditionalFormatting sqref="S216">
    <cfRule type="expression" dxfId="3016" priority="2949">
      <formula>$E216&lt;&gt;"Yes"</formula>
    </cfRule>
  </conditionalFormatting>
  <conditionalFormatting sqref="T216">
    <cfRule type="expression" dxfId="3015" priority="2948">
      <formula>$E$7&lt;&gt;"Yes"</formula>
    </cfRule>
  </conditionalFormatting>
  <conditionalFormatting sqref="T216">
    <cfRule type="expression" dxfId="3014" priority="2947">
      <formula>$E216&lt;&gt;"Yes"</formula>
    </cfRule>
  </conditionalFormatting>
  <conditionalFormatting sqref="U216">
    <cfRule type="expression" dxfId="3013" priority="2946">
      <formula>$E$7&lt;&gt;"Yes"</formula>
    </cfRule>
  </conditionalFormatting>
  <conditionalFormatting sqref="U216">
    <cfRule type="expression" dxfId="3012" priority="2945">
      <formula>$E216&lt;&gt;"Yes"</formula>
    </cfRule>
  </conditionalFormatting>
  <conditionalFormatting sqref="V216">
    <cfRule type="expression" dxfId="3011" priority="2944">
      <formula>$E$7&lt;&gt;"Yes"</formula>
    </cfRule>
  </conditionalFormatting>
  <conditionalFormatting sqref="V216">
    <cfRule type="expression" dxfId="3010" priority="2943">
      <formula>$E216&lt;&gt;"Yes"</formula>
    </cfRule>
  </conditionalFormatting>
  <conditionalFormatting sqref="R216:V216">
    <cfRule type="expression" dxfId="3009" priority="2942">
      <formula>$E$7&lt;&gt;"Yes"</formula>
    </cfRule>
  </conditionalFormatting>
  <conditionalFormatting sqref="R216:V216">
    <cfRule type="expression" dxfId="3008" priority="2941">
      <formula>$E216&lt;&gt;"Yes"</formula>
    </cfRule>
  </conditionalFormatting>
  <conditionalFormatting sqref="Z216">
    <cfRule type="expression" dxfId="3007" priority="2940">
      <formula>$E$7&lt;&gt;"Yes"</formula>
    </cfRule>
  </conditionalFormatting>
  <conditionalFormatting sqref="Z216">
    <cfRule type="expression" dxfId="3006" priority="2939">
      <formula>$E216&lt;&gt;"Yes"</formula>
    </cfRule>
  </conditionalFormatting>
  <conditionalFormatting sqref="AN216:AO216">
    <cfRule type="expression" dxfId="3005" priority="2938">
      <formula>$E$7&lt;&gt;"Yes"</formula>
    </cfRule>
  </conditionalFormatting>
  <conditionalFormatting sqref="AN216:AO216">
    <cfRule type="expression" dxfId="3004" priority="2937">
      <formula>$E216&lt;&gt;"Yes"</formula>
    </cfRule>
  </conditionalFormatting>
  <conditionalFormatting sqref="AI216">
    <cfRule type="expression" dxfId="3003" priority="2936">
      <formula>$E$7&lt;&gt;"Yes"</formula>
    </cfRule>
  </conditionalFormatting>
  <conditionalFormatting sqref="AI216">
    <cfRule type="expression" dxfId="3002" priority="2935">
      <formula>$E216&lt;&gt;"Yes"</formula>
    </cfRule>
  </conditionalFormatting>
  <conditionalFormatting sqref="M224 F224:J224 Q224 AJ224:AK224 AF224:AH224 Y224">
    <cfRule type="expression" dxfId="3001" priority="2934">
      <formula>$E$7&lt;&gt;"Yes"</formula>
    </cfRule>
  </conditionalFormatting>
  <conditionalFormatting sqref="M224 F224:J224 Q224 AJ224:AK224 AF224:AH224 Y224">
    <cfRule type="expression" dxfId="3000" priority="2933">
      <formula>$E224&lt;&gt;"Yes"</formula>
    </cfRule>
  </conditionalFormatting>
  <conditionalFormatting sqref="G224">
    <cfRule type="expression" dxfId="2999" priority="2932">
      <formula>$E$7&lt;&gt;"Yes"</formula>
    </cfRule>
  </conditionalFormatting>
  <conditionalFormatting sqref="K224:L224">
    <cfRule type="expression" dxfId="2998" priority="2931">
      <formula>$E$7&lt;&gt;"Yes"</formula>
    </cfRule>
  </conditionalFormatting>
  <conditionalFormatting sqref="K224:L224">
    <cfRule type="expression" dxfId="2997" priority="2930">
      <formula>$E224&lt;&gt;"Yes"</formula>
    </cfRule>
  </conditionalFormatting>
  <conditionalFormatting sqref="W224">
    <cfRule type="expression" dxfId="2996" priority="2929">
      <formula>$E$7&lt;&gt;"Yes"</formula>
    </cfRule>
  </conditionalFormatting>
  <conditionalFormatting sqref="W224">
    <cfRule type="expression" dxfId="2995" priority="2928">
      <formula>$E224&lt;&gt;"Yes"</formula>
    </cfRule>
  </conditionalFormatting>
  <conditionalFormatting sqref="AE224">
    <cfRule type="expression" dxfId="2994" priority="2927">
      <formula>$E$7&lt;&gt;"Yes"</formula>
    </cfRule>
  </conditionalFormatting>
  <conditionalFormatting sqref="AE224">
    <cfRule type="expression" dxfId="2993" priority="2926">
      <formula>$E224&lt;&gt;"Yes"</formula>
    </cfRule>
  </conditionalFormatting>
  <conditionalFormatting sqref="N224">
    <cfRule type="expression" dxfId="2992" priority="2925">
      <formula>$E$7&lt;&gt;"Yes"</formula>
    </cfRule>
  </conditionalFormatting>
  <conditionalFormatting sqref="N224">
    <cfRule type="expression" dxfId="2991" priority="2924">
      <formula>$E224&lt;&gt;"Yes"</formula>
    </cfRule>
  </conditionalFormatting>
  <conditionalFormatting sqref="AB224">
    <cfRule type="expression" dxfId="2990" priority="2923">
      <formula>$E$7&lt;&gt;"Yes"</formula>
    </cfRule>
  </conditionalFormatting>
  <conditionalFormatting sqref="AB224">
    <cfRule type="expression" dxfId="2989" priority="2922">
      <formula>$E224&lt;&gt;"Yes"</formula>
    </cfRule>
  </conditionalFormatting>
  <conditionalFormatting sqref="AA224">
    <cfRule type="expression" dxfId="2988" priority="2921">
      <formula>$E$7&lt;&gt;"Yes"</formula>
    </cfRule>
  </conditionalFormatting>
  <conditionalFormatting sqref="AA224">
    <cfRule type="expression" dxfId="2987" priority="2920">
      <formula>$E224&lt;&gt;"Yes"</formula>
    </cfRule>
  </conditionalFormatting>
  <conditionalFormatting sqref="Y224">
    <cfRule type="expression" dxfId="2986" priority="2919">
      <formula>$E$7&lt;&gt;"Yes"</formula>
    </cfRule>
  </conditionalFormatting>
  <conditionalFormatting sqref="Y224">
    <cfRule type="expression" dxfId="2985" priority="2918">
      <formula>$E224&lt;&gt;"Yes"</formula>
    </cfRule>
  </conditionalFormatting>
  <conditionalFormatting sqref="O224:P224">
    <cfRule type="expression" dxfId="2984" priority="2917">
      <formula>$E$7&lt;&gt;"Yes"</formula>
    </cfRule>
  </conditionalFormatting>
  <conditionalFormatting sqref="O224:P224">
    <cfRule type="expression" dxfId="2983" priority="2916">
      <formula>$E224&lt;&gt;"Yes"</formula>
    </cfRule>
  </conditionalFormatting>
  <conditionalFormatting sqref="X224">
    <cfRule type="expression" dxfId="2982" priority="2915">
      <formula>$E$7&lt;&gt;"Yes"</formula>
    </cfRule>
  </conditionalFormatting>
  <conditionalFormatting sqref="X224">
    <cfRule type="expression" dxfId="2981" priority="2914">
      <formula>$E224&lt;&gt;"Yes"</formula>
    </cfRule>
  </conditionalFormatting>
  <conditionalFormatting sqref="AD224">
    <cfRule type="expression" dxfId="2980" priority="2913">
      <formula>$E$7&lt;&gt;"Yes"</formula>
    </cfRule>
  </conditionalFormatting>
  <conditionalFormatting sqref="AD224">
    <cfRule type="expression" dxfId="2979" priority="2912">
      <formula>$E224&lt;&gt;"Yes"</formula>
    </cfRule>
  </conditionalFormatting>
  <conditionalFormatting sqref="AC224">
    <cfRule type="expression" dxfId="2978" priority="2911">
      <formula>$E$7&lt;&gt;"Yes"</formula>
    </cfRule>
  </conditionalFormatting>
  <conditionalFormatting sqref="AC224">
    <cfRule type="expression" dxfId="2977" priority="2910">
      <formula>$E224&lt;&gt;"Yes"</formula>
    </cfRule>
  </conditionalFormatting>
  <conditionalFormatting sqref="R224:V224">
    <cfRule type="expression" dxfId="2976" priority="2909">
      <formula>$E$7&lt;&gt;"Yes"</formula>
    </cfRule>
  </conditionalFormatting>
  <conditionalFormatting sqref="R224:V224">
    <cfRule type="expression" dxfId="2975" priority="2908">
      <formula>$E224&lt;&gt;"Yes"</formula>
    </cfRule>
  </conditionalFormatting>
  <conditionalFormatting sqref="S224">
    <cfRule type="expression" dxfId="2974" priority="2907">
      <formula>$E$7&lt;&gt;"Yes"</formula>
    </cfRule>
  </conditionalFormatting>
  <conditionalFormatting sqref="S224">
    <cfRule type="expression" dxfId="2973" priority="2906">
      <formula>$E224&lt;&gt;"Yes"</formula>
    </cfRule>
  </conditionalFormatting>
  <conditionalFormatting sqref="T224">
    <cfRule type="expression" dxfId="2972" priority="2905">
      <formula>$E$7&lt;&gt;"Yes"</formula>
    </cfRule>
  </conditionalFormatting>
  <conditionalFormatting sqref="T224">
    <cfRule type="expression" dxfId="2971" priority="2904">
      <formula>$E224&lt;&gt;"Yes"</formula>
    </cfRule>
  </conditionalFormatting>
  <conditionalFormatting sqref="U224">
    <cfRule type="expression" dxfId="2970" priority="2903">
      <formula>$E$7&lt;&gt;"Yes"</formula>
    </cfRule>
  </conditionalFormatting>
  <conditionalFormatting sqref="U224">
    <cfRule type="expression" dxfId="2969" priority="2902">
      <formula>$E224&lt;&gt;"Yes"</formula>
    </cfRule>
  </conditionalFormatting>
  <conditionalFormatting sqref="V224">
    <cfRule type="expression" dxfId="2968" priority="2901">
      <formula>$E$7&lt;&gt;"Yes"</formula>
    </cfRule>
  </conditionalFormatting>
  <conditionalFormatting sqref="V224">
    <cfRule type="expression" dxfId="2967" priority="2900">
      <formula>$E224&lt;&gt;"Yes"</formula>
    </cfRule>
  </conditionalFormatting>
  <conditionalFormatting sqref="R224:V224">
    <cfRule type="expression" dxfId="2966" priority="2899">
      <formula>$E$7&lt;&gt;"Yes"</formula>
    </cfRule>
  </conditionalFormatting>
  <conditionalFormatting sqref="R224:V224">
    <cfRule type="expression" dxfId="2965" priority="2898">
      <formula>$E224&lt;&gt;"Yes"</formula>
    </cfRule>
  </conditionalFormatting>
  <conditionalFormatting sqref="Z224">
    <cfRule type="expression" dxfId="2964" priority="2897">
      <formula>$E$7&lt;&gt;"Yes"</formula>
    </cfRule>
  </conditionalFormatting>
  <conditionalFormatting sqref="Z224">
    <cfRule type="expression" dxfId="2963" priority="2896">
      <formula>$E224&lt;&gt;"Yes"</formula>
    </cfRule>
  </conditionalFormatting>
  <conditionalFormatting sqref="AN224:AO224">
    <cfRule type="expression" dxfId="2962" priority="2895">
      <formula>$E$7&lt;&gt;"Yes"</formula>
    </cfRule>
  </conditionalFormatting>
  <conditionalFormatting sqref="AN224:AO224">
    <cfRule type="expression" dxfId="2961" priority="2894">
      <formula>$E224&lt;&gt;"Yes"</formula>
    </cfRule>
  </conditionalFormatting>
  <conditionalFormatting sqref="AI224">
    <cfRule type="expression" dxfId="2960" priority="2893">
      <formula>$E$7&lt;&gt;"Yes"</formula>
    </cfRule>
  </conditionalFormatting>
  <conditionalFormatting sqref="AI224">
    <cfRule type="expression" dxfId="2959" priority="2892">
      <formula>$E224&lt;&gt;"Yes"</formula>
    </cfRule>
  </conditionalFormatting>
  <conditionalFormatting sqref="M225 F225:J225 Q225 AJ225:AK225 AF225:AH225 Y225">
    <cfRule type="expression" dxfId="2958" priority="2891">
      <formula>$E$7&lt;&gt;"Yes"</formula>
    </cfRule>
  </conditionalFormatting>
  <conditionalFormatting sqref="M225 F225:J225 Q225 AJ225:AK225 AF225:AH225 Y225">
    <cfRule type="expression" dxfId="2957" priority="2890">
      <formula>$E225&lt;&gt;"Yes"</formula>
    </cfRule>
  </conditionalFormatting>
  <conditionalFormatting sqref="G225">
    <cfRule type="expression" dxfId="2956" priority="2889">
      <formula>$E$7&lt;&gt;"Yes"</formula>
    </cfRule>
  </conditionalFormatting>
  <conditionalFormatting sqref="K225:L225">
    <cfRule type="expression" dxfId="2955" priority="2888">
      <formula>$E$7&lt;&gt;"Yes"</formula>
    </cfRule>
  </conditionalFormatting>
  <conditionalFormatting sqref="K225:L225">
    <cfRule type="expression" dxfId="2954" priority="2887">
      <formula>$E225&lt;&gt;"Yes"</formula>
    </cfRule>
  </conditionalFormatting>
  <conditionalFormatting sqref="W225">
    <cfRule type="expression" dxfId="2953" priority="2886">
      <formula>$E$7&lt;&gt;"Yes"</formula>
    </cfRule>
  </conditionalFormatting>
  <conditionalFormatting sqref="W225">
    <cfRule type="expression" dxfId="2952" priority="2885">
      <formula>$E225&lt;&gt;"Yes"</formula>
    </cfRule>
  </conditionalFormatting>
  <conditionalFormatting sqref="AE225">
    <cfRule type="expression" dxfId="2951" priority="2884">
      <formula>$E$7&lt;&gt;"Yes"</formula>
    </cfRule>
  </conditionalFormatting>
  <conditionalFormatting sqref="AE225">
    <cfRule type="expression" dxfId="2950" priority="2883">
      <formula>$E225&lt;&gt;"Yes"</formula>
    </cfRule>
  </conditionalFormatting>
  <conditionalFormatting sqref="N225">
    <cfRule type="expression" dxfId="2949" priority="2882">
      <formula>$E$7&lt;&gt;"Yes"</formula>
    </cfRule>
  </conditionalFormatting>
  <conditionalFormatting sqref="N225">
    <cfRule type="expression" dxfId="2948" priority="2881">
      <formula>$E225&lt;&gt;"Yes"</formula>
    </cfRule>
  </conditionalFormatting>
  <conditionalFormatting sqref="AB225">
    <cfRule type="expression" dxfId="2947" priority="2880">
      <formula>$E$7&lt;&gt;"Yes"</formula>
    </cfRule>
  </conditionalFormatting>
  <conditionalFormatting sqref="AB225">
    <cfRule type="expression" dxfId="2946" priority="2879">
      <formula>$E225&lt;&gt;"Yes"</formula>
    </cfRule>
  </conditionalFormatting>
  <conditionalFormatting sqref="AA225">
    <cfRule type="expression" dxfId="2945" priority="2878">
      <formula>$E$7&lt;&gt;"Yes"</formula>
    </cfRule>
  </conditionalFormatting>
  <conditionalFormatting sqref="AA225">
    <cfRule type="expression" dxfId="2944" priority="2877">
      <formula>$E225&lt;&gt;"Yes"</formula>
    </cfRule>
  </conditionalFormatting>
  <conditionalFormatting sqref="Y225">
    <cfRule type="expression" dxfId="2943" priority="2876">
      <formula>$E$7&lt;&gt;"Yes"</formula>
    </cfRule>
  </conditionalFormatting>
  <conditionalFormatting sqref="Y225">
    <cfRule type="expression" dxfId="2942" priority="2875">
      <formula>$E225&lt;&gt;"Yes"</formula>
    </cfRule>
  </conditionalFormatting>
  <conditionalFormatting sqref="O225:P225">
    <cfRule type="expression" dxfId="2941" priority="2874">
      <formula>$E$7&lt;&gt;"Yes"</formula>
    </cfRule>
  </conditionalFormatting>
  <conditionalFormatting sqref="O225:P225">
    <cfRule type="expression" dxfId="2940" priority="2873">
      <formula>$E225&lt;&gt;"Yes"</formula>
    </cfRule>
  </conditionalFormatting>
  <conditionalFormatting sqref="X225">
    <cfRule type="expression" dxfId="2939" priority="2872">
      <formula>$E$7&lt;&gt;"Yes"</formula>
    </cfRule>
  </conditionalFormatting>
  <conditionalFormatting sqref="X225">
    <cfRule type="expression" dxfId="2938" priority="2871">
      <formula>$E225&lt;&gt;"Yes"</formula>
    </cfRule>
  </conditionalFormatting>
  <conditionalFormatting sqref="AD225">
    <cfRule type="expression" dxfId="2937" priority="2870">
      <formula>$E$7&lt;&gt;"Yes"</formula>
    </cfRule>
  </conditionalFormatting>
  <conditionalFormatting sqref="AD225">
    <cfRule type="expression" dxfId="2936" priority="2869">
      <formula>$E225&lt;&gt;"Yes"</formula>
    </cfRule>
  </conditionalFormatting>
  <conditionalFormatting sqref="AC225">
    <cfRule type="expression" dxfId="2935" priority="2868">
      <formula>$E$7&lt;&gt;"Yes"</formula>
    </cfRule>
  </conditionalFormatting>
  <conditionalFormatting sqref="AC225">
    <cfRule type="expression" dxfId="2934" priority="2867">
      <formula>$E225&lt;&gt;"Yes"</formula>
    </cfRule>
  </conditionalFormatting>
  <conditionalFormatting sqref="R225:V225">
    <cfRule type="expression" dxfId="2933" priority="2866">
      <formula>$E$7&lt;&gt;"Yes"</formula>
    </cfRule>
  </conditionalFormatting>
  <conditionalFormatting sqref="R225:V225">
    <cfRule type="expression" dxfId="2932" priority="2865">
      <formula>$E225&lt;&gt;"Yes"</formula>
    </cfRule>
  </conditionalFormatting>
  <conditionalFormatting sqref="S225">
    <cfRule type="expression" dxfId="2931" priority="2864">
      <formula>$E$7&lt;&gt;"Yes"</formula>
    </cfRule>
  </conditionalFormatting>
  <conditionalFormatting sqref="S225">
    <cfRule type="expression" dxfId="2930" priority="2863">
      <formula>$E225&lt;&gt;"Yes"</formula>
    </cfRule>
  </conditionalFormatting>
  <conditionalFormatting sqref="T225">
    <cfRule type="expression" dxfId="2929" priority="2862">
      <formula>$E$7&lt;&gt;"Yes"</formula>
    </cfRule>
  </conditionalFormatting>
  <conditionalFormatting sqref="T225">
    <cfRule type="expression" dxfId="2928" priority="2861">
      <formula>$E225&lt;&gt;"Yes"</formula>
    </cfRule>
  </conditionalFormatting>
  <conditionalFormatting sqref="U225">
    <cfRule type="expression" dxfId="2927" priority="2860">
      <formula>$E$7&lt;&gt;"Yes"</formula>
    </cfRule>
  </conditionalFormatting>
  <conditionalFormatting sqref="U225">
    <cfRule type="expression" dxfId="2926" priority="2859">
      <formula>$E225&lt;&gt;"Yes"</formula>
    </cfRule>
  </conditionalFormatting>
  <conditionalFormatting sqref="V225">
    <cfRule type="expression" dxfId="2925" priority="2858">
      <formula>$E$7&lt;&gt;"Yes"</formula>
    </cfRule>
  </conditionalFormatting>
  <conditionalFormatting sqref="V225">
    <cfRule type="expression" dxfId="2924" priority="2857">
      <formula>$E225&lt;&gt;"Yes"</formula>
    </cfRule>
  </conditionalFormatting>
  <conditionalFormatting sqref="R225:V225">
    <cfRule type="expression" dxfId="2923" priority="2856">
      <formula>$E$7&lt;&gt;"Yes"</formula>
    </cfRule>
  </conditionalFormatting>
  <conditionalFormatting sqref="R225:V225">
    <cfRule type="expression" dxfId="2922" priority="2855">
      <formula>$E225&lt;&gt;"Yes"</formula>
    </cfRule>
  </conditionalFormatting>
  <conditionalFormatting sqref="Z225">
    <cfRule type="expression" dxfId="2921" priority="2854">
      <formula>$E$7&lt;&gt;"Yes"</formula>
    </cfRule>
  </conditionalFormatting>
  <conditionalFormatting sqref="Z225">
    <cfRule type="expression" dxfId="2920" priority="2853">
      <formula>$E225&lt;&gt;"Yes"</formula>
    </cfRule>
  </conditionalFormatting>
  <conditionalFormatting sqref="AN225:AO225">
    <cfRule type="expression" dxfId="2919" priority="2852">
      <formula>$E$7&lt;&gt;"Yes"</formula>
    </cfRule>
  </conditionalFormatting>
  <conditionalFormatting sqref="AN225:AO225">
    <cfRule type="expression" dxfId="2918" priority="2851">
      <formula>$E225&lt;&gt;"Yes"</formula>
    </cfRule>
  </conditionalFormatting>
  <conditionalFormatting sqref="AI225">
    <cfRule type="expression" dxfId="2917" priority="2850">
      <formula>$E$7&lt;&gt;"Yes"</formula>
    </cfRule>
  </conditionalFormatting>
  <conditionalFormatting sqref="AI225">
    <cfRule type="expression" dxfId="2916" priority="2849">
      <formula>$E225&lt;&gt;"Yes"</formula>
    </cfRule>
  </conditionalFormatting>
  <conditionalFormatting sqref="M247 F247:J247 Q247 AJ247:AK247 AF247:AH247 Y247">
    <cfRule type="expression" dxfId="2915" priority="2848">
      <formula>$E$7&lt;&gt;"Yes"</formula>
    </cfRule>
  </conditionalFormatting>
  <conditionalFormatting sqref="M247 F247:J247 Q247 AJ247:AK247 AF247:AH247 Y247">
    <cfRule type="expression" dxfId="2914" priority="2847">
      <formula>$E247&lt;&gt;"Yes"</formula>
    </cfRule>
  </conditionalFormatting>
  <conditionalFormatting sqref="G247">
    <cfRule type="expression" dxfId="2913" priority="2846">
      <formula>$E$7&lt;&gt;"Yes"</formula>
    </cfRule>
  </conditionalFormatting>
  <conditionalFormatting sqref="K247:L247">
    <cfRule type="expression" dxfId="2912" priority="2845">
      <formula>$E$7&lt;&gt;"Yes"</formula>
    </cfRule>
  </conditionalFormatting>
  <conditionalFormatting sqref="K247:L247">
    <cfRule type="expression" dxfId="2911" priority="2844">
      <formula>$E247&lt;&gt;"Yes"</formula>
    </cfRule>
  </conditionalFormatting>
  <conditionalFormatting sqref="W247">
    <cfRule type="expression" dxfId="2910" priority="2843">
      <formula>$E$7&lt;&gt;"Yes"</formula>
    </cfRule>
  </conditionalFormatting>
  <conditionalFormatting sqref="W247">
    <cfRule type="expression" dxfId="2909" priority="2842">
      <formula>$E247&lt;&gt;"Yes"</formula>
    </cfRule>
  </conditionalFormatting>
  <conditionalFormatting sqref="AE247">
    <cfRule type="expression" dxfId="2908" priority="2841">
      <formula>$E$7&lt;&gt;"Yes"</formula>
    </cfRule>
  </conditionalFormatting>
  <conditionalFormatting sqref="AE247">
    <cfRule type="expression" dxfId="2907" priority="2840">
      <formula>$E247&lt;&gt;"Yes"</formula>
    </cfRule>
  </conditionalFormatting>
  <conditionalFormatting sqref="N247">
    <cfRule type="expression" dxfId="2906" priority="2839">
      <formula>$E$7&lt;&gt;"Yes"</formula>
    </cfRule>
  </conditionalFormatting>
  <conditionalFormatting sqref="N247">
    <cfRule type="expression" dxfId="2905" priority="2838">
      <formula>$E247&lt;&gt;"Yes"</formula>
    </cfRule>
  </conditionalFormatting>
  <conditionalFormatting sqref="AB247">
    <cfRule type="expression" dxfId="2904" priority="2837">
      <formula>$E$7&lt;&gt;"Yes"</formula>
    </cfRule>
  </conditionalFormatting>
  <conditionalFormatting sqref="AB247">
    <cfRule type="expression" dxfId="2903" priority="2836">
      <formula>$E247&lt;&gt;"Yes"</formula>
    </cfRule>
  </conditionalFormatting>
  <conditionalFormatting sqref="AA247">
    <cfRule type="expression" dxfId="2902" priority="2835">
      <formula>$E$7&lt;&gt;"Yes"</formula>
    </cfRule>
  </conditionalFormatting>
  <conditionalFormatting sqref="AA247">
    <cfRule type="expression" dxfId="2901" priority="2834">
      <formula>$E247&lt;&gt;"Yes"</formula>
    </cfRule>
  </conditionalFormatting>
  <conditionalFormatting sqref="Y247">
    <cfRule type="expression" dxfId="2900" priority="2833">
      <formula>$E$7&lt;&gt;"Yes"</formula>
    </cfRule>
  </conditionalFormatting>
  <conditionalFormatting sqref="Y247">
    <cfRule type="expression" dxfId="2899" priority="2832">
      <formula>$E247&lt;&gt;"Yes"</formula>
    </cfRule>
  </conditionalFormatting>
  <conditionalFormatting sqref="O247:P247">
    <cfRule type="expression" dxfId="2898" priority="2831">
      <formula>$E$7&lt;&gt;"Yes"</formula>
    </cfRule>
  </conditionalFormatting>
  <conditionalFormatting sqref="O247:P247">
    <cfRule type="expression" dxfId="2897" priority="2830">
      <formula>$E247&lt;&gt;"Yes"</formula>
    </cfRule>
  </conditionalFormatting>
  <conditionalFormatting sqref="X247">
    <cfRule type="expression" dxfId="2896" priority="2829">
      <formula>$E$7&lt;&gt;"Yes"</formula>
    </cfRule>
  </conditionalFormatting>
  <conditionalFormatting sqref="X247">
    <cfRule type="expression" dxfId="2895" priority="2828">
      <formula>$E247&lt;&gt;"Yes"</formula>
    </cfRule>
  </conditionalFormatting>
  <conditionalFormatting sqref="AD247">
    <cfRule type="expression" dxfId="2894" priority="2827">
      <formula>$E$7&lt;&gt;"Yes"</formula>
    </cfRule>
  </conditionalFormatting>
  <conditionalFormatting sqref="AD247">
    <cfRule type="expression" dxfId="2893" priority="2826">
      <formula>$E247&lt;&gt;"Yes"</formula>
    </cfRule>
  </conditionalFormatting>
  <conditionalFormatting sqref="AC247">
    <cfRule type="expression" dxfId="2892" priority="2825">
      <formula>$E$7&lt;&gt;"Yes"</formula>
    </cfRule>
  </conditionalFormatting>
  <conditionalFormatting sqref="AC247">
    <cfRule type="expression" dxfId="2891" priority="2824">
      <formula>$E247&lt;&gt;"Yes"</formula>
    </cfRule>
  </conditionalFormatting>
  <conditionalFormatting sqref="R247:V247">
    <cfRule type="expression" dxfId="2890" priority="2823">
      <formula>$E$7&lt;&gt;"Yes"</formula>
    </cfRule>
  </conditionalFormatting>
  <conditionalFormatting sqref="R247:V247">
    <cfRule type="expression" dxfId="2889" priority="2822">
      <formula>$E247&lt;&gt;"Yes"</formula>
    </cfRule>
  </conditionalFormatting>
  <conditionalFormatting sqref="S247">
    <cfRule type="expression" dxfId="2888" priority="2821">
      <formula>$E$7&lt;&gt;"Yes"</formula>
    </cfRule>
  </conditionalFormatting>
  <conditionalFormatting sqref="S247">
    <cfRule type="expression" dxfId="2887" priority="2820">
      <formula>$E247&lt;&gt;"Yes"</formula>
    </cfRule>
  </conditionalFormatting>
  <conditionalFormatting sqref="T247">
    <cfRule type="expression" dxfId="2886" priority="2819">
      <formula>$E$7&lt;&gt;"Yes"</formula>
    </cfRule>
  </conditionalFormatting>
  <conditionalFormatting sqref="T247">
    <cfRule type="expression" dxfId="2885" priority="2818">
      <formula>$E247&lt;&gt;"Yes"</formula>
    </cfRule>
  </conditionalFormatting>
  <conditionalFormatting sqref="U247">
    <cfRule type="expression" dxfId="2884" priority="2817">
      <formula>$E$7&lt;&gt;"Yes"</formula>
    </cfRule>
  </conditionalFormatting>
  <conditionalFormatting sqref="U247">
    <cfRule type="expression" dxfId="2883" priority="2816">
      <formula>$E247&lt;&gt;"Yes"</formula>
    </cfRule>
  </conditionalFormatting>
  <conditionalFormatting sqref="V247">
    <cfRule type="expression" dxfId="2882" priority="2815">
      <formula>$E$7&lt;&gt;"Yes"</formula>
    </cfRule>
  </conditionalFormatting>
  <conditionalFormatting sqref="V247">
    <cfRule type="expression" dxfId="2881" priority="2814">
      <formula>$E247&lt;&gt;"Yes"</formula>
    </cfRule>
  </conditionalFormatting>
  <conditionalFormatting sqref="R247:V247">
    <cfRule type="expression" dxfId="2880" priority="2813">
      <formula>$E$7&lt;&gt;"Yes"</formula>
    </cfRule>
  </conditionalFormatting>
  <conditionalFormatting sqref="R247:V247">
    <cfRule type="expression" dxfId="2879" priority="2812">
      <formula>$E247&lt;&gt;"Yes"</formula>
    </cfRule>
  </conditionalFormatting>
  <conditionalFormatting sqref="Z247">
    <cfRule type="expression" dxfId="2878" priority="2811">
      <formula>$E$7&lt;&gt;"Yes"</formula>
    </cfRule>
  </conditionalFormatting>
  <conditionalFormatting sqref="Z247">
    <cfRule type="expression" dxfId="2877" priority="2810">
      <formula>$E247&lt;&gt;"Yes"</formula>
    </cfRule>
  </conditionalFormatting>
  <conditionalFormatting sqref="AN247:AO247">
    <cfRule type="expression" dxfId="2876" priority="2809">
      <formula>$E$7&lt;&gt;"Yes"</formula>
    </cfRule>
  </conditionalFormatting>
  <conditionalFormatting sqref="AN247:AO247">
    <cfRule type="expression" dxfId="2875" priority="2808">
      <formula>$E247&lt;&gt;"Yes"</formula>
    </cfRule>
  </conditionalFormatting>
  <conditionalFormatting sqref="AI247">
    <cfRule type="expression" dxfId="2874" priority="2807">
      <formula>$E$7&lt;&gt;"Yes"</formula>
    </cfRule>
  </conditionalFormatting>
  <conditionalFormatting sqref="AI247">
    <cfRule type="expression" dxfId="2873" priority="2806">
      <formula>$E247&lt;&gt;"Yes"</formula>
    </cfRule>
  </conditionalFormatting>
  <conditionalFormatting sqref="M154 F154:J154 Q154 AJ154:AK154 AF154:AH154 Y154">
    <cfRule type="expression" dxfId="2872" priority="2805">
      <formula>$E$7&lt;&gt;"Yes"</formula>
    </cfRule>
  </conditionalFormatting>
  <conditionalFormatting sqref="M154 F154:J154 Q154 AJ154:AK154 AF154:AH154 Y154">
    <cfRule type="expression" dxfId="2871" priority="2804">
      <formula>$E154&lt;&gt;"Yes"</formula>
    </cfRule>
  </conditionalFormatting>
  <conditionalFormatting sqref="G154">
    <cfRule type="expression" dxfId="2870" priority="2803">
      <formula>$E$7&lt;&gt;"Yes"</formula>
    </cfRule>
  </conditionalFormatting>
  <conditionalFormatting sqref="K154:L154">
    <cfRule type="expression" dxfId="2869" priority="2802">
      <formula>$E$7&lt;&gt;"Yes"</formula>
    </cfRule>
  </conditionalFormatting>
  <conditionalFormatting sqref="K154:L154">
    <cfRule type="expression" dxfId="2868" priority="2801">
      <formula>$E154&lt;&gt;"Yes"</formula>
    </cfRule>
  </conditionalFormatting>
  <conditionalFormatting sqref="W154">
    <cfRule type="expression" dxfId="2867" priority="2800">
      <formula>$E$7&lt;&gt;"Yes"</formula>
    </cfRule>
  </conditionalFormatting>
  <conditionalFormatting sqref="W154">
    <cfRule type="expression" dxfId="2866" priority="2799">
      <formula>$E154&lt;&gt;"Yes"</formula>
    </cfRule>
  </conditionalFormatting>
  <conditionalFormatting sqref="AE154">
    <cfRule type="expression" dxfId="2865" priority="2798">
      <formula>$E$7&lt;&gt;"Yes"</formula>
    </cfRule>
  </conditionalFormatting>
  <conditionalFormatting sqref="AE154">
    <cfRule type="expression" dxfId="2864" priority="2797">
      <formula>$E154&lt;&gt;"Yes"</formula>
    </cfRule>
  </conditionalFormatting>
  <conditionalFormatting sqref="N154">
    <cfRule type="expression" dxfId="2863" priority="2796">
      <formula>$E$7&lt;&gt;"Yes"</formula>
    </cfRule>
  </conditionalFormatting>
  <conditionalFormatting sqref="N154">
    <cfRule type="expression" dxfId="2862" priority="2795">
      <formula>$E154&lt;&gt;"Yes"</formula>
    </cfRule>
  </conditionalFormatting>
  <conditionalFormatting sqref="AB154">
    <cfRule type="expression" dxfId="2861" priority="2794">
      <formula>$E$7&lt;&gt;"Yes"</formula>
    </cfRule>
  </conditionalFormatting>
  <conditionalFormatting sqref="AB154">
    <cfRule type="expression" dxfId="2860" priority="2793">
      <formula>$E154&lt;&gt;"Yes"</formula>
    </cfRule>
  </conditionalFormatting>
  <conditionalFormatting sqref="AA154">
    <cfRule type="expression" dxfId="2859" priority="2792">
      <formula>$E$7&lt;&gt;"Yes"</formula>
    </cfRule>
  </conditionalFormatting>
  <conditionalFormatting sqref="AA154">
    <cfRule type="expression" dxfId="2858" priority="2791">
      <formula>$E154&lt;&gt;"Yes"</formula>
    </cfRule>
  </conditionalFormatting>
  <conditionalFormatting sqref="Y154">
    <cfRule type="expression" dxfId="2857" priority="2790">
      <formula>$E$7&lt;&gt;"Yes"</formula>
    </cfRule>
  </conditionalFormatting>
  <conditionalFormatting sqref="Y154">
    <cfRule type="expression" dxfId="2856" priority="2789">
      <formula>$E154&lt;&gt;"Yes"</formula>
    </cfRule>
  </conditionalFormatting>
  <conditionalFormatting sqref="O154:P154">
    <cfRule type="expression" dxfId="2855" priority="2788">
      <formula>$E$7&lt;&gt;"Yes"</formula>
    </cfRule>
  </conditionalFormatting>
  <conditionalFormatting sqref="O154:P154">
    <cfRule type="expression" dxfId="2854" priority="2787">
      <formula>$E154&lt;&gt;"Yes"</formula>
    </cfRule>
  </conditionalFormatting>
  <conditionalFormatting sqref="X154">
    <cfRule type="expression" dxfId="2853" priority="2786">
      <formula>$E$7&lt;&gt;"Yes"</formula>
    </cfRule>
  </conditionalFormatting>
  <conditionalFormatting sqref="X154">
    <cfRule type="expression" dxfId="2852" priority="2785">
      <formula>$E154&lt;&gt;"Yes"</formula>
    </cfRule>
  </conditionalFormatting>
  <conditionalFormatting sqref="AD154">
    <cfRule type="expression" dxfId="2851" priority="2784">
      <formula>$E$7&lt;&gt;"Yes"</formula>
    </cfRule>
  </conditionalFormatting>
  <conditionalFormatting sqref="AD154">
    <cfRule type="expression" dxfId="2850" priority="2783">
      <formula>$E154&lt;&gt;"Yes"</formula>
    </cfRule>
  </conditionalFormatting>
  <conditionalFormatting sqref="AC154">
    <cfRule type="expression" dxfId="2849" priority="2782">
      <formula>$E$7&lt;&gt;"Yes"</formula>
    </cfRule>
  </conditionalFormatting>
  <conditionalFormatting sqref="AC154">
    <cfRule type="expression" dxfId="2848" priority="2781">
      <formula>$E154&lt;&gt;"Yes"</formula>
    </cfRule>
  </conditionalFormatting>
  <conditionalFormatting sqref="R154:V154">
    <cfRule type="expression" dxfId="2847" priority="2780">
      <formula>$E$7&lt;&gt;"Yes"</formula>
    </cfRule>
  </conditionalFormatting>
  <conditionalFormatting sqref="R154:V154">
    <cfRule type="expression" dxfId="2846" priority="2779">
      <formula>$E154&lt;&gt;"Yes"</formula>
    </cfRule>
  </conditionalFormatting>
  <conditionalFormatting sqref="S154">
    <cfRule type="expression" dxfId="2845" priority="2778">
      <formula>$E$7&lt;&gt;"Yes"</formula>
    </cfRule>
  </conditionalFormatting>
  <conditionalFormatting sqref="S154">
    <cfRule type="expression" dxfId="2844" priority="2777">
      <formula>$E154&lt;&gt;"Yes"</formula>
    </cfRule>
  </conditionalFormatting>
  <conditionalFormatting sqref="T154">
    <cfRule type="expression" dxfId="2843" priority="2776">
      <formula>$E$7&lt;&gt;"Yes"</formula>
    </cfRule>
  </conditionalFormatting>
  <conditionalFormatting sqref="T154">
    <cfRule type="expression" dxfId="2842" priority="2775">
      <formula>$E154&lt;&gt;"Yes"</formula>
    </cfRule>
  </conditionalFormatting>
  <conditionalFormatting sqref="U154">
    <cfRule type="expression" dxfId="2841" priority="2774">
      <formula>$E$7&lt;&gt;"Yes"</formula>
    </cfRule>
  </conditionalFormatting>
  <conditionalFormatting sqref="U154">
    <cfRule type="expression" dxfId="2840" priority="2773">
      <formula>$E154&lt;&gt;"Yes"</formula>
    </cfRule>
  </conditionalFormatting>
  <conditionalFormatting sqref="V154">
    <cfRule type="expression" dxfId="2839" priority="2772">
      <formula>$E$7&lt;&gt;"Yes"</formula>
    </cfRule>
  </conditionalFormatting>
  <conditionalFormatting sqref="V154">
    <cfRule type="expression" dxfId="2838" priority="2771">
      <formula>$E154&lt;&gt;"Yes"</formula>
    </cfRule>
  </conditionalFormatting>
  <conditionalFormatting sqref="R154:V154">
    <cfRule type="expression" dxfId="2837" priority="2770">
      <formula>$E$7&lt;&gt;"Yes"</formula>
    </cfRule>
  </conditionalFormatting>
  <conditionalFormatting sqref="R154:V154">
    <cfRule type="expression" dxfId="2836" priority="2769">
      <formula>$E154&lt;&gt;"Yes"</formula>
    </cfRule>
  </conditionalFormatting>
  <conditionalFormatting sqref="Z154">
    <cfRule type="expression" dxfId="2835" priority="2768">
      <formula>$E$7&lt;&gt;"Yes"</formula>
    </cfRule>
  </conditionalFormatting>
  <conditionalFormatting sqref="Z154">
    <cfRule type="expression" dxfId="2834" priority="2767">
      <formula>$E154&lt;&gt;"Yes"</formula>
    </cfRule>
  </conditionalFormatting>
  <conditionalFormatting sqref="AN154:AO154">
    <cfRule type="expression" dxfId="2833" priority="2766">
      <formula>$E$7&lt;&gt;"Yes"</formula>
    </cfRule>
  </conditionalFormatting>
  <conditionalFormatting sqref="AN154:AO154">
    <cfRule type="expression" dxfId="2832" priority="2765">
      <formula>$E154&lt;&gt;"Yes"</formula>
    </cfRule>
  </conditionalFormatting>
  <conditionalFormatting sqref="AI154">
    <cfRule type="expression" dxfId="2831" priority="2764">
      <formula>$E$7&lt;&gt;"Yes"</formula>
    </cfRule>
  </conditionalFormatting>
  <conditionalFormatting sqref="AI154">
    <cfRule type="expression" dxfId="2830" priority="2763">
      <formula>$E154&lt;&gt;"Yes"</formula>
    </cfRule>
  </conditionalFormatting>
  <conditionalFormatting sqref="M306 F306:J306 Q306 AJ306:AK306 AF306:AH306 Y306">
    <cfRule type="expression" dxfId="2829" priority="2762">
      <formula>$E$7&lt;&gt;"Yes"</formula>
    </cfRule>
  </conditionalFormatting>
  <conditionalFormatting sqref="M306 F306:J306 Q306 AJ306:AK306 AF306:AH306 Y306">
    <cfRule type="expression" dxfId="2828" priority="2761">
      <formula>$E306&lt;&gt;"Yes"</formula>
    </cfRule>
  </conditionalFormatting>
  <conditionalFormatting sqref="G306">
    <cfRule type="expression" dxfId="2827" priority="2760">
      <formula>$E$7&lt;&gt;"Yes"</formula>
    </cfRule>
  </conditionalFormatting>
  <conditionalFormatting sqref="K306:L306">
    <cfRule type="expression" dxfId="2826" priority="2759">
      <formula>$E$7&lt;&gt;"Yes"</formula>
    </cfRule>
  </conditionalFormatting>
  <conditionalFormatting sqref="K306:L306">
    <cfRule type="expression" dxfId="2825" priority="2758">
      <formula>$E306&lt;&gt;"Yes"</formula>
    </cfRule>
  </conditionalFormatting>
  <conditionalFormatting sqref="W306">
    <cfRule type="expression" dxfId="2824" priority="2757">
      <formula>$E$7&lt;&gt;"Yes"</formula>
    </cfRule>
  </conditionalFormatting>
  <conditionalFormatting sqref="W306">
    <cfRule type="expression" dxfId="2823" priority="2756">
      <formula>$E306&lt;&gt;"Yes"</formula>
    </cfRule>
  </conditionalFormatting>
  <conditionalFormatting sqref="AE306">
    <cfRule type="expression" dxfId="2822" priority="2755">
      <formula>$E$7&lt;&gt;"Yes"</formula>
    </cfRule>
  </conditionalFormatting>
  <conditionalFormatting sqref="AE306">
    <cfRule type="expression" dxfId="2821" priority="2754">
      <formula>$E306&lt;&gt;"Yes"</formula>
    </cfRule>
  </conditionalFormatting>
  <conditionalFormatting sqref="N306">
    <cfRule type="expression" dxfId="2820" priority="2753">
      <formula>$E$7&lt;&gt;"Yes"</formula>
    </cfRule>
  </conditionalFormatting>
  <conditionalFormatting sqref="N306">
    <cfRule type="expression" dxfId="2819" priority="2752">
      <formula>$E306&lt;&gt;"Yes"</formula>
    </cfRule>
  </conditionalFormatting>
  <conditionalFormatting sqref="AB306">
    <cfRule type="expression" dxfId="2818" priority="2751">
      <formula>$E$7&lt;&gt;"Yes"</formula>
    </cfRule>
  </conditionalFormatting>
  <conditionalFormatting sqref="AB306">
    <cfRule type="expression" dxfId="2817" priority="2750">
      <formula>$E306&lt;&gt;"Yes"</formula>
    </cfRule>
  </conditionalFormatting>
  <conditionalFormatting sqref="AA306">
    <cfRule type="expression" dxfId="2816" priority="2749">
      <formula>$E$7&lt;&gt;"Yes"</formula>
    </cfRule>
  </conditionalFormatting>
  <conditionalFormatting sqref="AA306">
    <cfRule type="expression" dxfId="2815" priority="2748">
      <formula>$E306&lt;&gt;"Yes"</formula>
    </cfRule>
  </conditionalFormatting>
  <conditionalFormatting sqref="Y306">
    <cfRule type="expression" dxfId="2814" priority="2747">
      <formula>$E$7&lt;&gt;"Yes"</formula>
    </cfRule>
  </conditionalFormatting>
  <conditionalFormatting sqref="Y306">
    <cfRule type="expression" dxfId="2813" priority="2746">
      <formula>$E306&lt;&gt;"Yes"</formula>
    </cfRule>
  </conditionalFormatting>
  <conditionalFormatting sqref="O306:P306">
    <cfRule type="expression" dxfId="2812" priority="2745">
      <formula>$E$7&lt;&gt;"Yes"</formula>
    </cfRule>
  </conditionalFormatting>
  <conditionalFormatting sqref="O306:P306">
    <cfRule type="expression" dxfId="2811" priority="2744">
      <formula>$E306&lt;&gt;"Yes"</formula>
    </cfRule>
  </conditionalFormatting>
  <conditionalFormatting sqref="X306">
    <cfRule type="expression" dxfId="2810" priority="2743">
      <formula>$E$7&lt;&gt;"Yes"</formula>
    </cfRule>
  </conditionalFormatting>
  <conditionalFormatting sqref="X306">
    <cfRule type="expression" dxfId="2809" priority="2742">
      <formula>$E306&lt;&gt;"Yes"</formula>
    </cfRule>
  </conditionalFormatting>
  <conditionalFormatting sqref="AD306">
    <cfRule type="expression" dxfId="2808" priority="2741">
      <formula>$E$7&lt;&gt;"Yes"</formula>
    </cfRule>
  </conditionalFormatting>
  <conditionalFormatting sqref="AD306">
    <cfRule type="expression" dxfId="2807" priority="2740">
      <formula>$E306&lt;&gt;"Yes"</formula>
    </cfRule>
  </conditionalFormatting>
  <conditionalFormatting sqref="AC306">
    <cfRule type="expression" dxfId="2806" priority="2739">
      <formula>$E$7&lt;&gt;"Yes"</formula>
    </cfRule>
  </conditionalFormatting>
  <conditionalFormatting sqref="AC306">
    <cfRule type="expression" dxfId="2805" priority="2738">
      <formula>$E306&lt;&gt;"Yes"</formula>
    </cfRule>
  </conditionalFormatting>
  <conditionalFormatting sqref="R306:V306">
    <cfRule type="expression" dxfId="2804" priority="2737">
      <formula>$E$7&lt;&gt;"Yes"</formula>
    </cfRule>
  </conditionalFormatting>
  <conditionalFormatting sqref="R306:V306">
    <cfRule type="expression" dxfId="2803" priority="2736">
      <formula>$E306&lt;&gt;"Yes"</formula>
    </cfRule>
  </conditionalFormatting>
  <conditionalFormatting sqref="S306">
    <cfRule type="expression" dxfId="2802" priority="2735">
      <formula>$E$7&lt;&gt;"Yes"</formula>
    </cfRule>
  </conditionalFormatting>
  <conditionalFormatting sqref="S306">
    <cfRule type="expression" dxfId="2801" priority="2734">
      <formula>$E306&lt;&gt;"Yes"</formula>
    </cfRule>
  </conditionalFormatting>
  <conditionalFormatting sqref="T306">
    <cfRule type="expression" dxfId="2800" priority="2733">
      <formula>$E$7&lt;&gt;"Yes"</formula>
    </cfRule>
  </conditionalFormatting>
  <conditionalFormatting sqref="T306">
    <cfRule type="expression" dxfId="2799" priority="2732">
      <formula>$E306&lt;&gt;"Yes"</formula>
    </cfRule>
  </conditionalFormatting>
  <conditionalFormatting sqref="U306">
    <cfRule type="expression" dxfId="2798" priority="2731">
      <formula>$E$7&lt;&gt;"Yes"</formula>
    </cfRule>
  </conditionalFormatting>
  <conditionalFormatting sqref="U306">
    <cfRule type="expression" dxfId="2797" priority="2730">
      <formula>$E306&lt;&gt;"Yes"</formula>
    </cfRule>
  </conditionalFormatting>
  <conditionalFormatting sqref="V306">
    <cfRule type="expression" dxfId="2796" priority="2729">
      <formula>$E$7&lt;&gt;"Yes"</formula>
    </cfRule>
  </conditionalFormatting>
  <conditionalFormatting sqref="V306">
    <cfRule type="expression" dxfId="2795" priority="2728">
      <formula>$E306&lt;&gt;"Yes"</formula>
    </cfRule>
  </conditionalFormatting>
  <conditionalFormatting sqref="R306:V306">
    <cfRule type="expression" dxfId="2794" priority="2727">
      <formula>$E$7&lt;&gt;"Yes"</formula>
    </cfRule>
  </conditionalFormatting>
  <conditionalFormatting sqref="R306:V306">
    <cfRule type="expression" dxfId="2793" priority="2726">
      <formula>$E306&lt;&gt;"Yes"</formula>
    </cfRule>
  </conditionalFormatting>
  <conditionalFormatting sqref="Z306">
    <cfRule type="expression" dxfId="2792" priority="2725">
      <formula>$E$7&lt;&gt;"Yes"</formula>
    </cfRule>
  </conditionalFormatting>
  <conditionalFormatting sqref="Z306">
    <cfRule type="expression" dxfId="2791" priority="2724">
      <formula>$E306&lt;&gt;"Yes"</formula>
    </cfRule>
  </conditionalFormatting>
  <conditionalFormatting sqref="AN306:AO306">
    <cfRule type="expression" dxfId="2790" priority="2723">
      <formula>$E$7&lt;&gt;"Yes"</formula>
    </cfRule>
  </conditionalFormatting>
  <conditionalFormatting sqref="AN306:AO306">
    <cfRule type="expression" dxfId="2789" priority="2722">
      <formula>$E306&lt;&gt;"Yes"</formula>
    </cfRule>
  </conditionalFormatting>
  <conditionalFormatting sqref="AI306">
    <cfRule type="expression" dxfId="2788" priority="2721">
      <formula>$E$7&lt;&gt;"Yes"</formula>
    </cfRule>
  </conditionalFormatting>
  <conditionalFormatting sqref="AI306">
    <cfRule type="expression" dxfId="2787" priority="2720">
      <formula>$E306&lt;&gt;"Yes"</formula>
    </cfRule>
  </conditionalFormatting>
  <conditionalFormatting sqref="M307 F307:J307 Q307 AJ307:AK307 AF307:AH307 Y307">
    <cfRule type="expression" dxfId="2786" priority="2719">
      <formula>$E$7&lt;&gt;"Yes"</formula>
    </cfRule>
  </conditionalFormatting>
  <conditionalFormatting sqref="M307 F307:J307 Q307 AJ307:AK307 AF307:AH307 Y307">
    <cfRule type="expression" dxfId="2785" priority="2718">
      <formula>$E307&lt;&gt;"Yes"</formula>
    </cfRule>
  </conditionalFormatting>
  <conditionalFormatting sqref="G307">
    <cfRule type="expression" dxfId="2784" priority="2717">
      <formula>$E$7&lt;&gt;"Yes"</formula>
    </cfRule>
  </conditionalFormatting>
  <conditionalFormatting sqref="K307:L307">
    <cfRule type="expression" dxfId="2783" priority="2716">
      <formula>$E$7&lt;&gt;"Yes"</formula>
    </cfRule>
  </conditionalFormatting>
  <conditionalFormatting sqref="K307:L307">
    <cfRule type="expression" dxfId="2782" priority="2715">
      <formula>$E307&lt;&gt;"Yes"</formula>
    </cfRule>
  </conditionalFormatting>
  <conditionalFormatting sqref="W307">
    <cfRule type="expression" dxfId="2781" priority="2714">
      <formula>$E$7&lt;&gt;"Yes"</formula>
    </cfRule>
  </conditionalFormatting>
  <conditionalFormatting sqref="W307">
    <cfRule type="expression" dxfId="2780" priority="2713">
      <formula>$E307&lt;&gt;"Yes"</formula>
    </cfRule>
  </conditionalFormatting>
  <conditionalFormatting sqref="AE307">
    <cfRule type="expression" dxfId="2779" priority="2712">
      <formula>$E$7&lt;&gt;"Yes"</formula>
    </cfRule>
  </conditionalFormatting>
  <conditionalFormatting sqref="AE307">
    <cfRule type="expression" dxfId="2778" priority="2711">
      <formula>$E307&lt;&gt;"Yes"</formula>
    </cfRule>
  </conditionalFormatting>
  <conditionalFormatting sqref="N307">
    <cfRule type="expression" dxfId="2777" priority="2710">
      <formula>$E$7&lt;&gt;"Yes"</formula>
    </cfRule>
  </conditionalFormatting>
  <conditionalFormatting sqref="N307">
    <cfRule type="expression" dxfId="2776" priority="2709">
      <formula>$E307&lt;&gt;"Yes"</formula>
    </cfRule>
  </conditionalFormatting>
  <conditionalFormatting sqref="AB307">
    <cfRule type="expression" dxfId="2775" priority="2708">
      <formula>$E$7&lt;&gt;"Yes"</formula>
    </cfRule>
  </conditionalFormatting>
  <conditionalFormatting sqref="AB307">
    <cfRule type="expression" dxfId="2774" priority="2707">
      <formula>$E307&lt;&gt;"Yes"</formula>
    </cfRule>
  </conditionalFormatting>
  <conditionalFormatting sqref="AA307">
    <cfRule type="expression" dxfId="2773" priority="2706">
      <formula>$E$7&lt;&gt;"Yes"</formula>
    </cfRule>
  </conditionalFormatting>
  <conditionalFormatting sqref="AA307">
    <cfRule type="expression" dxfId="2772" priority="2705">
      <formula>$E307&lt;&gt;"Yes"</formula>
    </cfRule>
  </conditionalFormatting>
  <conditionalFormatting sqref="Y307">
    <cfRule type="expression" dxfId="2771" priority="2704">
      <formula>$E$7&lt;&gt;"Yes"</formula>
    </cfRule>
  </conditionalFormatting>
  <conditionalFormatting sqref="Y307">
    <cfRule type="expression" dxfId="2770" priority="2703">
      <formula>$E307&lt;&gt;"Yes"</formula>
    </cfRule>
  </conditionalFormatting>
  <conditionalFormatting sqref="O307:P307">
    <cfRule type="expression" dxfId="2769" priority="2702">
      <formula>$E$7&lt;&gt;"Yes"</formula>
    </cfRule>
  </conditionalFormatting>
  <conditionalFormatting sqref="O307:P307">
    <cfRule type="expression" dxfId="2768" priority="2701">
      <formula>$E307&lt;&gt;"Yes"</formula>
    </cfRule>
  </conditionalFormatting>
  <conditionalFormatting sqref="X307">
    <cfRule type="expression" dxfId="2767" priority="2700">
      <formula>$E$7&lt;&gt;"Yes"</formula>
    </cfRule>
  </conditionalFormatting>
  <conditionalFormatting sqref="X307">
    <cfRule type="expression" dxfId="2766" priority="2699">
      <formula>$E307&lt;&gt;"Yes"</formula>
    </cfRule>
  </conditionalFormatting>
  <conditionalFormatting sqref="AD307">
    <cfRule type="expression" dxfId="2765" priority="2698">
      <formula>$E$7&lt;&gt;"Yes"</formula>
    </cfRule>
  </conditionalFormatting>
  <conditionalFormatting sqref="AD307">
    <cfRule type="expression" dxfId="2764" priority="2697">
      <formula>$E307&lt;&gt;"Yes"</formula>
    </cfRule>
  </conditionalFormatting>
  <conditionalFormatting sqref="AC307">
    <cfRule type="expression" dxfId="2763" priority="2696">
      <formula>$E$7&lt;&gt;"Yes"</formula>
    </cfRule>
  </conditionalFormatting>
  <conditionalFormatting sqref="AC307">
    <cfRule type="expression" dxfId="2762" priority="2695">
      <formula>$E307&lt;&gt;"Yes"</formula>
    </cfRule>
  </conditionalFormatting>
  <conditionalFormatting sqref="R307:V307">
    <cfRule type="expression" dxfId="2761" priority="2694">
      <formula>$E$7&lt;&gt;"Yes"</formula>
    </cfRule>
  </conditionalFormatting>
  <conditionalFormatting sqref="R307:V307">
    <cfRule type="expression" dxfId="2760" priority="2693">
      <formula>$E307&lt;&gt;"Yes"</formula>
    </cfRule>
  </conditionalFormatting>
  <conditionalFormatting sqref="S307">
    <cfRule type="expression" dxfId="2759" priority="2692">
      <formula>$E$7&lt;&gt;"Yes"</formula>
    </cfRule>
  </conditionalFormatting>
  <conditionalFormatting sqref="S307">
    <cfRule type="expression" dxfId="2758" priority="2691">
      <formula>$E307&lt;&gt;"Yes"</formula>
    </cfRule>
  </conditionalFormatting>
  <conditionalFormatting sqref="T307">
    <cfRule type="expression" dxfId="2757" priority="2690">
      <formula>$E$7&lt;&gt;"Yes"</formula>
    </cfRule>
  </conditionalFormatting>
  <conditionalFormatting sqref="T307">
    <cfRule type="expression" dxfId="2756" priority="2689">
      <formula>$E307&lt;&gt;"Yes"</formula>
    </cfRule>
  </conditionalFormatting>
  <conditionalFormatting sqref="U307">
    <cfRule type="expression" dxfId="2755" priority="2688">
      <formula>$E$7&lt;&gt;"Yes"</formula>
    </cfRule>
  </conditionalFormatting>
  <conditionalFormatting sqref="U307">
    <cfRule type="expression" dxfId="2754" priority="2687">
      <formula>$E307&lt;&gt;"Yes"</formula>
    </cfRule>
  </conditionalFormatting>
  <conditionalFormatting sqref="V307">
    <cfRule type="expression" dxfId="2753" priority="2686">
      <formula>$E$7&lt;&gt;"Yes"</formula>
    </cfRule>
  </conditionalFormatting>
  <conditionalFormatting sqref="V307">
    <cfRule type="expression" dxfId="2752" priority="2685">
      <formula>$E307&lt;&gt;"Yes"</formula>
    </cfRule>
  </conditionalFormatting>
  <conditionalFormatting sqref="R307:V307">
    <cfRule type="expression" dxfId="2751" priority="2684">
      <formula>$E$7&lt;&gt;"Yes"</formula>
    </cfRule>
  </conditionalFormatting>
  <conditionalFormatting sqref="R307:V307">
    <cfRule type="expression" dxfId="2750" priority="2683">
      <formula>$E307&lt;&gt;"Yes"</formula>
    </cfRule>
  </conditionalFormatting>
  <conditionalFormatting sqref="Z307">
    <cfRule type="expression" dxfId="2749" priority="2682">
      <formula>$E$7&lt;&gt;"Yes"</formula>
    </cfRule>
  </conditionalFormatting>
  <conditionalFormatting sqref="Z307">
    <cfRule type="expression" dxfId="2748" priority="2681">
      <formula>$E307&lt;&gt;"Yes"</formula>
    </cfRule>
  </conditionalFormatting>
  <conditionalFormatting sqref="AN307:AO307">
    <cfRule type="expression" dxfId="2747" priority="2680">
      <formula>$E$7&lt;&gt;"Yes"</formula>
    </cfRule>
  </conditionalFormatting>
  <conditionalFormatting sqref="AN307:AO307">
    <cfRule type="expression" dxfId="2746" priority="2679">
      <formula>$E307&lt;&gt;"Yes"</formula>
    </cfRule>
  </conditionalFormatting>
  <conditionalFormatting sqref="AI307">
    <cfRule type="expression" dxfId="2745" priority="2678">
      <formula>$E$7&lt;&gt;"Yes"</formula>
    </cfRule>
  </conditionalFormatting>
  <conditionalFormatting sqref="AI307">
    <cfRule type="expression" dxfId="2744" priority="2677">
      <formula>$E307&lt;&gt;"Yes"</formula>
    </cfRule>
  </conditionalFormatting>
  <conditionalFormatting sqref="M308 F308:J308 Q308 AJ308:AK308 AF308:AH308 Y308">
    <cfRule type="expression" dxfId="2743" priority="2676">
      <formula>$E$7&lt;&gt;"Yes"</formula>
    </cfRule>
  </conditionalFormatting>
  <conditionalFormatting sqref="M308 F308:J308 Q308 AJ308:AK308 AF308:AH308 Y308">
    <cfRule type="expression" dxfId="2742" priority="2675">
      <formula>$E308&lt;&gt;"Yes"</formula>
    </cfRule>
  </conditionalFormatting>
  <conditionalFormatting sqref="G308">
    <cfRule type="expression" dxfId="2741" priority="2674">
      <formula>$E$7&lt;&gt;"Yes"</formula>
    </cfRule>
  </conditionalFormatting>
  <conditionalFormatting sqref="K308:L308">
    <cfRule type="expression" dxfId="2740" priority="2673">
      <formula>$E$7&lt;&gt;"Yes"</formula>
    </cfRule>
  </conditionalFormatting>
  <conditionalFormatting sqref="K308:L308">
    <cfRule type="expression" dxfId="2739" priority="2672">
      <formula>$E308&lt;&gt;"Yes"</formula>
    </cfRule>
  </conditionalFormatting>
  <conditionalFormatting sqref="W308">
    <cfRule type="expression" dxfId="2738" priority="2671">
      <formula>$E$7&lt;&gt;"Yes"</formula>
    </cfRule>
  </conditionalFormatting>
  <conditionalFormatting sqref="W308">
    <cfRule type="expression" dxfId="2737" priority="2670">
      <formula>$E308&lt;&gt;"Yes"</formula>
    </cfRule>
  </conditionalFormatting>
  <conditionalFormatting sqref="AE308">
    <cfRule type="expression" dxfId="2736" priority="2669">
      <formula>$E$7&lt;&gt;"Yes"</formula>
    </cfRule>
  </conditionalFormatting>
  <conditionalFormatting sqref="AE308">
    <cfRule type="expression" dxfId="2735" priority="2668">
      <formula>$E308&lt;&gt;"Yes"</formula>
    </cfRule>
  </conditionalFormatting>
  <conditionalFormatting sqref="N308">
    <cfRule type="expression" dxfId="2734" priority="2667">
      <formula>$E$7&lt;&gt;"Yes"</formula>
    </cfRule>
  </conditionalFormatting>
  <conditionalFormatting sqref="N308">
    <cfRule type="expression" dxfId="2733" priority="2666">
      <formula>$E308&lt;&gt;"Yes"</formula>
    </cfRule>
  </conditionalFormatting>
  <conditionalFormatting sqref="AB308">
    <cfRule type="expression" dxfId="2732" priority="2665">
      <formula>$E$7&lt;&gt;"Yes"</formula>
    </cfRule>
  </conditionalFormatting>
  <conditionalFormatting sqref="AB308">
    <cfRule type="expression" dxfId="2731" priority="2664">
      <formula>$E308&lt;&gt;"Yes"</formula>
    </cfRule>
  </conditionalFormatting>
  <conditionalFormatting sqref="AA308">
    <cfRule type="expression" dxfId="2730" priority="2663">
      <formula>$E$7&lt;&gt;"Yes"</formula>
    </cfRule>
  </conditionalFormatting>
  <conditionalFormatting sqref="AA308">
    <cfRule type="expression" dxfId="2729" priority="2662">
      <formula>$E308&lt;&gt;"Yes"</formula>
    </cfRule>
  </conditionalFormatting>
  <conditionalFormatting sqref="Y308">
    <cfRule type="expression" dxfId="2728" priority="2661">
      <formula>$E$7&lt;&gt;"Yes"</formula>
    </cfRule>
  </conditionalFormatting>
  <conditionalFormatting sqref="Y308">
    <cfRule type="expression" dxfId="2727" priority="2660">
      <formula>$E308&lt;&gt;"Yes"</formula>
    </cfRule>
  </conditionalFormatting>
  <conditionalFormatting sqref="O308:P308">
    <cfRule type="expression" dxfId="2726" priority="2659">
      <formula>$E$7&lt;&gt;"Yes"</formula>
    </cfRule>
  </conditionalFormatting>
  <conditionalFormatting sqref="O308:P308">
    <cfRule type="expression" dxfId="2725" priority="2658">
      <formula>$E308&lt;&gt;"Yes"</formula>
    </cfRule>
  </conditionalFormatting>
  <conditionalFormatting sqref="X308">
    <cfRule type="expression" dxfId="2724" priority="2657">
      <formula>$E$7&lt;&gt;"Yes"</formula>
    </cfRule>
  </conditionalFormatting>
  <conditionalFormatting sqref="X308">
    <cfRule type="expression" dxfId="2723" priority="2656">
      <formula>$E308&lt;&gt;"Yes"</formula>
    </cfRule>
  </conditionalFormatting>
  <conditionalFormatting sqref="AD308">
    <cfRule type="expression" dxfId="2722" priority="2655">
      <formula>$E$7&lt;&gt;"Yes"</formula>
    </cfRule>
  </conditionalFormatting>
  <conditionalFormatting sqref="AD308">
    <cfRule type="expression" dxfId="2721" priority="2654">
      <formula>$E308&lt;&gt;"Yes"</formula>
    </cfRule>
  </conditionalFormatting>
  <conditionalFormatting sqref="AC308">
    <cfRule type="expression" dxfId="2720" priority="2653">
      <formula>$E$7&lt;&gt;"Yes"</formula>
    </cfRule>
  </conditionalFormatting>
  <conditionalFormatting sqref="AC308">
    <cfRule type="expression" dxfId="2719" priority="2652">
      <formula>$E308&lt;&gt;"Yes"</formula>
    </cfRule>
  </conditionalFormatting>
  <conditionalFormatting sqref="R308:V308">
    <cfRule type="expression" dxfId="2718" priority="2651">
      <formula>$E$7&lt;&gt;"Yes"</formula>
    </cfRule>
  </conditionalFormatting>
  <conditionalFormatting sqref="R308:V308">
    <cfRule type="expression" dxfId="2717" priority="2650">
      <formula>$E308&lt;&gt;"Yes"</formula>
    </cfRule>
  </conditionalFormatting>
  <conditionalFormatting sqref="S308">
    <cfRule type="expression" dxfId="2716" priority="2649">
      <formula>$E$7&lt;&gt;"Yes"</formula>
    </cfRule>
  </conditionalFormatting>
  <conditionalFormatting sqref="S308">
    <cfRule type="expression" dxfId="2715" priority="2648">
      <formula>$E308&lt;&gt;"Yes"</formula>
    </cfRule>
  </conditionalFormatting>
  <conditionalFormatting sqref="T308">
    <cfRule type="expression" dxfId="2714" priority="2647">
      <formula>$E$7&lt;&gt;"Yes"</formula>
    </cfRule>
  </conditionalFormatting>
  <conditionalFormatting sqref="T308">
    <cfRule type="expression" dxfId="2713" priority="2646">
      <formula>$E308&lt;&gt;"Yes"</formula>
    </cfRule>
  </conditionalFormatting>
  <conditionalFormatting sqref="U308">
    <cfRule type="expression" dxfId="2712" priority="2645">
      <formula>$E$7&lt;&gt;"Yes"</formula>
    </cfRule>
  </conditionalFormatting>
  <conditionalFormatting sqref="U308">
    <cfRule type="expression" dxfId="2711" priority="2644">
      <formula>$E308&lt;&gt;"Yes"</formula>
    </cfRule>
  </conditionalFormatting>
  <conditionalFormatting sqref="V308">
    <cfRule type="expression" dxfId="2710" priority="2643">
      <formula>$E$7&lt;&gt;"Yes"</formula>
    </cfRule>
  </conditionalFormatting>
  <conditionalFormatting sqref="V308">
    <cfRule type="expression" dxfId="2709" priority="2642">
      <formula>$E308&lt;&gt;"Yes"</formula>
    </cfRule>
  </conditionalFormatting>
  <conditionalFormatting sqref="R308:V308">
    <cfRule type="expression" dxfId="2708" priority="2641">
      <formula>$E$7&lt;&gt;"Yes"</formula>
    </cfRule>
  </conditionalFormatting>
  <conditionalFormatting sqref="R308:V308">
    <cfRule type="expression" dxfId="2707" priority="2640">
      <formula>$E308&lt;&gt;"Yes"</formula>
    </cfRule>
  </conditionalFormatting>
  <conditionalFormatting sqref="Z308">
    <cfRule type="expression" dxfId="2706" priority="2639">
      <formula>$E$7&lt;&gt;"Yes"</formula>
    </cfRule>
  </conditionalFormatting>
  <conditionalFormatting sqref="Z308">
    <cfRule type="expression" dxfId="2705" priority="2638">
      <formula>$E308&lt;&gt;"Yes"</formula>
    </cfRule>
  </conditionalFormatting>
  <conditionalFormatting sqref="AN308:AO308">
    <cfRule type="expression" dxfId="2704" priority="2637">
      <formula>$E$7&lt;&gt;"Yes"</formula>
    </cfRule>
  </conditionalFormatting>
  <conditionalFormatting sqref="AN308:AO308">
    <cfRule type="expression" dxfId="2703" priority="2636">
      <formula>$E308&lt;&gt;"Yes"</formula>
    </cfRule>
  </conditionalFormatting>
  <conditionalFormatting sqref="AI308">
    <cfRule type="expression" dxfId="2702" priority="2635">
      <formula>$E$7&lt;&gt;"Yes"</formula>
    </cfRule>
  </conditionalFormatting>
  <conditionalFormatting sqref="AI308">
    <cfRule type="expression" dxfId="2701" priority="2634">
      <formula>$E308&lt;&gt;"Yes"</formula>
    </cfRule>
  </conditionalFormatting>
  <conditionalFormatting sqref="M309 F309:J309 Q309 AJ309:AK309 AF309:AH309 Y309">
    <cfRule type="expression" dxfId="2700" priority="2633">
      <formula>$E$7&lt;&gt;"Yes"</formula>
    </cfRule>
  </conditionalFormatting>
  <conditionalFormatting sqref="M309 F309:J309 Q309 AJ309:AK309 AF309:AH309 Y309">
    <cfRule type="expression" dxfId="2699" priority="2632">
      <formula>$E309&lt;&gt;"Yes"</formula>
    </cfRule>
  </conditionalFormatting>
  <conditionalFormatting sqref="G309">
    <cfRule type="expression" dxfId="2698" priority="2631">
      <formula>$E$7&lt;&gt;"Yes"</formula>
    </cfRule>
  </conditionalFormatting>
  <conditionalFormatting sqref="K309:L309">
    <cfRule type="expression" dxfId="2697" priority="2630">
      <formula>$E$7&lt;&gt;"Yes"</formula>
    </cfRule>
  </conditionalFormatting>
  <conditionalFormatting sqref="K309:L309">
    <cfRule type="expression" dxfId="2696" priority="2629">
      <formula>$E309&lt;&gt;"Yes"</formula>
    </cfRule>
  </conditionalFormatting>
  <conditionalFormatting sqref="W309">
    <cfRule type="expression" dxfId="2695" priority="2628">
      <formula>$E$7&lt;&gt;"Yes"</formula>
    </cfRule>
  </conditionalFormatting>
  <conditionalFormatting sqref="W309">
    <cfRule type="expression" dxfId="2694" priority="2627">
      <formula>$E309&lt;&gt;"Yes"</formula>
    </cfRule>
  </conditionalFormatting>
  <conditionalFormatting sqref="AE309">
    <cfRule type="expression" dxfId="2693" priority="2626">
      <formula>$E$7&lt;&gt;"Yes"</formula>
    </cfRule>
  </conditionalFormatting>
  <conditionalFormatting sqref="AE309">
    <cfRule type="expression" dxfId="2692" priority="2625">
      <formula>$E309&lt;&gt;"Yes"</formula>
    </cfRule>
  </conditionalFormatting>
  <conditionalFormatting sqref="N309">
    <cfRule type="expression" dxfId="2691" priority="2624">
      <formula>$E$7&lt;&gt;"Yes"</formula>
    </cfRule>
  </conditionalFormatting>
  <conditionalFormatting sqref="N309">
    <cfRule type="expression" dxfId="2690" priority="2623">
      <formula>$E309&lt;&gt;"Yes"</formula>
    </cfRule>
  </conditionalFormatting>
  <conditionalFormatting sqref="AB309">
    <cfRule type="expression" dxfId="2689" priority="2622">
      <formula>$E$7&lt;&gt;"Yes"</formula>
    </cfRule>
  </conditionalFormatting>
  <conditionalFormatting sqref="AB309">
    <cfRule type="expression" dxfId="2688" priority="2621">
      <formula>$E309&lt;&gt;"Yes"</formula>
    </cfRule>
  </conditionalFormatting>
  <conditionalFormatting sqref="AA309">
    <cfRule type="expression" dxfId="2687" priority="2620">
      <formula>$E$7&lt;&gt;"Yes"</formula>
    </cfRule>
  </conditionalFormatting>
  <conditionalFormatting sqref="AA309">
    <cfRule type="expression" dxfId="2686" priority="2619">
      <formula>$E309&lt;&gt;"Yes"</formula>
    </cfRule>
  </conditionalFormatting>
  <conditionalFormatting sqref="Y309">
    <cfRule type="expression" dxfId="2685" priority="2618">
      <formula>$E$7&lt;&gt;"Yes"</formula>
    </cfRule>
  </conditionalFormatting>
  <conditionalFormatting sqref="Y309">
    <cfRule type="expression" dxfId="2684" priority="2617">
      <formula>$E309&lt;&gt;"Yes"</formula>
    </cfRule>
  </conditionalFormatting>
  <conditionalFormatting sqref="O309:P309">
    <cfRule type="expression" dxfId="2683" priority="2616">
      <formula>$E$7&lt;&gt;"Yes"</formula>
    </cfRule>
  </conditionalFormatting>
  <conditionalFormatting sqref="O309:P309">
    <cfRule type="expression" dxfId="2682" priority="2615">
      <formula>$E309&lt;&gt;"Yes"</formula>
    </cfRule>
  </conditionalFormatting>
  <conditionalFormatting sqref="X309">
    <cfRule type="expression" dxfId="2681" priority="2614">
      <formula>$E$7&lt;&gt;"Yes"</formula>
    </cfRule>
  </conditionalFormatting>
  <conditionalFormatting sqref="X309">
    <cfRule type="expression" dxfId="2680" priority="2613">
      <formula>$E309&lt;&gt;"Yes"</formula>
    </cfRule>
  </conditionalFormatting>
  <conditionalFormatting sqref="AD309">
    <cfRule type="expression" dxfId="2679" priority="2612">
      <formula>$E$7&lt;&gt;"Yes"</formula>
    </cfRule>
  </conditionalFormatting>
  <conditionalFormatting sqref="AD309">
    <cfRule type="expression" dxfId="2678" priority="2611">
      <formula>$E309&lt;&gt;"Yes"</formula>
    </cfRule>
  </conditionalFormatting>
  <conditionalFormatting sqref="AC309">
    <cfRule type="expression" dxfId="2677" priority="2610">
      <formula>$E$7&lt;&gt;"Yes"</formula>
    </cfRule>
  </conditionalFormatting>
  <conditionalFormatting sqref="AC309">
    <cfRule type="expression" dxfId="2676" priority="2609">
      <formula>$E309&lt;&gt;"Yes"</formula>
    </cfRule>
  </conditionalFormatting>
  <conditionalFormatting sqref="R309:V309">
    <cfRule type="expression" dxfId="2675" priority="2608">
      <formula>$E$7&lt;&gt;"Yes"</formula>
    </cfRule>
  </conditionalFormatting>
  <conditionalFormatting sqref="R309:V309">
    <cfRule type="expression" dxfId="2674" priority="2607">
      <formula>$E309&lt;&gt;"Yes"</formula>
    </cfRule>
  </conditionalFormatting>
  <conditionalFormatting sqref="S309">
    <cfRule type="expression" dxfId="2673" priority="2606">
      <formula>$E$7&lt;&gt;"Yes"</formula>
    </cfRule>
  </conditionalFormatting>
  <conditionalFormatting sqref="S309">
    <cfRule type="expression" dxfId="2672" priority="2605">
      <formula>$E309&lt;&gt;"Yes"</formula>
    </cfRule>
  </conditionalFormatting>
  <conditionalFormatting sqref="T309">
    <cfRule type="expression" dxfId="2671" priority="2604">
      <formula>$E$7&lt;&gt;"Yes"</formula>
    </cfRule>
  </conditionalFormatting>
  <conditionalFormatting sqref="T309">
    <cfRule type="expression" dxfId="2670" priority="2603">
      <formula>$E309&lt;&gt;"Yes"</formula>
    </cfRule>
  </conditionalFormatting>
  <conditionalFormatting sqref="U309">
    <cfRule type="expression" dxfId="2669" priority="2602">
      <formula>$E$7&lt;&gt;"Yes"</formula>
    </cfRule>
  </conditionalFormatting>
  <conditionalFormatting sqref="U309">
    <cfRule type="expression" dxfId="2668" priority="2601">
      <formula>$E309&lt;&gt;"Yes"</formula>
    </cfRule>
  </conditionalFormatting>
  <conditionalFormatting sqref="V309">
    <cfRule type="expression" dxfId="2667" priority="2600">
      <formula>$E$7&lt;&gt;"Yes"</formula>
    </cfRule>
  </conditionalFormatting>
  <conditionalFormatting sqref="V309">
    <cfRule type="expression" dxfId="2666" priority="2599">
      <formula>$E309&lt;&gt;"Yes"</formula>
    </cfRule>
  </conditionalFormatting>
  <conditionalFormatting sqref="R309:V309">
    <cfRule type="expression" dxfId="2665" priority="2598">
      <formula>$E$7&lt;&gt;"Yes"</formula>
    </cfRule>
  </conditionalFormatting>
  <conditionalFormatting sqref="R309:V309">
    <cfRule type="expression" dxfId="2664" priority="2597">
      <formula>$E309&lt;&gt;"Yes"</formula>
    </cfRule>
  </conditionalFormatting>
  <conditionalFormatting sqref="Z309">
    <cfRule type="expression" dxfId="2663" priority="2596">
      <formula>$E$7&lt;&gt;"Yes"</formula>
    </cfRule>
  </conditionalFormatting>
  <conditionalFormatting sqref="Z309">
    <cfRule type="expression" dxfId="2662" priority="2595">
      <formula>$E309&lt;&gt;"Yes"</formula>
    </cfRule>
  </conditionalFormatting>
  <conditionalFormatting sqref="AN309:AO309">
    <cfRule type="expression" dxfId="2661" priority="2594">
      <formula>$E$7&lt;&gt;"Yes"</formula>
    </cfRule>
  </conditionalFormatting>
  <conditionalFormatting sqref="AN309:AO309">
    <cfRule type="expression" dxfId="2660" priority="2593">
      <formula>$E309&lt;&gt;"Yes"</formula>
    </cfRule>
  </conditionalFormatting>
  <conditionalFormatting sqref="AI309">
    <cfRule type="expression" dxfId="2659" priority="2592">
      <formula>$E$7&lt;&gt;"Yes"</formula>
    </cfRule>
  </conditionalFormatting>
  <conditionalFormatting sqref="AI309">
    <cfRule type="expression" dxfId="2658" priority="2591">
      <formula>$E309&lt;&gt;"Yes"</formula>
    </cfRule>
  </conditionalFormatting>
  <conditionalFormatting sqref="M310 F310:J310 Q310 AJ310:AK310 AF310:AH310 Y310">
    <cfRule type="expression" dxfId="2657" priority="2590">
      <formula>$E$7&lt;&gt;"Yes"</formula>
    </cfRule>
  </conditionalFormatting>
  <conditionalFormatting sqref="M310 F310:J310 Q310 AJ310:AK310 AF310:AH310 Y310">
    <cfRule type="expression" dxfId="2656" priority="2589">
      <formula>$E310&lt;&gt;"Yes"</formula>
    </cfRule>
  </conditionalFormatting>
  <conditionalFormatting sqref="G310">
    <cfRule type="expression" dxfId="2655" priority="2588">
      <formula>$E$7&lt;&gt;"Yes"</formula>
    </cfRule>
  </conditionalFormatting>
  <conditionalFormatting sqref="K310:L310">
    <cfRule type="expression" dxfId="2654" priority="2587">
      <formula>$E$7&lt;&gt;"Yes"</formula>
    </cfRule>
  </conditionalFormatting>
  <conditionalFormatting sqref="K310:L310">
    <cfRule type="expression" dxfId="2653" priority="2586">
      <formula>$E310&lt;&gt;"Yes"</formula>
    </cfRule>
  </conditionalFormatting>
  <conditionalFormatting sqref="W310">
    <cfRule type="expression" dxfId="2652" priority="2585">
      <formula>$E$7&lt;&gt;"Yes"</formula>
    </cfRule>
  </conditionalFormatting>
  <conditionalFormatting sqref="W310">
    <cfRule type="expression" dxfId="2651" priority="2584">
      <formula>$E310&lt;&gt;"Yes"</formula>
    </cfRule>
  </conditionalFormatting>
  <conditionalFormatting sqref="AE310">
    <cfRule type="expression" dxfId="2650" priority="2583">
      <formula>$E$7&lt;&gt;"Yes"</formula>
    </cfRule>
  </conditionalFormatting>
  <conditionalFormatting sqref="AE310">
    <cfRule type="expression" dxfId="2649" priority="2582">
      <formula>$E310&lt;&gt;"Yes"</formula>
    </cfRule>
  </conditionalFormatting>
  <conditionalFormatting sqref="N310">
    <cfRule type="expression" dxfId="2648" priority="2581">
      <formula>$E$7&lt;&gt;"Yes"</formula>
    </cfRule>
  </conditionalFormatting>
  <conditionalFormatting sqref="N310">
    <cfRule type="expression" dxfId="2647" priority="2580">
      <formula>$E310&lt;&gt;"Yes"</formula>
    </cfRule>
  </conditionalFormatting>
  <conditionalFormatting sqref="AB310">
    <cfRule type="expression" dxfId="2646" priority="2579">
      <formula>$E$7&lt;&gt;"Yes"</formula>
    </cfRule>
  </conditionalFormatting>
  <conditionalFormatting sqref="AB310">
    <cfRule type="expression" dxfId="2645" priority="2578">
      <formula>$E310&lt;&gt;"Yes"</formula>
    </cfRule>
  </conditionalFormatting>
  <conditionalFormatting sqref="AA310">
    <cfRule type="expression" dxfId="2644" priority="2577">
      <formula>$E$7&lt;&gt;"Yes"</formula>
    </cfRule>
  </conditionalFormatting>
  <conditionalFormatting sqref="AA310">
    <cfRule type="expression" dxfId="2643" priority="2576">
      <formula>$E310&lt;&gt;"Yes"</formula>
    </cfRule>
  </conditionalFormatting>
  <conditionalFormatting sqref="Y310">
    <cfRule type="expression" dxfId="2642" priority="2575">
      <formula>$E$7&lt;&gt;"Yes"</formula>
    </cfRule>
  </conditionalFormatting>
  <conditionalFormatting sqref="Y310">
    <cfRule type="expression" dxfId="2641" priority="2574">
      <formula>$E310&lt;&gt;"Yes"</formula>
    </cfRule>
  </conditionalFormatting>
  <conditionalFormatting sqref="O310:P310">
    <cfRule type="expression" dxfId="2640" priority="2573">
      <formula>$E$7&lt;&gt;"Yes"</formula>
    </cfRule>
  </conditionalFormatting>
  <conditionalFormatting sqref="O310:P310">
    <cfRule type="expression" dxfId="2639" priority="2572">
      <formula>$E310&lt;&gt;"Yes"</formula>
    </cfRule>
  </conditionalFormatting>
  <conditionalFormatting sqref="X310">
    <cfRule type="expression" dxfId="2638" priority="2571">
      <formula>$E$7&lt;&gt;"Yes"</formula>
    </cfRule>
  </conditionalFormatting>
  <conditionalFormatting sqref="X310">
    <cfRule type="expression" dxfId="2637" priority="2570">
      <formula>$E310&lt;&gt;"Yes"</formula>
    </cfRule>
  </conditionalFormatting>
  <conditionalFormatting sqref="AD310">
    <cfRule type="expression" dxfId="2636" priority="2569">
      <formula>$E$7&lt;&gt;"Yes"</formula>
    </cfRule>
  </conditionalFormatting>
  <conditionalFormatting sqref="AD310">
    <cfRule type="expression" dxfId="2635" priority="2568">
      <formula>$E310&lt;&gt;"Yes"</formula>
    </cfRule>
  </conditionalFormatting>
  <conditionalFormatting sqref="AC310">
    <cfRule type="expression" dxfId="2634" priority="2567">
      <formula>$E$7&lt;&gt;"Yes"</formula>
    </cfRule>
  </conditionalFormatting>
  <conditionalFormatting sqref="AC310">
    <cfRule type="expression" dxfId="2633" priority="2566">
      <formula>$E310&lt;&gt;"Yes"</formula>
    </cfRule>
  </conditionalFormatting>
  <conditionalFormatting sqref="R310:V310">
    <cfRule type="expression" dxfId="2632" priority="2565">
      <formula>$E$7&lt;&gt;"Yes"</formula>
    </cfRule>
  </conditionalFormatting>
  <conditionalFormatting sqref="R310:V310">
    <cfRule type="expression" dxfId="2631" priority="2564">
      <formula>$E310&lt;&gt;"Yes"</formula>
    </cfRule>
  </conditionalFormatting>
  <conditionalFormatting sqref="S310">
    <cfRule type="expression" dxfId="2630" priority="2563">
      <formula>$E$7&lt;&gt;"Yes"</formula>
    </cfRule>
  </conditionalFormatting>
  <conditionalFormatting sqref="S310">
    <cfRule type="expression" dxfId="2629" priority="2562">
      <formula>$E310&lt;&gt;"Yes"</formula>
    </cfRule>
  </conditionalFormatting>
  <conditionalFormatting sqref="T310">
    <cfRule type="expression" dxfId="2628" priority="2561">
      <formula>$E$7&lt;&gt;"Yes"</formula>
    </cfRule>
  </conditionalFormatting>
  <conditionalFormatting sqref="T310">
    <cfRule type="expression" dxfId="2627" priority="2560">
      <formula>$E310&lt;&gt;"Yes"</formula>
    </cfRule>
  </conditionalFormatting>
  <conditionalFormatting sqref="U310">
    <cfRule type="expression" dxfId="2626" priority="2559">
      <formula>$E$7&lt;&gt;"Yes"</formula>
    </cfRule>
  </conditionalFormatting>
  <conditionalFormatting sqref="U310">
    <cfRule type="expression" dxfId="2625" priority="2558">
      <formula>$E310&lt;&gt;"Yes"</formula>
    </cfRule>
  </conditionalFormatting>
  <conditionalFormatting sqref="V310">
    <cfRule type="expression" dxfId="2624" priority="2557">
      <formula>$E$7&lt;&gt;"Yes"</formula>
    </cfRule>
  </conditionalFormatting>
  <conditionalFormatting sqref="V310">
    <cfRule type="expression" dxfId="2623" priority="2556">
      <formula>$E310&lt;&gt;"Yes"</formula>
    </cfRule>
  </conditionalFormatting>
  <conditionalFormatting sqref="R310:V310">
    <cfRule type="expression" dxfId="2622" priority="2555">
      <formula>$E$7&lt;&gt;"Yes"</formula>
    </cfRule>
  </conditionalFormatting>
  <conditionalFormatting sqref="R310:V310">
    <cfRule type="expression" dxfId="2621" priority="2554">
      <formula>$E310&lt;&gt;"Yes"</formula>
    </cfRule>
  </conditionalFormatting>
  <conditionalFormatting sqref="Z310">
    <cfRule type="expression" dxfId="2620" priority="2553">
      <formula>$E$7&lt;&gt;"Yes"</formula>
    </cfRule>
  </conditionalFormatting>
  <conditionalFormatting sqref="Z310">
    <cfRule type="expression" dxfId="2619" priority="2552">
      <formula>$E310&lt;&gt;"Yes"</formula>
    </cfRule>
  </conditionalFormatting>
  <conditionalFormatting sqref="AN310:AO310">
    <cfRule type="expression" dxfId="2618" priority="2551">
      <formula>$E$7&lt;&gt;"Yes"</formula>
    </cfRule>
  </conditionalFormatting>
  <conditionalFormatting sqref="AN310:AO310">
    <cfRule type="expression" dxfId="2617" priority="2550">
      <formula>$E310&lt;&gt;"Yes"</formula>
    </cfRule>
  </conditionalFormatting>
  <conditionalFormatting sqref="AI310">
    <cfRule type="expression" dxfId="2616" priority="2549">
      <formula>$E$7&lt;&gt;"Yes"</formula>
    </cfRule>
  </conditionalFormatting>
  <conditionalFormatting sqref="AI310">
    <cfRule type="expression" dxfId="2615" priority="2548">
      <formula>$E310&lt;&gt;"Yes"</formula>
    </cfRule>
  </conditionalFormatting>
  <conditionalFormatting sqref="M155 F155:J155 Q155 AJ155:AK155 AF155:AH155 Y155">
    <cfRule type="expression" dxfId="2614" priority="2547">
      <formula>$E$7&lt;&gt;"Yes"</formula>
    </cfRule>
  </conditionalFormatting>
  <conditionalFormatting sqref="M155 F155:J155 Q155 AJ155:AK155 AF155:AH155 Y155">
    <cfRule type="expression" dxfId="2613" priority="2546">
      <formula>$E155&lt;&gt;"Yes"</formula>
    </cfRule>
  </conditionalFormatting>
  <conditionalFormatting sqref="G155">
    <cfRule type="expression" dxfId="2612" priority="2545">
      <formula>$E$7&lt;&gt;"Yes"</formula>
    </cfRule>
  </conditionalFormatting>
  <conditionalFormatting sqref="K155:L155">
    <cfRule type="expression" dxfId="2611" priority="2544">
      <formula>$E$7&lt;&gt;"Yes"</formula>
    </cfRule>
  </conditionalFormatting>
  <conditionalFormatting sqref="K155:L155">
    <cfRule type="expression" dxfId="2610" priority="2543">
      <formula>$E155&lt;&gt;"Yes"</formula>
    </cfRule>
  </conditionalFormatting>
  <conditionalFormatting sqref="W155">
    <cfRule type="expression" dxfId="2609" priority="2542">
      <formula>$E$7&lt;&gt;"Yes"</formula>
    </cfRule>
  </conditionalFormatting>
  <conditionalFormatting sqref="W155">
    <cfRule type="expression" dxfId="2608" priority="2541">
      <formula>$E155&lt;&gt;"Yes"</formula>
    </cfRule>
  </conditionalFormatting>
  <conditionalFormatting sqref="AE155">
    <cfRule type="expression" dxfId="2607" priority="2540">
      <formula>$E$7&lt;&gt;"Yes"</formula>
    </cfRule>
  </conditionalFormatting>
  <conditionalFormatting sqref="AE155">
    <cfRule type="expression" dxfId="2606" priority="2539">
      <formula>$E155&lt;&gt;"Yes"</formula>
    </cfRule>
  </conditionalFormatting>
  <conditionalFormatting sqref="N155">
    <cfRule type="expression" dxfId="2605" priority="2538">
      <formula>$E$7&lt;&gt;"Yes"</formula>
    </cfRule>
  </conditionalFormatting>
  <conditionalFormatting sqref="N155">
    <cfRule type="expression" dxfId="2604" priority="2537">
      <formula>$E155&lt;&gt;"Yes"</formula>
    </cfRule>
  </conditionalFormatting>
  <conditionalFormatting sqref="AB155">
    <cfRule type="expression" dxfId="2603" priority="2536">
      <formula>$E$7&lt;&gt;"Yes"</formula>
    </cfRule>
  </conditionalFormatting>
  <conditionalFormatting sqref="AB155">
    <cfRule type="expression" dxfId="2602" priority="2535">
      <formula>$E155&lt;&gt;"Yes"</formula>
    </cfRule>
  </conditionalFormatting>
  <conditionalFormatting sqref="AA155">
    <cfRule type="expression" dxfId="2601" priority="2534">
      <formula>$E$7&lt;&gt;"Yes"</formula>
    </cfRule>
  </conditionalFormatting>
  <conditionalFormatting sqref="AA155">
    <cfRule type="expression" dxfId="2600" priority="2533">
      <formula>$E155&lt;&gt;"Yes"</formula>
    </cfRule>
  </conditionalFormatting>
  <conditionalFormatting sqref="Y155">
    <cfRule type="expression" dxfId="2599" priority="2532">
      <formula>$E$7&lt;&gt;"Yes"</formula>
    </cfRule>
  </conditionalFormatting>
  <conditionalFormatting sqref="Y155">
    <cfRule type="expression" dxfId="2598" priority="2531">
      <formula>$E155&lt;&gt;"Yes"</formula>
    </cfRule>
  </conditionalFormatting>
  <conditionalFormatting sqref="O155:P155">
    <cfRule type="expression" dxfId="2597" priority="2530">
      <formula>$E$7&lt;&gt;"Yes"</formula>
    </cfRule>
  </conditionalFormatting>
  <conditionalFormatting sqref="O155:P155">
    <cfRule type="expression" dxfId="2596" priority="2529">
      <formula>$E155&lt;&gt;"Yes"</formula>
    </cfRule>
  </conditionalFormatting>
  <conditionalFormatting sqref="X155">
    <cfRule type="expression" dxfId="2595" priority="2528">
      <formula>$E$7&lt;&gt;"Yes"</formula>
    </cfRule>
  </conditionalFormatting>
  <conditionalFormatting sqref="X155">
    <cfRule type="expression" dxfId="2594" priority="2527">
      <formula>$E155&lt;&gt;"Yes"</formula>
    </cfRule>
  </conditionalFormatting>
  <conditionalFormatting sqref="AD155">
    <cfRule type="expression" dxfId="2593" priority="2526">
      <formula>$E$7&lt;&gt;"Yes"</formula>
    </cfRule>
  </conditionalFormatting>
  <conditionalFormatting sqref="AD155">
    <cfRule type="expression" dxfId="2592" priority="2525">
      <formula>$E155&lt;&gt;"Yes"</formula>
    </cfRule>
  </conditionalFormatting>
  <conditionalFormatting sqref="AC155">
    <cfRule type="expression" dxfId="2591" priority="2524">
      <formula>$E$7&lt;&gt;"Yes"</formula>
    </cfRule>
  </conditionalFormatting>
  <conditionalFormatting sqref="AC155">
    <cfRule type="expression" dxfId="2590" priority="2523">
      <formula>$E155&lt;&gt;"Yes"</formula>
    </cfRule>
  </conditionalFormatting>
  <conditionalFormatting sqref="R155:V155">
    <cfRule type="expression" dxfId="2589" priority="2522">
      <formula>$E$7&lt;&gt;"Yes"</formula>
    </cfRule>
  </conditionalFormatting>
  <conditionalFormatting sqref="R155:V155">
    <cfRule type="expression" dxfId="2588" priority="2521">
      <formula>$E155&lt;&gt;"Yes"</formula>
    </cfRule>
  </conditionalFormatting>
  <conditionalFormatting sqref="S155">
    <cfRule type="expression" dxfId="2587" priority="2520">
      <formula>$E$7&lt;&gt;"Yes"</formula>
    </cfRule>
  </conditionalFormatting>
  <conditionalFormatting sqref="S155">
    <cfRule type="expression" dxfId="2586" priority="2519">
      <formula>$E155&lt;&gt;"Yes"</formula>
    </cfRule>
  </conditionalFormatting>
  <conditionalFormatting sqref="T155">
    <cfRule type="expression" dxfId="2585" priority="2518">
      <formula>$E$7&lt;&gt;"Yes"</formula>
    </cfRule>
  </conditionalFormatting>
  <conditionalFormatting sqref="T155">
    <cfRule type="expression" dxfId="2584" priority="2517">
      <formula>$E155&lt;&gt;"Yes"</formula>
    </cfRule>
  </conditionalFormatting>
  <conditionalFormatting sqref="U155">
    <cfRule type="expression" dxfId="2583" priority="2516">
      <formula>$E$7&lt;&gt;"Yes"</formula>
    </cfRule>
  </conditionalFormatting>
  <conditionalFormatting sqref="U155">
    <cfRule type="expression" dxfId="2582" priority="2515">
      <formula>$E155&lt;&gt;"Yes"</formula>
    </cfRule>
  </conditionalFormatting>
  <conditionalFormatting sqref="V155">
    <cfRule type="expression" dxfId="2581" priority="2514">
      <formula>$E$7&lt;&gt;"Yes"</formula>
    </cfRule>
  </conditionalFormatting>
  <conditionalFormatting sqref="V155">
    <cfRule type="expression" dxfId="2580" priority="2513">
      <formula>$E155&lt;&gt;"Yes"</formula>
    </cfRule>
  </conditionalFormatting>
  <conditionalFormatting sqref="R155:V155">
    <cfRule type="expression" dxfId="2579" priority="2512">
      <formula>$E$7&lt;&gt;"Yes"</formula>
    </cfRule>
  </conditionalFormatting>
  <conditionalFormatting sqref="R155:V155">
    <cfRule type="expression" dxfId="2578" priority="2511">
      <formula>$E155&lt;&gt;"Yes"</formula>
    </cfRule>
  </conditionalFormatting>
  <conditionalFormatting sqref="Z155">
    <cfRule type="expression" dxfId="2577" priority="2510">
      <formula>$E$7&lt;&gt;"Yes"</formula>
    </cfRule>
  </conditionalFormatting>
  <conditionalFormatting sqref="Z155">
    <cfRule type="expression" dxfId="2576" priority="2509">
      <formula>$E155&lt;&gt;"Yes"</formula>
    </cfRule>
  </conditionalFormatting>
  <conditionalFormatting sqref="AN155:AO155">
    <cfRule type="expression" dxfId="2575" priority="2508">
      <formula>$E$7&lt;&gt;"Yes"</formula>
    </cfRule>
  </conditionalFormatting>
  <conditionalFormatting sqref="AN155:AO155">
    <cfRule type="expression" dxfId="2574" priority="2507">
      <formula>$E155&lt;&gt;"Yes"</formula>
    </cfRule>
  </conditionalFormatting>
  <conditionalFormatting sqref="AI155">
    <cfRule type="expression" dxfId="2573" priority="2506">
      <formula>$E$7&lt;&gt;"Yes"</formula>
    </cfRule>
  </conditionalFormatting>
  <conditionalFormatting sqref="AI155">
    <cfRule type="expression" dxfId="2572" priority="2505">
      <formula>$E155&lt;&gt;"Yes"</formula>
    </cfRule>
  </conditionalFormatting>
  <conditionalFormatting sqref="M156 F156:J156 Q156 AJ156:AK156 AF156:AH156 Y156">
    <cfRule type="expression" dxfId="2571" priority="2504">
      <formula>$E$7&lt;&gt;"Yes"</formula>
    </cfRule>
  </conditionalFormatting>
  <conditionalFormatting sqref="M156 F156:J156 Q156 AJ156:AK156 AF156:AH156 Y156">
    <cfRule type="expression" dxfId="2570" priority="2503">
      <formula>$E156&lt;&gt;"Yes"</formula>
    </cfRule>
  </conditionalFormatting>
  <conditionalFormatting sqref="G156">
    <cfRule type="expression" dxfId="2569" priority="2502">
      <formula>$E$7&lt;&gt;"Yes"</formula>
    </cfRule>
  </conditionalFormatting>
  <conditionalFormatting sqref="K156:L156">
    <cfRule type="expression" dxfId="2568" priority="2501">
      <formula>$E$7&lt;&gt;"Yes"</formula>
    </cfRule>
  </conditionalFormatting>
  <conditionalFormatting sqref="K156:L156">
    <cfRule type="expression" dxfId="2567" priority="2500">
      <formula>$E156&lt;&gt;"Yes"</formula>
    </cfRule>
  </conditionalFormatting>
  <conditionalFormatting sqref="W156">
    <cfRule type="expression" dxfId="2566" priority="2499">
      <formula>$E$7&lt;&gt;"Yes"</formula>
    </cfRule>
  </conditionalFormatting>
  <conditionalFormatting sqref="W156">
    <cfRule type="expression" dxfId="2565" priority="2498">
      <formula>$E156&lt;&gt;"Yes"</formula>
    </cfRule>
  </conditionalFormatting>
  <conditionalFormatting sqref="AE156">
    <cfRule type="expression" dxfId="2564" priority="2497">
      <formula>$E$7&lt;&gt;"Yes"</formula>
    </cfRule>
  </conditionalFormatting>
  <conditionalFormatting sqref="AE156">
    <cfRule type="expression" dxfId="2563" priority="2496">
      <formula>$E156&lt;&gt;"Yes"</formula>
    </cfRule>
  </conditionalFormatting>
  <conditionalFormatting sqref="N156">
    <cfRule type="expression" dxfId="2562" priority="2495">
      <formula>$E$7&lt;&gt;"Yes"</formula>
    </cfRule>
  </conditionalFormatting>
  <conditionalFormatting sqref="N156">
    <cfRule type="expression" dxfId="2561" priority="2494">
      <formula>$E156&lt;&gt;"Yes"</formula>
    </cfRule>
  </conditionalFormatting>
  <conditionalFormatting sqref="AB156">
    <cfRule type="expression" dxfId="2560" priority="2493">
      <formula>$E$7&lt;&gt;"Yes"</formula>
    </cfRule>
  </conditionalFormatting>
  <conditionalFormatting sqref="AB156">
    <cfRule type="expression" dxfId="2559" priority="2492">
      <formula>$E156&lt;&gt;"Yes"</formula>
    </cfRule>
  </conditionalFormatting>
  <conditionalFormatting sqref="AA156">
    <cfRule type="expression" dxfId="2558" priority="2491">
      <formula>$E$7&lt;&gt;"Yes"</formula>
    </cfRule>
  </conditionalFormatting>
  <conditionalFormatting sqref="AA156">
    <cfRule type="expression" dxfId="2557" priority="2490">
      <formula>$E156&lt;&gt;"Yes"</formula>
    </cfRule>
  </conditionalFormatting>
  <conditionalFormatting sqref="Y156">
    <cfRule type="expression" dxfId="2556" priority="2489">
      <formula>$E$7&lt;&gt;"Yes"</formula>
    </cfRule>
  </conditionalFormatting>
  <conditionalFormatting sqref="Y156">
    <cfRule type="expression" dxfId="2555" priority="2488">
      <formula>$E156&lt;&gt;"Yes"</formula>
    </cfRule>
  </conditionalFormatting>
  <conditionalFormatting sqref="O156:P156">
    <cfRule type="expression" dxfId="2554" priority="2487">
      <formula>$E$7&lt;&gt;"Yes"</formula>
    </cfRule>
  </conditionalFormatting>
  <conditionalFormatting sqref="O156:P156">
    <cfRule type="expression" dxfId="2553" priority="2486">
      <formula>$E156&lt;&gt;"Yes"</formula>
    </cfRule>
  </conditionalFormatting>
  <conditionalFormatting sqref="X156">
    <cfRule type="expression" dxfId="2552" priority="2485">
      <formula>$E$7&lt;&gt;"Yes"</formula>
    </cfRule>
  </conditionalFormatting>
  <conditionalFormatting sqref="X156">
    <cfRule type="expression" dxfId="2551" priority="2484">
      <formula>$E156&lt;&gt;"Yes"</formula>
    </cfRule>
  </conditionalFormatting>
  <conditionalFormatting sqref="AD156">
    <cfRule type="expression" dxfId="2550" priority="2483">
      <formula>$E$7&lt;&gt;"Yes"</formula>
    </cfRule>
  </conditionalFormatting>
  <conditionalFormatting sqref="AD156">
    <cfRule type="expression" dxfId="2549" priority="2482">
      <formula>$E156&lt;&gt;"Yes"</formula>
    </cfRule>
  </conditionalFormatting>
  <conditionalFormatting sqref="AC156">
    <cfRule type="expression" dxfId="2548" priority="2481">
      <formula>$E$7&lt;&gt;"Yes"</formula>
    </cfRule>
  </conditionalFormatting>
  <conditionalFormatting sqref="AC156">
    <cfRule type="expression" dxfId="2547" priority="2480">
      <formula>$E156&lt;&gt;"Yes"</formula>
    </cfRule>
  </conditionalFormatting>
  <conditionalFormatting sqref="R156:V156">
    <cfRule type="expression" dxfId="2546" priority="2479">
      <formula>$E$7&lt;&gt;"Yes"</formula>
    </cfRule>
  </conditionalFormatting>
  <conditionalFormatting sqref="R156:V156">
    <cfRule type="expression" dxfId="2545" priority="2478">
      <formula>$E156&lt;&gt;"Yes"</formula>
    </cfRule>
  </conditionalFormatting>
  <conditionalFormatting sqref="S156">
    <cfRule type="expression" dxfId="2544" priority="2477">
      <formula>$E$7&lt;&gt;"Yes"</formula>
    </cfRule>
  </conditionalFormatting>
  <conditionalFormatting sqref="S156">
    <cfRule type="expression" dxfId="2543" priority="2476">
      <formula>$E156&lt;&gt;"Yes"</formula>
    </cfRule>
  </conditionalFormatting>
  <conditionalFormatting sqref="T156">
    <cfRule type="expression" dxfId="2542" priority="2475">
      <formula>$E$7&lt;&gt;"Yes"</formula>
    </cfRule>
  </conditionalFormatting>
  <conditionalFormatting sqref="T156">
    <cfRule type="expression" dxfId="2541" priority="2474">
      <formula>$E156&lt;&gt;"Yes"</formula>
    </cfRule>
  </conditionalFormatting>
  <conditionalFormatting sqref="U156">
    <cfRule type="expression" dxfId="2540" priority="2473">
      <formula>$E$7&lt;&gt;"Yes"</formula>
    </cfRule>
  </conditionalFormatting>
  <conditionalFormatting sqref="U156">
    <cfRule type="expression" dxfId="2539" priority="2472">
      <formula>$E156&lt;&gt;"Yes"</formula>
    </cfRule>
  </conditionalFormatting>
  <conditionalFormatting sqref="V156">
    <cfRule type="expression" dxfId="2538" priority="2471">
      <formula>$E$7&lt;&gt;"Yes"</formula>
    </cfRule>
  </conditionalFormatting>
  <conditionalFormatting sqref="V156">
    <cfRule type="expression" dxfId="2537" priority="2470">
      <formula>$E156&lt;&gt;"Yes"</formula>
    </cfRule>
  </conditionalFormatting>
  <conditionalFormatting sqref="R156:V156">
    <cfRule type="expression" dxfId="2536" priority="2469">
      <formula>$E$7&lt;&gt;"Yes"</formula>
    </cfRule>
  </conditionalFormatting>
  <conditionalFormatting sqref="R156:V156">
    <cfRule type="expression" dxfId="2535" priority="2468">
      <formula>$E156&lt;&gt;"Yes"</formula>
    </cfRule>
  </conditionalFormatting>
  <conditionalFormatting sqref="Z156">
    <cfRule type="expression" dxfId="2534" priority="2467">
      <formula>$E$7&lt;&gt;"Yes"</formula>
    </cfRule>
  </conditionalFormatting>
  <conditionalFormatting sqref="Z156">
    <cfRule type="expression" dxfId="2533" priority="2466">
      <formula>$E156&lt;&gt;"Yes"</formula>
    </cfRule>
  </conditionalFormatting>
  <conditionalFormatting sqref="AN156:AO156">
    <cfRule type="expression" dxfId="2532" priority="2465">
      <formula>$E$7&lt;&gt;"Yes"</formula>
    </cfRule>
  </conditionalFormatting>
  <conditionalFormatting sqref="AN156:AO156">
    <cfRule type="expression" dxfId="2531" priority="2464">
      <formula>$E156&lt;&gt;"Yes"</formula>
    </cfRule>
  </conditionalFormatting>
  <conditionalFormatting sqref="AI156">
    <cfRule type="expression" dxfId="2530" priority="2463">
      <formula>$E$7&lt;&gt;"Yes"</formula>
    </cfRule>
  </conditionalFormatting>
  <conditionalFormatting sqref="AI156">
    <cfRule type="expression" dxfId="2529" priority="2462">
      <formula>$E156&lt;&gt;"Yes"</formula>
    </cfRule>
  </conditionalFormatting>
  <conditionalFormatting sqref="M391 F391:J391 Q391 AJ391:AK391 AF391:AH391 Y391">
    <cfRule type="expression" dxfId="2528" priority="2461">
      <formula>$E$7&lt;&gt;"Yes"</formula>
    </cfRule>
  </conditionalFormatting>
  <conditionalFormatting sqref="M391 F391:J391 Q391 AJ391:AK391 AF391:AH391 Y391">
    <cfRule type="expression" dxfId="2527" priority="2460">
      <formula>$E391&lt;&gt;"Yes"</formula>
    </cfRule>
  </conditionalFormatting>
  <conditionalFormatting sqref="G391">
    <cfRule type="expression" dxfId="2526" priority="2459">
      <formula>$E$7&lt;&gt;"Yes"</formula>
    </cfRule>
  </conditionalFormatting>
  <conditionalFormatting sqref="K391:L391">
    <cfRule type="expression" dxfId="2525" priority="2458">
      <formula>$E$7&lt;&gt;"Yes"</formula>
    </cfRule>
  </conditionalFormatting>
  <conditionalFormatting sqref="K391:L391">
    <cfRule type="expression" dxfId="2524" priority="2457">
      <formula>$E391&lt;&gt;"Yes"</formula>
    </cfRule>
  </conditionalFormatting>
  <conditionalFormatting sqref="W391">
    <cfRule type="expression" dxfId="2523" priority="2456">
      <formula>$E$7&lt;&gt;"Yes"</formula>
    </cfRule>
  </conditionalFormatting>
  <conditionalFormatting sqref="W391">
    <cfRule type="expression" dxfId="2522" priority="2455">
      <formula>$E391&lt;&gt;"Yes"</formula>
    </cfRule>
  </conditionalFormatting>
  <conditionalFormatting sqref="AE391">
    <cfRule type="expression" dxfId="2521" priority="2454">
      <formula>$E$7&lt;&gt;"Yes"</formula>
    </cfRule>
  </conditionalFormatting>
  <conditionalFormatting sqref="AE391">
    <cfRule type="expression" dxfId="2520" priority="2453">
      <formula>$E391&lt;&gt;"Yes"</formula>
    </cfRule>
  </conditionalFormatting>
  <conditionalFormatting sqref="N391">
    <cfRule type="expression" dxfId="2519" priority="2452">
      <formula>$E$7&lt;&gt;"Yes"</formula>
    </cfRule>
  </conditionalFormatting>
  <conditionalFormatting sqref="N391">
    <cfRule type="expression" dxfId="2518" priority="2451">
      <formula>$E391&lt;&gt;"Yes"</formula>
    </cfRule>
  </conditionalFormatting>
  <conditionalFormatting sqref="AB391">
    <cfRule type="expression" dxfId="2517" priority="2450">
      <formula>$E$7&lt;&gt;"Yes"</formula>
    </cfRule>
  </conditionalFormatting>
  <conditionalFormatting sqref="AB391">
    <cfRule type="expression" dxfId="2516" priority="2449">
      <formula>$E391&lt;&gt;"Yes"</formula>
    </cfRule>
  </conditionalFormatting>
  <conditionalFormatting sqref="AA391">
    <cfRule type="expression" dxfId="2515" priority="2448">
      <formula>$E$7&lt;&gt;"Yes"</formula>
    </cfRule>
  </conditionalFormatting>
  <conditionalFormatting sqref="AA391">
    <cfRule type="expression" dxfId="2514" priority="2447">
      <formula>$E391&lt;&gt;"Yes"</formula>
    </cfRule>
  </conditionalFormatting>
  <conditionalFormatting sqref="Y391">
    <cfRule type="expression" dxfId="2513" priority="2446">
      <formula>$E$7&lt;&gt;"Yes"</formula>
    </cfRule>
  </conditionalFormatting>
  <conditionalFormatting sqref="Y391">
    <cfRule type="expression" dxfId="2512" priority="2445">
      <formula>$E391&lt;&gt;"Yes"</formula>
    </cfRule>
  </conditionalFormatting>
  <conditionalFormatting sqref="O391:P391">
    <cfRule type="expression" dxfId="2511" priority="2444">
      <formula>$E$7&lt;&gt;"Yes"</formula>
    </cfRule>
  </conditionalFormatting>
  <conditionalFormatting sqref="O391:P391">
    <cfRule type="expression" dxfId="2510" priority="2443">
      <formula>$E391&lt;&gt;"Yes"</formula>
    </cfRule>
  </conditionalFormatting>
  <conditionalFormatting sqref="X391">
    <cfRule type="expression" dxfId="2509" priority="2442">
      <formula>$E$7&lt;&gt;"Yes"</formula>
    </cfRule>
  </conditionalFormatting>
  <conditionalFormatting sqref="X391">
    <cfRule type="expression" dxfId="2508" priority="2441">
      <formula>$E391&lt;&gt;"Yes"</formula>
    </cfRule>
  </conditionalFormatting>
  <conditionalFormatting sqref="AD391">
    <cfRule type="expression" dxfId="2507" priority="2440">
      <formula>$E$7&lt;&gt;"Yes"</formula>
    </cfRule>
  </conditionalFormatting>
  <conditionalFormatting sqref="AD391">
    <cfRule type="expression" dxfId="2506" priority="2439">
      <formula>$E391&lt;&gt;"Yes"</formula>
    </cfRule>
  </conditionalFormatting>
  <conditionalFormatting sqref="AC391">
    <cfRule type="expression" dxfId="2505" priority="2438">
      <formula>$E$7&lt;&gt;"Yes"</formula>
    </cfRule>
  </conditionalFormatting>
  <conditionalFormatting sqref="AC391">
    <cfRule type="expression" dxfId="2504" priority="2437">
      <formula>$E391&lt;&gt;"Yes"</formula>
    </cfRule>
  </conditionalFormatting>
  <conditionalFormatting sqref="R391:V391">
    <cfRule type="expression" dxfId="2503" priority="2436">
      <formula>$E$7&lt;&gt;"Yes"</formula>
    </cfRule>
  </conditionalFormatting>
  <conditionalFormatting sqref="R391:V391">
    <cfRule type="expression" dxfId="2502" priority="2435">
      <formula>$E391&lt;&gt;"Yes"</formula>
    </cfRule>
  </conditionalFormatting>
  <conditionalFormatting sqref="S391">
    <cfRule type="expression" dxfId="2501" priority="2434">
      <formula>$E$7&lt;&gt;"Yes"</formula>
    </cfRule>
  </conditionalFormatting>
  <conditionalFormatting sqref="S391">
    <cfRule type="expression" dxfId="2500" priority="2433">
      <formula>$E391&lt;&gt;"Yes"</formula>
    </cfRule>
  </conditionalFormatting>
  <conditionalFormatting sqref="T391">
    <cfRule type="expression" dxfId="2499" priority="2432">
      <formula>$E$7&lt;&gt;"Yes"</formula>
    </cfRule>
  </conditionalFormatting>
  <conditionalFormatting sqref="T391">
    <cfRule type="expression" dxfId="2498" priority="2431">
      <formula>$E391&lt;&gt;"Yes"</formula>
    </cfRule>
  </conditionalFormatting>
  <conditionalFormatting sqref="U391">
    <cfRule type="expression" dxfId="2497" priority="2430">
      <formula>$E$7&lt;&gt;"Yes"</formula>
    </cfRule>
  </conditionalFormatting>
  <conditionalFormatting sqref="U391">
    <cfRule type="expression" dxfId="2496" priority="2429">
      <formula>$E391&lt;&gt;"Yes"</formula>
    </cfRule>
  </conditionalFormatting>
  <conditionalFormatting sqref="V391">
    <cfRule type="expression" dxfId="2495" priority="2428">
      <formula>$E$7&lt;&gt;"Yes"</formula>
    </cfRule>
  </conditionalFormatting>
  <conditionalFormatting sqref="V391">
    <cfRule type="expression" dxfId="2494" priority="2427">
      <formula>$E391&lt;&gt;"Yes"</formula>
    </cfRule>
  </conditionalFormatting>
  <conditionalFormatting sqref="R391:V391">
    <cfRule type="expression" dxfId="2493" priority="2426">
      <formula>$E$7&lt;&gt;"Yes"</formula>
    </cfRule>
  </conditionalFormatting>
  <conditionalFormatting sqref="R391:V391">
    <cfRule type="expression" dxfId="2492" priority="2425">
      <formula>$E391&lt;&gt;"Yes"</formula>
    </cfRule>
  </conditionalFormatting>
  <conditionalFormatting sqref="Z391">
    <cfRule type="expression" dxfId="2491" priority="2424">
      <formula>$E$7&lt;&gt;"Yes"</formula>
    </cfRule>
  </conditionalFormatting>
  <conditionalFormatting sqref="Z391">
    <cfRule type="expression" dxfId="2490" priority="2423">
      <formula>$E391&lt;&gt;"Yes"</formula>
    </cfRule>
  </conditionalFormatting>
  <conditionalFormatting sqref="AN391:AO391">
    <cfRule type="expression" dxfId="2489" priority="2422">
      <formula>$E$7&lt;&gt;"Yes"</formula>
    </cfRule>
  </conditionalFormatting>
  <conditionalFormatting sqref="AN391:AO391">
    <cfRule type="expression" dxfId="2488" priority="2421">
      <formula>$E391&lt;&gt;"Yes"</formula>
    </cfRule>
  </conditionalFormatting>
  <conditionalFormatting sqref="AI391">
    <cfRule type="expression" dxfId="2487" priority="2420">
      <formula>$E$7&lt;&gt;"Yes"</formula>
    </cfRule>
  </conditionalFormatting>
  <conditionalFormatting sqref="AI391">
    <cfRule type="expression" dxfId="2486" priority="2419">
      <formula>$E391&lt;&gt;"Yes"</formula>
    </cfRule>
  </conditionalFormatting>
  <conditionalFormatting sqref="M413 F413:J413 Q413 AJ413:AK413 AF413:AH413 Y413">
    <cfRule type="expression" dxfId="2485" priority="2418">
      <formula>$E$7&lt;&gt;"Yes"</formula>
    </cfRule>
  </conditionalFormatting>
  <conditionalFormatting sqref="M413 F413:J413 Q413 AJ413:AK413 AF413:AH413 Y413">
    <cfRule type="expression" dxfId="2484" priority="2417">
      <formula>$E413&lt;&gt;"Yes"</formula>
    </cfRule>
  </conditionalFormatting>
  <conditionalFormatting sqref="G413">
    <cfRule type="expression" dxfId="2483" priority="2416">
      <formula>$E$7&lt;&gt;"Yes"</formula>
    </cfRule>
  </conditionalFormatting>
  <conditionalFormatting sqref="K413:L413">
    <cfRule type="expression" dxfId="2482" priority="2415">
      <formula>$E$7&lt;&gt;"Yes"</formula>
    </cfRule>
  </conditionalFormatting>
  <conditionalFormatting sqref="K413:L413">
    <cfRule type="expression" dxfId="2481" priority="2414">
      <formula>$E413&lt;&gt;"Yes"</formula>
    </cfRule>
  </conditionalFormatting>
  <conditionalFormatting sqref="W413">
    <cfRule type="expression" dxfId="2480" priority="2413">
      <formula>$E$7&lt;&gt;"Yes"</formula>
    </cfRule>
  </conditionalFormatting>
  <conditionalFormatting sqref="W413">
    <cfRule type="expression" dxfId="2479" priority="2412">
      <formula>$E413&lt;&gt;"Yes"</formula>
    </cfRule>
  </conditionalFormatting>
  <conditionalFormatting sqref="AE413">
    <cfRule type="expression" dxfId="2478" priority="2411">
      <formula>$E$7&lt;&gt;"Yes"</formula>
    </cfRule>
  </conditionalFormatting>
  <conditionalFormatting sqref="AE413">
    <cfRule type="expression" dxfId="2477" priority="2410">
      <formula>$E413&lt;&gt;"Yes"</formula>
    </cfRule>
  </conditionalFormatting>
  <conditionalFormatting sqref="N413">
    <cfRule type="expression" dxfId="2476" priority="2409">
      <formula>$E$7&lt;&gt;"Yes"</formula>
    </cfRule>
  </conditionalFormatting>
  <conditionalFormatting sqref="N413">
    <cfRule type="expression" dxfId="2475" priority="2408">
      <formula>$E413&lt;&gt;"Yes"</formula>
    </cfRule>
  </conditionalFormatting>
  <conditionalFormatting sqref="AB413">
    <cfRule type="expression" dxfId="2474" priority="2407">
      <formula>$E$7&lt;&gt;"Yes"</formula>
    </cfRule>
  </conditionalFormatting>
  <conditionalFormatting sqref="AB413">
    <cfRule type="expression" dxfId="2473" priority="2406">
      <formula>$E413&lt;&gt;"Yes"</formula>
    </cfRule>
  </conditionalFormatting>
  <conditionalFormatting sqref="AA413">
    <cfRule type="expression" dxfId="2472" priority="2405">
      <formula>$E$7&lt;&gt;"Yes"</formula>
    </cfRule>
  </conditionalFormatting>
  <conditionalFormatting sqref="AA413">
    <cfRule type="expression" dxfId="2471" priority="2404">
      <formula>$E413&lt;&gt;"Yes"</formula>
    </cfRule>
  </conditionalFormatting>
  <conditionalFormatting sqref="Y413">
    <cfRule type="expression" dxfId="2470" priority="2403">
      <formula>$E$7&lt;&gt;"Yes"</formula>
    </cfRule>
  </conditionalFormatting>
  <conditionalFormatting sqref="Y413">
    <cfRule type="expression" dxfId="2469" priority="2402">
      <formula>$E413&lt;&gt;"Yes"</formula>
    </cfRule>
  </conditionalFormatting>
  <conditionalFormatting sqref="O413:P413">
    <cfRule type="expression" dxfId="2468" priority="2401">
      <formula>$E$7&lt;&gt;"Yes"</formula>
    </cfRule>
  </conditionalFormatting>
  <conditionalFormatting sqref="O413:P413">
    <cfRule type="expression" dxfId="2467" priority="2400">
      <formula>$E413&lt;&gt;"Yes"</formula>
    </cfRule>
  </conditionalFormatting>
  <conditionalFormatting sqref="X413">
    <cfRule type="expression" dxfId="2466" priority="2399">
      <formula>$E$7&lt;&gt;"Yes"</formula>
    </cfRule>
  </conditionalFormatting>
  <conditionalFormatting sqref="X413">
    <cfRule type="expression" dxfId="2465" priority="2398">
      <formula>$E413&lt;&gt;"Yes"</formula>
    </cfRule>
  </conditionalFormatting>
  <conditionalFormatting sqref="AD413">
    <cfRule type="expression" dxfId="2464" priority="2397">
      <formula>$E$7&lt;&gt;"Yes"</formula>
    </cfRule>
  </conditionalFormatting>
  <conditionalFormatting sqref="AD413">
    <cfRule type="expression" dxfId="2463" priority="2396">
      <formula>$E413&lt;&gt;"Yes"</formula>
    </cfRule>
  </conditionalFormatting>
  <conditionalFormatting sqref="AC413">
    <cfRule type="expression" dxfId="2462" priority="2395">
      <formula>$E$7&lt;&gt;"Yes"</formula>
    </cfRule>
  </conditionalFormatting>
  <conditionalFormatting sqref="AC413">
    <cfRule type="expression" dxfId="2461" priority="2394">
      <formula>$E413&lt;&gt;"Yes"</formula>
    </cfRule>
  </conditionalFormatting>
  <conditionalFormatting sqref="R413:V413">
    <cfRule type="expression" dxfId="2460" priority="2393">
      <formula>$E$7&lt;&gt;"Yes"</formula>
    </cfRule>
  </conditionalFormatting>
  <conditionalFormatting sqref="R413:V413">
    <cfRule type="expression" dxfId="2459" priority="2392">
      <formula>$E413&lt;&gt;"Yes"</formula>
    </cfRule>
  </conditionalFormatting>
  <conditionalFormatting sqref="S413">
    <cfRule type="expression" dxfId="2458" priority="2391">
      <formula>$E$7&lt;&gt;"Yes"</formula>
    </cfRule>
  </conditionalFormatting>
  <conditionalFormatting sqref="S413">
    <cfRule type="expression" dxfId="2457" priority="2390">
      <formula>$E413&lt;&gt;"Yes"</formula>
    </cfRule>
  </conditionalFormatting>
  <conditionalFormatting sqref="T413">
    <cfRule type="expression" dxfId="2456" priority="2389">
      <formula>$E$7&lt;&gt;"Yes"</formula>
    </cfRule>
  </conditionalFormatting>
  <conditionalFormatting sqref="T413">
    <cfRule type="expression" dxfId="2455" priority="2388">
      <formula>$E413&lt;&gt;"Yes"</formula>
    </cfRule>
  </conditionalFormatting>
  <conditionalFormatting sqref="U413">
    <cfRule type="expression" dxfId="2454" priority="2387">
      <formula>$E$7&lt;&gt;"Yes"</formula>
    </cfRule>
  </conditionalFormatting>
  <conditionalFormatting sqref="U413">
    <cfRule type="expression" dxfId="2453" priority="2386">
      <formula>$E413&lt;&gt;"Yes"</formula>
    </cfRule>
  </conditionalFormatting>
  <conditionalFormatting sqref="V413">
    <cfRule type="expression" dxfId="2452" priority="2385">
      <formula>$E$7&lt;&gt;"Yes"</formula>
    </cfRule>
  </conditionalFormatting>
  <conditionalFormatting sqref="V413">
    <cfRule type="expression" dxfId="2451" priority="2384">
      <formula>$E413&lt;&gt;"Yes"</formula>
    </cfRule>
  </conditionalFormatting>
  <conditionalFormatting sqref="R413:V413">
    <cfRule type="expression" dxfId="2450" priority="2383">
      <formula>$E$7&lt;&gt;"Yes"</formula>
    </cfRule>
  </conditionalFormatting>
  <conditionalFormatting sqref="R413:V413">
    <cfRule type="expression" dxfId="2449" priority="2382">
      <formula>$E413&lt;&gt;"Yes"</formula>
    </cfRule>
  </conditionalFormatting>
  <conditionalFormatting sqref="Z413">
    <cfRule type="expression" dxfId="2448" priority="2381">
      <formula>$E$7&lt;&gt;"Yes"</formula>
    </cfRule>
  </conditionalFormatting>
  <conditionalFormatting sqref="Z413">
    <cfRule type="expression" dxfId="2447" priority="2380">
      <formula>$E413&lt;&gt;"Yes"</formula>
    </cfRule>
  </conditionalFormatting>
  <conditionalFormatting sqref="AN413:AO413">
    <cfRule type="expression" dxfId="2446" priority="2379">
      <formula>$E$7&lt;&gt;"Yes"</formula>
    </cfRule>
  </conditionalFormatting>
  <conditionalFormatting sqref="AN413:AO413">
    <cfRule type="expression" dxfId="2445" priority="2378">
      <formula>$E413&lt;&gt;"Yes"</formula>
    </cfRule>
  </conditionalFormatting>
  <conditionalFormatting sqref="AI413">
    <cfRule type="expression" dxfId="2444" priority="2377">
      <formula>$E$7&lt;&gt;"Yes"</formula>
    </cfRule>
  </conditionalFormatting>
  <conditionalFormatting sqref="AI413">
    <cfRule type="expression" dxfId="2443" priority="2376">
      <formula>$E413&lt;&gt;"Yes"</formula>
    </cfRule>
  </conditionalFormatting>
  <conditionalFormatting sqref="M415 F415:J415 Q415 AJ415:AK415 AF415:AH415 Y415">
    <cfRule type="expression" dxfId="2442" priority="2375">
      <formula>$E$7&lt;&gt;"Yes"</formula>
    </cfRule>
  </conditionalFormatting>
  <conditionalFormatting sqref="M415 F415:J415 Q415 AJ415:AK415 AF415:AH415 Y415">
    <cfRule type="expression" dxfId="2441" priority="2374">
      <formula>$E415&lt;&gt;"Yes"</formula>
    </cfRule>
  </conditionalFormatting>
  <conditionalFormatting sqref="G415">
    <cfRule type="expression" dxfId="2440" priority="2373">
      <formula>$E$7&lt;&gt;"Yes"</formula>
    </cfRule>
  </conditionalFormatting>
  <conditionalFormatting sqref="K415:L415">
    <cfRule type="expression" dxfId="2439" priority="2372">
      <formula>$E$7&lt;&gt;"Yes"</formula>
    </cfRule>
  </conditionalFormatting>
  <conditionalFormatting sqref="K415:L415">
    <cfRule type="expression" dxfId="2438" priority="2371">
      <formula>$E415&lt;&gt;"Yes"</formula>
    </cfRule>
  </conditionalFormatting>
  <conditionalFormatting sqref="W415">
    <cfRule type="expression" dxfId="2437" priority="2370">
      <formula>$E$7&lt;&gt;"Yes"</formula>
    </cfRule>
  </conditionalFormatting>
  <conditionalFormatting sqref="W415">
    <cfRule type="expression" dxfId="2436" priority="2369">
      <formula>$E415&lt;&gt;"Yes"</formula>
    </cfRule>
  </conditionalFormatting>
  <conditionalFormatting sqref="AE415">
    <cfRule type="expression" dxfId="2435" priority="2368">
      <formula>$E$7&lt;&gt;"Yes"</formula>
    </cfRule>
  </conditionalFormatting>
  <conditionalFormatting sqref="AE415">
    <cfRule type="expression" dxfId="2434" priority="2367">
      <formula>$E415&lt;&gt;"Yes"</formula>
    </cfRule>
  </conditionalFormatting>
  <conditionalFormatting sqref="N415">
    <cfRule type="expression" dxfId="2433" priority="2366">
      <formula>$E$7&lt;&gt;"Yes"</formula>
    </cfRule>
  </conditionalFormatting>
  <conditionalFormatting sqref="N415">
    <cfRule type="expression" dxfId="2432" priority="2365">
      <formula>$E415&lt;&gt;"Yes"</formula>
    </cfRule>
  </conditionalFormatting>
  <conditionalFormatting sqref="AB415">
    <cfRule type="expression" dxfId="2431" priority="2364">
      <formula>$E$7&lt;&gt;"Yes"</formula>
    </cfRule>
  </conditionalFormatting>
  <conditionalFormatting sqref="AB415">
    <cfRule type="expression" dxfId="2430" priority="2363">
      <formula>$E415&lt;&gt;"Yes"</formula>
    </cfRule>
  </conditionalFormatting>
  <conditionalFormatting sqref="AA415">
    <cfRule type="expression" dxfId="2429" priority="2362">
      <formula>$E$7&lt;&gt;"Yes"</formula>
    </cfRule>
  </conditionalFormatting>
  <conditionalFormatting sqref="AA415">
    <cfRule type="expression" dxfId="2428" priority="2361">
      <formula>$E415&lt;&gt;"Yes"</formula>
    </cfRule>
  </conditionalFormatting>
  <conditionalFormatting sqref="Y415">
    <cfRule type="expression" dxfId="2427" priority="2360">
      <formula>$E$7&lt;&gt;"Yes"</formula>
    </cfRule>
  </conditionalFormatting>
  <conditionalFormatting sqref="Y415">
    <cfRule type="expression" dxfId="2426" priority="2359">
      <formula>$E415&lt;&gt;"Yes"</formula>
    </cfRule>
  </conditionalFormatting>
  <conditionalFormatting sqref="O415:P415">
    <cfRule type="expression" dxfId="2425" priority="2358">
      <formula>$E$7&lt;&gt;"Yes"</formula>
    </cfRule>
  </conditionalFormatting>
  <conditionalFormatting sqref="O415:P415">
    <cfRule type="expression" dxfId="2424" priority="2357">
      <formula>$E415&lt;&gt;"Yes"</formula>
    </cfRule>
  </conditionalFormatting>
  <conditionalFormatting sqref="X415">
    <cfRule type="expression" dxfId="2423" priority="2356">
      <formula>$E$7&lt;&gt;"Yes"</formula>
    </cfRule>
  </conditionalFormatting>
  <conditionalFormatting sqref="X415">
    <cfRule type="expression" dxfId="2422" priority="2355">
      <formula>$E415&lt;&gt;"Yes"</formula>
    </cfRule>
  </conditionalFormatting>
  <conditionalFormatting sqref="AD415">
    <cfRule type="expression" dxfId="2421" priority="2354">
      <formula>$E$7&lt;&gt;"Yes"</formula>
    </cfRule>
  </conditionalFormatting>
  <conditionalFormatting sqref="AD415">
    <cfRule type="expression" dxfId="2420" priority="2353">
      <formula>$E415&lt;&gt;"Yes"</formula>
    </cfRule>
  </conditionalFormatting>
  <conditionalFormatting sqref="AC415">
    <cfRule type="expression" dxfId="2419" priority="2352">
      <formula>$E$7&lt;&gt;"Yes"</formula>
    </cfRule>
  </conditionalFormatting>
  <conditionalFormatting sqref="AC415">
    <cfRule type="expression" dxfId="2418" priority="2351">
      <formula>$E415&lt;&gt;"Yes"</formula>
    </cfRule>
  </conditionalFormatting>
  <conditionalFormatting sqref="R415:V415">
    <cfRule type="expression" dxfId="2417" priority="2350">
      <formula>$E$7&lt;&gt;"Yes"</formula>
    </cfRule>
  </conditionalFormatting>
  <conditionalFormatting sqref="R415:V415">
    <cfRule type="expression" dxfId="2416" priority="2349">
      <formula>$E415&lt;&gt;"Yes"</formula>
    </cfRule>
  </conditionalFormatting>
  <conditionalFormatting sqref="S415">
    <cfRule type="expression" dxfId="2415" priority="2348">
      <formula>$E$7&lt;&gt;"Yes"</formula>
    </cfRule>
  </conditionalFormatting>
  <conditionalFormatting sqref="S415">
    <cfRule type="expression" dxfId="2414" priority="2347">
      <formula>$E415&lt;&gt;"Yes"</formula>
    </cfRule>
  </conditionalFormatting>
  <conditionalFormatting sqref="T415">
    <cfRule type="expression" dxfId="2413" priority="2346">
      <formula>$E$7&lt;&gt;"Yes"</formula>
    </cfRule>
  </conditionalFormatting>
  <conditionalFormatting sqref="T415">
    <cfRule type="expression" dxfId="2412" priority="2345">
      <formula>$E415&lt;&gt;"Yes"</formula>
    </cfRule>
  </conditionalFormatting>
  <conditionalFormatting sqref="U415">
    <cfRule type="expression" dxfId="2411" priority="2344">
      <formula>$E$7&lt;&gt;"Yes"</formula>
    </cfRule>
  </conditionalFormatting>
  <conditionalFormatting sqref="U415">
    <cfRule type="expression" dxfId="2410" priority="2343">
      <formula>$E415&lt;&gt;"Yes"</formula>
    </cfRule>
  </conditionalFormatting>
  <conditionalFormatting sqref="V415">
    <cfRule type="expression" dxfId="2409" priority="2342">
      <formula>$E$7&lt;&gt;"Yes"</formula>
    </cfRule>
  </conditionalFormatting>
  <conditionalFormatting sqref="V415">
    <cfRule type="expression" dxfId="2408" priority="2341">
      <formula>$E415&lt;&gt;"Yes"</formula>
    </cfRule>
  </conditionalFormatting>
  <conditionalFormatting sqref="R415:V415">
    <cfRule type="expression" dxfId="2407" priority="2340">
      <formula>$E$7&lt;&gt;"Yes"</formula>
    </cfRule>
  </conditionalFormatting>
  <conditionalFormatting sqref="R415:V415">
    <cfRule type="expression" dxfId="2406" priority="2339">
      <formula>$E415&lt;&gt;"Yes"</formula>
    </cfRule>
  </conditionalFormatting>
  <conditionalFormatting sqref="Z415">
    <cfRule type="expression" dxfId="2405" priority="2338">
      <formula>$E$7&lt;&gt;"Yes"</formula>
    </cfRule>
  </conditionalFormatting>
  <conditionalFormatting sqref="Z415">
    <cfRule type="expression" dxfId="2404" priority="2337">
      <formula>$E415&lt;&gt;"Yes"</formula>
    </cfRule>
  </conditionalFormatting>
  <conditionalFormatting sqref="AN415:AO415">
    <cfRule type="expression" dxfId="2403" priority="2336">
      <formula>$E$7&lt;&gt;"Yes"</formula>
    </cfRule>
  </conditionalFormatting>
  <conditionalFormatting sqref="AN415:AO415">
    <cfRule type="expression" dxfId="2402" priority="2335">
      <formula>$E415&lt;&gt;"Yes"</formula>
    </cfRule>
  </conditionalFormatting>
  <conditionalFormatting sqref="AI415">
    <cfRule type="expression" dxfId="2401" priority="2334">
      <formula>$E$7&lt;&gt;"Yes"</formula>
    </cfRule>
  </conditionalFormatting>
  <conditionalFormatting sqref="AI415">
    <cfRule type="expression" dxfId="2400" priority="2333">
      <formula>$E415&lt;&gt;"Yes"</formula>
    </cfRule>
  </conditionalFormatting>
  <conditionalFormatting sqref="M417 F417:J417 Q417 AJ417:AK417 AF417:AH417 Y417">
    <cfRule type="expression" dxfId="2399" priority="2332">
      <formula>$E$7&lt;&gt;"Yes"</formula>
    </cfRule>
  </conditionalFormatting>
  <conditionalFormatting sqref="M417 F417:J417 Q417 AJ417:AK417 AF417:AH417 Y417">
    <cfRule type="expression" dxfId="2398" priority="2331">
      <formula>$E417&lt;&gt;"Yes"</formula>
    </cfRule>
  </conditionalFormatting>
  <conditionalFormatting sqref="G417">
    <cfRule type="expression" dxfId="2397" priority="2330">
      <formula>$E$7&lt;&gt;"Yes"</formula>
    </cfRule>
  </conditionalFormatting>
  <conditionalFormatting sqref="K417:L417">
    <cfRule type="expression" dxfId="2396" priority="2329">
      <formula>$E$7&lt;&gt;"Yes"</formula>
    </cfRule>
  </conditionalFormatting>
  <conditionalFormatting sqref="K417:L417">
    <cfRule type="expression" dxfId="2395" priority="2328">
      <formula>$E417&lt;&gt;"Yes"</formula>
    </cfRule>
  </conditionalFormatting>
  <conditionalFormatting sqref="W417">
    <cfRule type="expression" dxfId="2394" priority="2327">
      <formula>$E$7&lt;&gt;"Yes"</formula>
    </cfRule>
  </conditionalFormatting>
  <conditionalFormatting sqref="W417">
    <cfRule type="expression" dxfId="2393" priority="2326">
      <formula>$E417&lt;&gt;"Yes"</formula>
    </cfRule>
  </conditionalFormatting>
  <conditionalFormatting sqref="AE417">
    <cfRule type="expression" dxfId="2392" priority="2325">
      <formula>$E$7&lt;&gt;"Yes"</formula>
    </cfRule>
  </conditionalFormatting>
  <conditionalFormatting sqref="AE417">
    <cfRule type="expression" dxfId="2391" priority="2324">
      <formula>$E417&lt;&gt;"Yes"</formula>
    </cfRule>
  </conditionalFormatting>
  <conditionalFormatting sqref="N417">
    <cfRule type="expression" dxfId="2390" priority="2323">
      <formula>$E$7&lt;&gt;"Yes"</formula>
    </cfRule>
  </conditionalFormatting>
  <conditionalFormatting sqref="N417">
    <cfRule type="expression" dxfId="2389" priority="2322">
      <formula>$E417&lt;&gt;"Yes"</formula>
    </cfRule>
  </conditionalFormatting>
  <conditionalFormatting sqref="AB417">
    <cfRule type="expression" dxfId="2388" priority="2321">
      <formula>$E$7&lt;&gt;"Yes"</formula>
    </cfRule>
  </conditionalFormatting>
  <conditionalFormatting sqref="AB417">
    <cfRule type="expression" dxfId="2387" priority="2320">
      <formula>$E417&lt;&gt;"Yes"</formula>
    </cfRule>
  </conditionalFormatting>
  <conditionalFormatting sqref="AA417">
    <cfRule type="expression" dxfId="2386" priority="2319">
      <formula>$E$7&lt;&gt;"Yes"</formula>
    </cfRule>
  </conditionalFormatting>
  <conditionalFormatting sqref="AA417">
    <cfRule type="expression" dxfId="2385" priority="2318">
      <formula>$E417&lt;&gt;"Yes"</formula>
    </cfRule>
  </conditionalFormatting>
  <conditionalFormatting sqref="Y417">
    <cfRule type="expression" dxfId="2384" priority="2317">
      <formula>$E$7&lt;&gt;"Yes"</formula>
    </cfRule>
  </conditionalFormatting>
  <conditionalFormatting sqref="Y417">
    <cfRule type="expression" dxfId="2383" priority="2316">
      <formula>$E417&lt;&gt;"Yes"</formula>
    </cfRule>
  </conditionalFormatting>
  <conditionalFormatting sqref="O417:P417">
    <cfRule type="expression" dxfId="2382" priority="2315">
      <formula>$E$7&lt;&gt;"Yes"</formula>
    </cfRule>
  </conditionalFormatting>
  <conditionalFormatting sqref="O417:P417">
    <cfRule type="expression" dxfId="2381" priority="2314">
      <formula>$E417&lt;&gt;"Yes"</formula>
    </cfRule>
  </conditionalFormatting>
  <conditionalFormatting sqref="X417">
    <cfRule type="expression" dxfId="2380" priority="2313">
      <formula>$E$7&lt;&gt;"Yes"</formula>
    </cfRule>
  </conditionalFormatting>
  <conditionalFormatting sqref="X417">
    <cfRule type="expression" dxfId="2379" priority="2312">
      <formula>$E417&lt;&gt;"Yes"</formula>
    </cfRule>
  </conditionalFormatting>
  <conditionalFormatting sqref="AD417">
    <cfRule type="expression" dxfId="2378" priority="2311">
      <formula>$E$7&lt;&gt;"Yes"</formula>
    </cfRule>
  </conditionalFormatting>
  <conditionalFormatting sqref="AD417">
    <cfRule type="expression" dxfId="2377" priority="2310">
      <formula>$E417&lt;&gt;"Yes"</formula>
    </cfRule>
  </conditionalFormatting>
  <conditionalFormatting sqref="AC417">
    <cfRule type="expression" dxfId="2376" priority="2309">
      <formula>$E$7&lt;&gt;"Yes"</formula>
    </cfRule>
  </conditionalFormatting>
  <conditionalFormatting sqref="AC417">
    <cfRule type="expression" dxfId="2375" priority="2308">
      <formula>$E417&lt;&gt;"Yes"</formula>
    </cfRule>
  </conditionalFormatting>
  <conditionalFormatting sqref="R417:V417">
    <cfRule type="expression" dxfId="2374" priority="2307">
      <formula>$E$7&lt;&gt;"Yes"</formula>
    </cfRule>
  </conditionalFormatting>
  <conditionalFormatting sqref="R417:V417">
    <cfRule type="expression" dxfId="2373" priority="2306">
      <formula>$E417&lt;&gt;"Yes"</formula>
    </cfRule>
  </conditionalFormatting>
  <conditionalFormatting sqref="S417">
    <cfRule type="expression" dxfId="2372" priority="2305">
      <formula>$E$7&lt;&gt;"Yes"</formula>
    </cfRule>
  </conditionalFormatting>
  <conditionalFormatting sqref="S417">
    <cfRule type="expression" dxfId="2371" priority="2304">
      <formula>$E417&lt;&gt;"Yes"</formula>
    </cfRule>
  </conditionalFormatting>
  <conditionalFormatting sqref="T417">
    <cfRule type="expression" dxfId="2370" priority="2303">
      <formula>$E$7&lt;&gt;"Yes"</formula>
    </cfRule>
  </conditionalFormatting>
  <conditionalFormatting sqref="T417">
    <cfRule type="expression" dxfId="2369" priority="2302">
      <formula>$E417&lt;&gt;"Yes"</formula>
    </cfRule>
  </conditionalFormatting>
  <conditionalFormatting sqref="U417">
    <cfRule type="expression" dxfId="2368" priority="2301">
      <formula>$E$7&lt;&gt;"Yes"</formula>
    </cfRule>
  </conditionalFormatting>
  <conditionalFormatting sqref="U417">
    <cfRule type="expression" dxfId="2367" priority="2300">
      <formula>$E417&lt;&gt;"Yes"</formula>
    </cfRule>
  </conditionalFormatting>
  <conditionalFormatting sqref="V417">
    <cfRule type="expression" dxfId="2366" priority="2299">
      <formula>$E$7&lt;&gt;"Yes"</formula>
    </cfRule>
  </conditionalFormatting>
  <conditionalFormatting sqref="V417">
    <cfRule type="expression" dxfId="2365" priority="2298">
      <formula>$E417&lt;&gt;"Yes"</formula>
    </cfRule>
  </conditionalFormatting>
  <conditionalFormatting sqref="R417:V417">
    <cfRule type="expression" dxfId="2364" priority="2297">
      <formula>$E$7&lt;&gt;"Yes"</formula>
    </cfRule>
  </conditionalFormatting>
  <conditionalFormatting sqref="R417:V417">
    <cfRule type="expression" dxfId="2363" priority="2296">
      <formula>$E417&lt;&gt;"Yes"</formula>
    </cfRule>
  </conditionalFormatting>
  <conditionalFormatting sqref="Z417">
    <cfRule type="expression" dxfId="2362" priority="2295">
      <formula>$E$7&lt;&gt;"Yes"</formula>
    </cfRule>
  </conditionalFormatting>
  <conditionalFormatting sqref="Z417">
    <cfRule type="expression" dxfId="2361" priority="2294">
      <formula>$E417&lt;&gt;"Yes"</formula>
    </cfRule>
  </conditionalFormatting>
  <conditionalFormatting sqref="AN417:AO417">
    <cfRule type="expression" dxfId="2360" priority="2293">
      <formula>$E$7&lt;&gt;"Yes"</formula>
    </cfRule>
  </conditionalFormatting>
  <conditionalFormatting sqref="AN417:AO417">
    <cfRule type="expression" dxfId="2359" priority="2292">
      <formula>$E417&lt;&gt;"Yes"</formula>
    </cfRule>
  </conditionalFormatting>
  <conditionalFormatting sqref="AI417">
    <cfRule type="expression" dxfId="2358" priority="2291">
      <formula>$E$7&lt;&gt;"Yes"</formula>
    </cfRule>
  </conditionalFormatting>
  <conditionalFormatting sqref="AI417">
    <cfRule type="expression" dxfId="2357" priority="2290">
      <formula>$E417&lt;&gt;"Yes"</formula>
    </cfRule>
  </conditionalFormatting>
  <conditionalFormatting sqref="M157 F157:J157 Q157 AJ157:AK157 AF157:AH157 Y157">
    <cfRule type="expression" dxfId="2356" priority="2289">
      <formula>$E$7&lt;&gt;"Yes"</formula>
    </cfRule>
  </conditionalFormatting>
  <conditionalFormatting sqref="M157 F157:J157 Q157 AJ157:AK157 AF157:AH157 Y157">
    <cfRule type="expression" dxfId="2355" priority="2288">
      <formula>$E157&lt;&gt;"Yes"</formula>
    </cfRule>
  </conditionalFormatting>
  <conditionalFormatting sqref="G157">
    <cfRule type="expression" dxfId="2354" priority="2287">
      <formula>$E$7&lt;&gt;"Yes"</formula>
    </cfRule>
  </conditionalFormatting>
  <conditionalFormatting sqref="K157:L157">
    <cfRule type="expression" dxfId="2353" priority="2286">
      <formula>$E$7&lt;&gt;"Yes"</formula>
    </cfRule>
  </conditionalFormatting>
  <conditionalFormatting sqref="K157:L157">
    <cfRule type="expression" dxfId="2352" priority="2285">
      <formula>$E157&lt;&gt;"Yes"</formula>
    </cfRule>
  </conditionalFormatting>
  <conditionalFormatting sqref="W157">
    <cfRule type="expression" dxfId="2351" priority="2284">
      <formula>$E$7&lt;&gt;"Yes"</formula>
    </cfRule>
  </conditionalFormatting>
  <conditionalFormatting sqref="W157">
    <cfRule type="expression" dxfId="2350" priority="2283">
      <formula>$E157&lt;&gt;"Yes"</formula>
    </cfRule>
  </conditionalFormatting>
  <conditionalFormatting sqref="AE157">
    <cfRule type="expression" dxfId="2349" priority="2282">
      <formula>$E$7&lt;&gt;"Yes"</formula>
    </cfRule>
  </conditionalFormatting>
  <conditionalFormatting sqref="AE157">
    <cfRule type="expression" dxfId="2348" priority="2281">
      <formula>$E157&lt;&gt;"Yes"</formula>
    </cfRule>
  </conditionalFormatting>
  <conditionalFormatting sqref="N157">
    <cfRule type="expression" dxfId="2347" priority="2280">
      <formula>$E$7&lt;&gt;"Yes"</formula>
    </cfRule>
  </conditionalFormatting>
  <conditionalFormatting sqref="N157">
    <cfRule type="expression" dxfId="2346" priority="2279">
      <formula>$E157&lt;&gt;"Yes"</formula>
    </cfRule>
  </conditionalFormatting>
  <conditionalFormatting sqref="AB157">
    <cfRule type="expression" dxfId="2345" priority="2278">
      <formula>$E$7&lt;&gt;"Yes"</formula>
    </cfRule>
  </conditionalFormatting>
  <conditionalFormatting sqref="AB157">
    <cfRule type="expression" dxfId="2344" priority="2277">
      <formula>$E157&lt;&gt;"Yes"</formula>
    </cfRule>
  </conditionalFormatting>
  <conditionalFormatting sqref="AA157">
    <cfRule type="expression" dxfId="2343" priority="2276">
      <formula>$E$7&lt;&gt;"Yes"</formula>
    </cfRule>
  </conditionalFormatting>
  <conditionalFormatting sqref="AA157">
    <cfRule type="expression" dxfId="2342" priority="2275">
      <formula>$E157&lt;&gt;"Yes"</formula>
    </cfRule>
  </conditionalFormatting>
  <conditionalFormatting sqref="Y157">
    <cfRule type="expression" dxfId="2341" priority="2274">
      <formula>$E$7&lt;&gt;"Yes"</formula>
    </cfRule>
  </conditionalFormatting>
  <conditionalFormatting sqref="Y157">
    <cfRule type="expression" dxfId="2340" priority="2273">
      <formula>$E157&lt;&gt;"Yes"</formula>
    </cfRule>
  </conditionalFormatting>
  <conditionalFormatting sqref="O157:P157">
    <cfRule type="expression" dxfId="2339" priority="2272">
      <formula>$E$7&lt;&gt;"Yes"</formula>
    </cfRule>
  </conditionalFormatting>
  <conditionalFormatting sqref="O157:P157">
    <cfRule type="expression" dxfId="2338" priority="2271">
      <formula>$E157&lt;&gt;"Yes"</formula>
    </cfRule>
  </conditionalFormatting>
  <conditionalFormatting sqref="X157">
    <cfRule type="expression" dxfId="2337" priority="2270">
      <formula>$E$7&lt;&gt;"Yes"</formula>
    </cfRule>
  </conditionalFormatting>
  <conditionalFormatting sqref="X157">
    <cfRule type="expression" dxfId="2336" priority="2269">
      <formula>$E157&lt;&gt;"Yes"</formula>
    </cfRule>
  </conditionalFormatting>
  <conditionalFormatting sqref="AD157">
    <cfRule type="expression" dxfId="2335" priority="2268">
      <formula>$E$7&lt;&gt;"Yes"</formula>
    </cfRule>
  </conditionalFormatting>
  <conditionalFormatting sqref="AD157">
    <cfRule type="expression" dxfId="2334" priority="2267">
      <formula>$E157&lt;&gt;"Yes"</formula>
    </cfRule>
  </conditionalFormatting>
  <conditionalFormatting sqref="AC157">
    <cfRule type="expression" dxfId="2333" priority="2266">
      <formula>$E$7&lt;&gt;"Yes"</formula>
    </cfRule>
  </conditionalFormatting>
  <conditionalFormatting sqref="AC157">
    <cfRule type="expression" dxfId="2332" priority="2265">
      <formula>$E157&lt;&gt;"Yes"</formula>
    </cfRule>
  </conditionalFormatting>
  <conditionalFormatting sqref="R157:V157">
    <cfRule type="expression" dxfId="2331" priority="2264">
      <formula>$E$7&lt;&gt;"Yes"</formula>
    </cfRule>
  </conditionalFormatting>
  <conditionalFormatting sqref="R157:V157">
    <cfRule type="expression" dxfId="2330" priority="2263">
      <formula>$E157&lt;&gt;"Yes"</formula>
    </cfRule>
  </conditionalFormatting>
  <conditionalFormatting sqref="S157">
    <cfRule type="expression" dxfId="2329" priority="2262">
      <formula>$E$7&lt;&gt;"Yes"</formula>
    </cfRule>
  </conditionalFormatting>
  <conditionalFormatting sqref="S157">
    <cfRule type="expression" dxfId="2328" priority="2261">
      <formula>$E157&lt;&gt;"Yes"</formula>
    </cfRule>
  </conditionalFormatting>
  <conditionalFormatting sqref="T157">
    <cfRule type="expression" dxfId="2327" priority="2260">
      <formula>$E$7&lt;&gt;"Yes"</formula>
    </cfRule>
  </conditionalFormatting>
  <conditionalFormatting sqref="T157">
    <cfRule type="expression" dxfId="2326" priority="2259">
      <formula>$E157&lt;&gt;"Yes"</formula>
    </cfRule>
  </conditionalFormatting>
  <conditionalFormatting sqref="U157">
    <cfRule type="expression" dxfId="2325" priority="2258">
      <formula>$E$7&lt;&gt;"Yes"</formula>
    </cfRule>
  </conditionalFormatting>
  <conditionalFormatting sqref="U157">
    <cfRule type="expression" dxfId="2324" priority="2257">
      <formula>$E157&lt;&gt;"Yes"</formula>
    </cfRule>
  </conditionalFormatting>
  <conditionalFormatting sqref="V157">
    <cfRule type="expression" dxfId="2323" priority="2256">
      <formula>$E$7&lt;&gt;"Yes"</formula>
    </cfRule>
  </conditionalFormatting>
  <conditionalFormatting sqref="V157">
    <cfRule type="expression" dxfId="2322" priority="2255">
      <formula>$E157&lt;&gt;"Yes"</formula>
    </cfRule>
  </conditionalFormatting>
  <conditionalFormatting sqref="R157:V157">
    <cfRule type="expression" dxfId="2321" priority="2254">
      <formula>$E$7&lt;&gt;"Yes"</formula>
    </cfRule>
  </conditionalFormatting>
  <conditionalFormatting sqref="R157:V157">
    <cfRule type="expression" dxfId="2320" priority="2253">
      <formula>$E157&lt;&gt;"Yes"</formula>
    </cfRule>
  </conditionalFormatting>
  <conditionalFormatting sqref="Z157">
    <cfRule type="expression" dxfId="2319" priority="2252">
      <formula>$E$7&lt;&gt;"Yes"</formula>
    </cfRule>
  </conditionalFormatting>
  <conditionalFormatting sqref="Z157">
    <cfRule type="expression" dxfId="2318" priority="2251">
      <formula>$E157&lt;&gt;"Yes"</formula>
    </cfRule>
  </conditionalFormatting>
  <conditionalFormatting sqref="AN157:AO157">
    <cfRule type="expression" dxfId="2317" priority="2250">
      <formula>$E$7&lt;&gt;"Yes"</formula>
    </cfRule>
  </conditionalFormatting>
  <conditionalFormatting sqref="AN157:AO157">
    <cfRule type="expression" dxfId="2316" priority="2249">
      <formula>$E157&lt;&gt;"Yes"</formula>
    </cfRule>
  </conditionalFormatting>
  <conditionalFormatting sqref="AI157">
    <cfRule type="expression" dxfId="2315" priority="2248">
      <formula>$E$7&lt;&gt;"Yes"</formula>
    </cfRule>
  </conditionalFormatting>
  <conditionalFormatting sqref="AI157">
    <cfRule type="expression" dxfId="2314" priority="2247">
      <formula>$E157&lt;&gt;"Yes"</formula>
    </cfRule>
  </conditionalFormatting>
  <conditionalFormatting sqref="M158 F158:J158 Q158 AJ158:AK158 AF158:AH158 Y158">
    <cfRule type="expression" dxfId="2313" priority="2246">
      <formula>$E$7&lt;&gt;"Yes"</formula>
    </cfRule>
  </conditionalFormatting>
  <conditionalFormatting sqref="M158 F158:J158 Q158 AJ158:AK158 AF158:AH158 Y158">
    <cfRule type="expression" dxfId="2312" priority="2245">
      <formula>$E158&lt;&gt;"Yes"</formula>
    </cfRule>
  </conditionalFormatting>
  <conditionalFormatting sqref="G158">
    <cfRule type="expression" dxfId="2311" priority="2244">
      <formula>$E$7&lt;&gt;"Yes"</formula>
    </cfRule>
  </conditionalFormatting>
  <conditionalFormatting sqref="K158:L158">
    <cfRule type="expression" dxfId="2310" priority="2243">
      <formula>$E$7&lt;&gt;"Yes"</formula>
    </cfRule>
  </conditionalFormatting>
  <conditionalFormatting sqref="K158:L158">
    <cfRule type="expression" dxfId="2309" priority="2242">
      <formula>$E158&lt;&gt;"Yes"</formula>
    </cfRule>
  </conditionalFormatting>
  <conditionalFormatting sqref="W158">
    <cfRule type="expression" dxfId="2308" priority="2241">
      <formula>$E$7&lt;&gt;"Yes"</formula>
    </cfRule>
  </conditionalFormatting>
  <conditionalFormatting sqref="W158">
    <cfRule type="expression" dxfId="2307" priority="2240">
      <formula>$E158&lt;&gt;"Yes"</formula>
    </cfRule>
  </conditionalFormatting>
  <conditionalFormatting sqref="AE158">
    <cfRule type="expression" dxfId="2306" priority="2239">
      <formula>$E$7&lt;&gt;"Yes"</formula>
    </cfRule>
  </conditionalFormatting>
  <conditionalFormatting sqref="AE158">
    <cfRule type="expression" dxfId="2305" priority="2238">
      <formula>$E158&lt;&gt;"Yes"</formula>
    </cfRule>
  </conditionalFormatting>
  <conditionalFormatting sqref="N158">
    <cfRule type="expression" dxfId="2304" priority="2237">
      <formula>$E$7&lt;&gt;"Yes"</formula>
    </cfRule>
  </conditionalFormatting>
  <conditionalFormatting sqref="N158">
    <cfRule type="expression" dxfId="2303" priority="2236">
      <formula>$E158&lt;&gt;"Yes"</formula>
    </cfRule>
  </conditionalFormatting>
  <conditionalFormatting sqref="AB158">
    <cfRule type="expression" dxfId="2302" priority="2235">
      <formula>$E$7&lt;&gt;"Yes"</formula>
    </cfRule>
  </conditionalFormatting>
  <conditionalFormatting sqref="AB158">
    <cfRule type="expression" dxfId="2301" priority="2234">
      <formula>$E158&lt;&gt;"Yes"</formula>
    </cfRule>
  </conditionalFormatting>
  <conditionalFormatting sqref="AA158">
    <cfRule type="expression" dxfId="2300" priority="2233">
      <formula>$E$7&lt;&gt;"Yes"</formula>
    </cfRule>
  </conditionalFormatting>
  <conditionalFormatting sqref="AA158">
    <cfRule type="expression" dxfId="2299" priority="2232">
      <formula>$E158&lt;&gt;"Yes"</formula>
    </cfRule>
  </conditionalFormatting>
  <conditionalFormatting sqref="Y158">
    <cfRule type="expression" dxfId="2298" priority="2231">
      <formula>$E$7&lt;&gt;"Yes"</formula>
    </cfRule>
  </conditionalFormatting>
  <conditionalFormatting sqref="Y158">
    <cfRule type="expression" dxfId="2297" priority="2230">
      <formula>$E158&lt;&gt;"Yes"</formula>
    </cfRule>
  </conditionalFormatting>
  <conditionalFormatting sqref="O158:P158">
    <cfRule type="expression" dxfId="2296" priority="2229">
      <formula>$E$7&lt;&gt;"Yes"</formula>
    </cfRule>
  </conditionalFormatting>
  <conditionalFormatting sqref="O158:P158">
    <cfRule type="expression" dxfId="2295" priority="2228">
      <formula>$E158&lt;&gt;"Yes"</formula>
    </cfRule>
  </conditionalFormatting>
  <conditionalFormatting sqref="X158">
    <cfRule type="expression" dxfId="2294" priority="2227">
      <formula>$E$7&lt;&gt;"Yes"</formula>
    </cfRule>
  </conditionalFormatting>
  <conditionalFormatting sqref="X158">
    <cfRule type="expression" dxfId="2293" priority="2226">
      <formula>$E158&lt;&gt;"Yes"</formula>
    </cfRule>
  </conditionalFormatting>
  <conditionalFormatting sqref="AD158">
    <cfRule type="expression" dxfId="2292" priority="2225">
      <formula>$E$7&lt;&gt;"Yes"</formula>
    </cfRule>
  </conditionalFormatting>
  <conditionalFormatting sqref="AD158">
    <cfRule type="expression" dxfId="2291" priority="2224">
      <formula>$E158&lt;&gt;"Yes"</formula>
    </cfRule>
  </conditionalFormatting>
  <conditionalFormatting sqref="AC158">
    <cfRule type="expression" dxfId="2290" priority="2223">
      <formula>$E$7&lt;&gt;"Yes"</formula>
    </cfRule>
  </conditionalFormatting>
  <conditionalFormatting sqref="AC158">
    <cfRule type="expression" dxfId="2289" priority="2222">
      <formula>$E158&lt;&gt;"Yes"</formula>
    </cfRule>
  </conditionalFormatting>
  <conditionalFormatting sqref="R158:V158">
    <cfRule type="expression" dxfId="2288" priority="2221">
      <formula>$E$7&lt;&gt;"Yes"</formula>
    </cfRule>
  </conditionalFormatting>
  <conditionalFormatting sqref="R158:V158">
    <cfRule type="expression" dxfId="2287" priority="2220">
      <formula>$E158&lt;&gt;"Yes"</formula>
    </cfRule>
  </conditionalFormatting>
  <conditionalFormatting sqref="S158">
    <cfRule type="expression" dxfId="2286" priority="2219">
      <formula>$E$7&lt;&gt;"Yes"</formula>
    </cfRule>
  </conditionalFormatting>
  <conditionalFormatting sqref="S158">
    <cfRule type="expression" dxfId="2285" priority="2218">
      <formula>$E158&lt;&gt;"Yes"</formula>
    </cfRule>
  </conditionalFormatting>
  <conditionalFormatting sqref="T158">
    <cfRule type="expression" dxfId="2284" priority="2217">
      <formula>$E$7&lt;&gt;"Yes"</formula>
    </cfRule>
  </conditionalFormatting>
  <conditionalFormatting sqref="T158">
    <cfRule type="expression" dxfId="2283" priority="2216">
      <formula>$E158&lt;&gt;"Yes"</formula>
    </cfRule>
  </conditionalFormatting>
  <conditionalFormatting sqref="U158">
    <cfRule type="expression" dxfId="2282" priority="2215">
      <formula>$E$7&lt;&gt;"Yes"</formula>
    </cfRule>
  </conditionalFormatting>
  <conditionalFormatting sqref="U158">
    <cfRule type="expression" dxfId="2281" priority="2214">
      <formula>$E158&lt;&gt;"Yes"</formula>
    </cfRule>
  </conditionalFormatting>
  <conditionalFormatting sqref="V158">
    <cfRule type="expression" dxfId="2280" priority="2213">
      <formula>$E$7&lt;&gt;"Yes"</formula>
    </cfRule>
  </conditionalFormatting>
  <conditionalFormatting sqref="V158">
    <cfRule type="expression" dxfId="2279" priority="2212">
      <formula>$E158&lt;&gt;"Yes"</formula>
    </cfRule>
  </conditionalFormatting>
  <conditionalFormatting sqref="R158:V158">
    <cfRule type="expression" dxfId="2278" priority="2211">
      <formula>$E$7&lt;&gt;"Yes"</formula>
    </cfRule>
  </conditionalFormatting>
  <conditionalFormatting sqref="R158:V158">
    <cfRule type="expression" dxfId="2277" priority="2210">
      <formula>$E158&lt;&gt;"Yes"</formula>
    </cfRule>
  </conditionalFormatting>
  <conditionalFormatting sqref="Z158">
    <cfRule type="expression" dxfId="2276" priority="2209">
      <formula>$E$7&lt;&gt;"Yes"</formula>
    </cfRule>
  </conditionalFormatting>
  <conditionalFormatting sqref="Z158">
    <cfRule type="expression" dxfId="2275" priority="2208">
      <formula>$E158&lt;&gt;"Yes"</formula>
    </cfRule>
  </conditionalFormatting>
  <conditionalFormatting sqref="AN158:AO158">
    <cfRule type="expression" dxfId="2274" priority="2207">
      <formula>$E$7&lt;&gt;"Yes"</formula>
    </cfRule>
  </conditionalFormatting>
  <conditionalFormatting sqref="AN158:AO158">
    <cfRule type="expression" dxfId="2273" priority="2206">
      <formula>$E158&lt;&gt;"Yes"</formula>
    </cfRule>
  </conditionalFormatting>
  <conditionalFormatting sqref="AI158">
    <cfRule type="expression" dxfId="2272" priority="2205">
      <formula>$E$7&lt;&gt;"Yes"</formula>
    </cfRule>
  </conditionalFormatting>
  <conditionalFormatting sqref="AI158">
    <cfRule type="expression" dxfId="2271" priority="2204">
      <formula>$E158&lt;&gt;"Yes"</formula>
    </cfRule>
  </conditionalFormatting>
  <conditionalFormatting sqref="Q125 N125 AJ125:AK125 AF125:AH125 Y125">
    <cfRule type="expression" dxfId="2270" priority="2203">
      <formula>$E$7&lt;&gt;"Yes"</formula>
    </cfRule>
  </conditionalFormatting>
  <conditionalFormatting sqref="G125">
    <cfRule type="expression" dxfId="2269" priority="2199">
      <formula>$E$7&lt;&gt;"Yes"</formula>
    </cfRule>
  </conditionalFormatting>
  <conditionalFormatting sqref="M125 F125:J125 Q125">
    <cfRule type="expression" dxfId="2268" priority="2201">
      <formula>$E$7&lt;&gt;"Yes"</formula>
    </cfRule>
  </conditionalFormatting>
  <conditionalFormatting sqref="K125:L125">
    <cfRule type="expression" dxfId="2267" priority="2198">
      <formula>$E$7&lt;&gt;"Yes"</formula>
    </cfRule>
  </conditionalFormatting>
  <conditionalFormatting sqref="W125">
    <cfRule type="expression" dxfId="2266" priority="2196">
      <formula>$E$7&lt;&gt;"Yes"</formula>
    </cfRule>
  </conditionalFormatting>
  <conditionalFormatting sqref="AE125">
    <cfRule type="expression" dxfId="2265" priority="2194">
      <formula>$E$7&lt;&gt;"Yes"</formula>
    </cfRule>
  </conditionalFormatting>
  <conditionalFormatting sqref="AB125">
    <cfRule type="expression" dxfId="2264" priority="2192">
      <formula>$E$7&lt;&gt;"Yes"</formula>
    </cfRule>
  </conditionalFormatting>
  <conditionalFormatting sqref="AA125">
    <cfRule type="expression" dxfId="2263" priority="2190">
      <formula>$E$7&lt;&gt;"Yes"</formula>
    </cfRule>
  </conditionalFormatting>
  <conditionalFormatting sqref="Y125">
    <cfRule type="expression" dxfId="2262" priority="2188">
      <formula>$E$7&lt;&gt;"Yes"</formula>
    </cfRule>
  </conditionalFormatting>
  <conditionalFormatting sqref="O125:P125">
    <cfRule type="expression" dxfId="2261" priority="2186">
      <formula>$E$7&lt;&gt;"Yes"</formula>
    </cfRule>
  </conditionalFormatting>
  <conditionalFormatting sqref="X125">
    <cfRule type="expression" dxfId="2260" priority="2184">
      <formula>$E$7&lt;&gt;"Yes"</formula>
    </cfRule>
  </conditionalFormatting>
  <conditionalFormatting sqref="AD125">
    <cfRule type="expression" dxfId="2259" priority="2182">
      <formula>$E$7&lt;&gt;"Yes"</formula>
    </cfRule>
  </conditionalFormatting>
  <conditionalFormatting sqref="AC125">
    <cfRule type="expression" dxfId="2258" priority="2180">
      <formula>$E$7&lt;&gt;"Yes"</formula>
    </cfRule>
  </conditionalFormatting>
  <conditionalFormatting sqref="R125:V125">
    <cfRule type="expression" dxfId="2257" priority="2178">
      <formula>$E$7&lt;&gt;"Yes"</formula>
    </cfRule>
  </conditionalFormatting>
  <conditionalFormatting sqref="S125">
    <cfRule type="expression" dxfId="2256" priority="2176">
      <formula>$E$7&lt;&gt;"Yes"</formula>
    </cfRule>
  </conditionalFormatting>
  <conditionalFormatting sqref="T125">
    <cfRule type="expression" dxfId="2255" priority="2174">
      <formula>$E$7&lt;&gt;"Yes"</formula>
    </cfRule>
  </conditionalFormatting>
  <conditionalFormatting sqref="U125">
    <cfRule type="expression" dxfId="2254" priority="2172">
      <formula>$E$7&lt;&gt;"Yes"</formula>
    </cfRule>
  </conditionalFormatting>
  <conditionalFormatting sqref="V125">
    <cfRule type="expression" dxfId="2253" priority="2170">
      <formula>$E$7&lt;&gt;"Yes"</formula>
    </cfRule>
  </conditionalFormatting>
  <conditionalFormatting sqref="R125:V125">
    <cfRule type="expression" dxfId="2252" priority="2168">
      <formula>$E$7&lt;&gt;"Yes"</formula>
    </cfRule>
  </conditionalFormatting>
  <conditionalFormatting sqref="Z125">
    <cfRule type="expression" dxfId="2251" priority="2166">
      <formula>$E$7&lt;&gt;"Yes"</formula>
    </cfRule>
  </conditionalFormatting>
  <conditionalFormatting sqref="AN125:AO125">
    <cfRule type="expression" dxfId="2250" priority="2164">
      <formula>$E$7&lt;&gt;"Yes"</formula>
    </cfRule>
  </conditionalFormatting>
  <conditionalFormatting sqref="AI125">
    <cfRule type="expression" dxfId="2249" priority="2162">
      <formula>$E$7&lt;&gt;"Yes"</formula>
    </cfRule>
  </conditionalFormatting>
  <conditionalFormatting sqref="F148:AK148 AN148:AO148">
    <cfRule type="expression" dxfId="2248" priority="2160">
      <formula>$E148&lt;&gt;"Yes"</formula>
    </cfRule>
  </conditionalFormatting>
  <conditionalFormatting sqref="Q148 N148 AJ148:AK148 AF148:AH148 Y148">
    <cfRule type="expression" dxfId="2247" priority="2159">
      <formula>$E$7&lt;&gt;"Yes"</formula>
    </cfRule>
  </conditionalFormatting>
  <conditionalFormatting sqref="G148">
    <cfRule type="expression" dxfId="2246" priority="2157">
      <formula>$E$7&lt;&gt;"Yes"</formula>
    </cfRule>
  </conditionalFormatting>
  <conditionalFormatting sqref="M148 F148:J148 Q148">
    <cfRule type="expression" dxfId="2245" priority="2158">
      <formula>$E$7&lt;&gt;"Yes"</formula>
    </cfRule>
  </conditionalFormatting>
  <conditionalFormatting sqref="K148:L148">
    <cfRule type="expression" dxfId="2244" priority="2156">
      <formula>$E$7&lt;&gt;"Yes"</formula>
    </cfRule>
  </conditionalFormatting>
  <conditionalFormatting sqref="W148">
    <cfRule type="expression" dxfId="2243" priority="2155">
      <formula>$E$7&lt;&gt;"Yes"</formula>
    </cfRule>
  </conditionalFormatting>
  <conditionalFormatting sqref="AE148">
    <cfRule type="expression" dxfId="2242" priority="2154">
      <formula>$E$7&lt;&gt;"Yes"</formula>
    </cfRule>
  </conditionalFormatting>
  <conditionalFormatting sqref="AB148">
    <cfRule type="expression" dxfId="2241" priority="2153">
      <formula>$E$7&lt;&gt;"Yes"</formula>
    </cfRule>
  </conditionalFormatting>
  <conditionalFormatting sqref="AA148">
    <cfRule type="expression" dxfId="2240" priority="2152">
      <formula>$E$7&lt;&gt;"Yes"</formula>
    </cfRule>
  </conditionalFormatting>
  <conditionalFormatting sqref="Y148">
    <cfRule type="expression" dxfId="2239" priority="2151">
      <formula>$E$7&lt;&gt;"Yes"</formula>
    </cfRule>
  </conditionalFormatting>
  <conditionalFormatting sqref="O148:P148">
    <cfRule type="expression" dxfId="2238" priority="2150">
      <formula>$E$7&lt;&gt;"Yes"</formula>
    </cfRule>
  </conditionalFormatting>
  <conditionalFormatting sqref="X148">
    <cfRule type="expression" dxfId="2237" priority="2149">
      <formula>$E$7&lt;&gt;"Yes"</formula>
    </cfRule>
  </conditionalFormatting>
  <conditionalFormatting sqref="AD148">
    <cfRule type="expression" dxfId="2236" priority="2148">
      <formula>$E$7&lt;&gt;"Yes"</formula>
    </cfRule>
  </conditionalFormatting>
  <conditionalFormatting sqref="AC148">
    <cfRule type="expression" dxfId="2235" priority="2147">
      <formula>$E$7&lt;&gt;"Yes"</formula>
    </cfRule>
  </conditionalFormatting>
  <conditionalFormatting sqref="R148:V148">
    <cfRule type="expression" dxfId="2234" priority="2146">
      <formula>$E$7&lt;&gt;"Yes"</formula>
    </cfRule>
  </conditionalFormatting>
  <conditionalFormatting sqref="S148">
    <cfRule type="expression" dxfId="2233" priority="2145">
      <formula>$E$7&lt;&gt;"Yes"</formula>
    </cfRule>
  </conditionalFormatting>
  <conditionalFormatting sqref="T148">
    <cfRule type="expression" dxfId="2232" priority="2144">
      <formula>$E$7&lt;&gt;"Yes"</formula>
    </cfRule>
  </conditionalFormatting>
  <conditionalFormatting sqref="U148">
    <cfRule type="expression" dxfId="2231" priority="2143">
      <formula>$E$7&lt;&gt;"Yes"</formula>
    </cfRule>
  </conditionalFormatting>
  <conditionalFormatting sqref="V148">
    <cfRule type="expression" dxfId="2230" priority="2142">
      <formula>$E$7&lt;&gt;"Yes"</formula>
    </cfRule>
  </conditionalFormatting>
  <conditionalFormatting sqref="R148:V148">
    <cfRule type="expression" dxfId="2229" priority="2141">
      <formula>$E$7&lt;&gt;"Yes"</formula>
    </cfRule>
  </conditionalFormatting>
  <conditionalFormatting sqref="Z148">
    <cfRule type="expression" dxfId="2228" priority="2140">
      <formula>$E$7&lt;&gt;"Yes"</formula>
    </cfRule>
  </conditionalFormatting>
  <conditionalFormatting sqref="AN148:AO148">
    <cfRule type="expression" dxfId="2227" priority="2139">
      <formula>$E$7&lt;&gt;"Yes"</formula>
    </cfRule>
  </conditionalFormatting>
  <conditionalFormatting sqref="AI148">
    <cfRule type="expression" dxfId="2226" priority="2138">
      <formula>$E$7&lt;&gt;"Yes"</formula>
    </cfRule>
  </conditionalFormatting>
  <conditionalFormatting sqref="Q148 N148 AJ148:AK148 AF148:AH148 Y148">
    <cfRule type="expression" dxfId="2225" priority="2137">
      <formula>$E$7&lt;&gt;"Yes"</formula>
    </cfRule>
  </conditionalFormatting>
  <conditionalFormatting sqref="G148">
    <cfRule type="expression" dxfId="2224" priority="2135">
      <formula>$E$7&lt;&gt;"Yes"</formula>
    </cfRule>
  </conditionalFormatting>
  <conditionalFormatting sqref="M148 F148:J148 Q148">
    <cfRule type="expression" dxfId="2223" priority="2136">
      <formula>$E$7&lt;&gt;"Yes"</formula>
    </cfRule>
  </conditionalFormatting>
  <conditionalFormatting sqref="K148:L148">
    <cfRule type="expression" dxfId="2222" priority="2134">
      <formula>$E$7&lt;&gt;"Yes"</formula>
    </cfRule>
  </conditionalFormatting>
  <conditionalFormatting sqref="W148">
    <cfRule type="expression" dxfId="2221" priority="2133">
      <formula>$E$7&lt;&gt;"Yes"</formula>
    </cfRule>
  </conditionalFormatting>
  <conditionalFormatting sqref="AE148">
    <cfRule type="expression" dxfId="2220" priority="2132">
      <formula>$E$7&lt;&gt;"Yes"</formula>
    </cfRule>
  </conditionalFormatting>
  <conditionalFormatting sqref="AB148">
    <cfRule type="expression" dxfId="2219" priority="2131">
      <formula>$E$7&lt;&gt;"Yes"</formula>
    </cfRule>
  </conditionalFormatting>
  <conditionalFormatting sqref="AA148">
    <cfRule type="expression" dxfId="2218" priority="2130">
      <formula>$E$7&lt;&gt;"Yes"</formula>
    </cfRule>
  </conditionalFormatting>
  <conditionalFormatting sqref="Y148">
    <cfRule type="expression" dxfId="2217" priority="2129">
      <formula>$E$7&lt;&gt;"Yes"</formula>
    </cfRule>
  </conditionalFormatting>
  <conditionalFormatting sqref="O148:P148">
    <cfRule type="expression" dxfId="2216" priority="2128">
      <formula>$E$7&lt;&gt;"Yes"</formula>
    </cfRule>
  </conditionalFormatting>
  <conditionalFormatting sqref="X148">
    <cfRule type="expression" dxfId="2215" priority="2127">
      <formula>$E$7&lt;&gt;"Yes"</formula>
    </cfRule>
  </conditionalFormatting>
  <conditionalFormatting sqref="AD148">
    <cfRule type="expression" dxfId="2214" priority="2126">
      <formula>$E$7&lt;&gt;"Yes"</formula>
    </cfRule>
  </conditionalFormatting>
  <conditionalFormatting sqref="AC148">
    <cfRule type="expression" dxfId="2213" priority="2125">
      <formula>$E$7&lt;&gt;"Yes"</formula>
    </cfRule>
  </conditionalFormatting>
  <conditionalFormatting sqref="R148:V148">
    <cfRule type="expression" dxfId="2212" priority="2124">
      <formula>$E$7&lt;&gt;"Yes"</formula>
    </cfRule>
  </conditionalFormatting>
  <conditionalFormatting sqref="S148">
    <cfRule type="expression" dxfId="2211" priority="2123">
      <formula>$E$7&lt;&gt;"Yes"</formula>
    </cfRule>
  </conditionalFormatting>
  <conditionalFormatting sqref="T148">
    <cfRule type="expression" dxfId="2210" priority="2122">
      <formula>$E$7&lt;&gt;"Yes"</formula>
    </cfRule>
  </conditionalFormatting>
  <conditionalFormatting sqref="U148">
    <cfRule type="expression" dxfId="2209" priority="2121">
      <formula>$E$7&lt;&gt;"Yes"</formula>
    </cfRule>
  </conditionalFormatting>
  <conditionalFormatting sqref="V148">
    <cfRule type="expression" dxfId="2208" priority="2120">
      <formula>$E$7&lt;&gt;"Yes"</formula>
    </cfRule>
  </conditionalFormatting>
  <conditionalFormatting sqref="R148:V148">
    <cfRule type="expression" dxfId="2207" priority="2119">
      <formula>$E$7&lt;&gt;"Yes"</formula>
    </cfRule>
  </conditionalFormatting>
  <conditionalFormatting sqref="Z148">
    <cfRule type="expression" dxfId="2206" priority="2118">
      <formula>$E$7&lt;&gt;"Yes"</formula>
    </cfRule>
  </conditionalFormatting>
  <conditionalFormatting sqref="AN148:AO148">
    <cfRule type="expression" dxfId="2205" priority="2117">
      <formula>$E$7&lt;&gt;"Yes"</formula>
    </cfRule>
  </conditionalFormatting>
  <conditionalFormatting sqref="AI148">
    <cfRule type="expression" dxfId="2204" priority="2116">
      <formula>$E$7&lt;&gt;"Yes"</formula>
    </cfRule>
  </conditionalFormatting>
  <conditionalFormatting sqref="F152:AK152 AN152:AO152">
    <cfRule type="expression" dxfId="2203" priority="2115">
      <formula>$E152&lt;&gt;"Yes"</formula>
    </cfRule>
  </conditionalFormatting>
  <conditionalFormatting sqref="Q152 N152 AJ152:AK152 AF152:AH152 Y152">
    <cfRule type="expression" dxfId="2202" priority="2114">
      <formula>$E$7&lt;&gt;"Yes"</formula>
    </cfRule>
  </conditionalFormatting>
  <conditionalFormatting sqref="G152">
    <cfRule type="expression" dxfId="2201" priority="2112">
      <formula>$E$7&lt;&gt;"Yes"</formula>
    </cfRule>
  </conditionalFormatting>
  <conditionalFormatting sqref="M152 F152:J152 Q152">
    <cfRule type="expression" dxfId="2200" priority="2113">
      <formula>$E$7&lt;&gt;"Yes"</formula>
    </cfRule>
  </conditionalFormatting>
  <conditionalFormatting sqref="K152:L152">
    <cfRule type="expression" dxfId="2199" priority="2111">
      <formula>$E$7&lt;&gt;"Yes"</formula>
    </cfRule>
  </conditionalFormatting>
  <conditionalFormatting sqref="W152">
    <cfRule type="expression" dxfId="2198" priority="2110">
      <formula>$E$7&lt;&gt;"Yes"</formula>
    </cfRule>
  </conditionalFormatting>
  <conditionalFormatting sqref="AE152">
    <cfRule type="expression" dxfId="2197" priority="2109">
      <formula>$E$7&lt;&gt;"Yes"</formula>
    </cfRule>
  </conditionalFormatting>
  <conditionalFormatting sqref="AB152">
    <cfRule type="expression" dxfId="2196" priority="2108">
      <formula>$E$7&lt;&gt;"Yes"</formula>
    </cfRule>
  </conditionalFormatting>
  <conditionalFormatting sqref="AA152">
    <cfRule type="expression" dxfId="2195" priority="2107">
      <formula>$E$7&lt;&gt;"Yes"</formula>
    </cfRule>
  </conditionalFormatting>
  <conditionalFormatting sqref="Y152">
    <cfRule type="expression" dxfId="2194" priority="2106">
      <formula>$E$7&lt;&gt;"Yes"</formula>
    </cfRule>
  </conditionalFormatting>
  <conditionalFormatting sqref="O152:P152">
    <cfRule type="expression" dxfId="2193" priority="2105">
      <formula>$E$7&lt;&gt;"Yes"</formula>
    </cfRule>
  </conditionalFormatting>
  <conditionalFormatting sqref="X152">
    <cfRule type="expression" dxfId="2192" priority="2104">
      <formula>$E$7&lt;&gt;"Yes"</formula>
    </cfRule>
  </conditionalFormatting>
  <conditionalFormatting sqref="AD152">
    <cfRule type="expression" dxfId="2191" priority="2103">
      <formula>$E$7&lt;&gt;"Yes"</formula>
    </cfRule>
  </conditionalFormatting>
  <conditionalFormatting sqref="AC152">
    <cfRule type="expression" dxfId="2190" priority="2102">
      <formula>$E$7&lt;&gt;"Yes"</formula>
    </cfRule>
  </conditionalFormatting>
  <conditionalFormatting sqref="R152:V152">
    <cfRule type="expression" dxfId="2189" priority="2101">
      <formula>$E$7&lt;&gt;"Yes"</formula>
    </cfRule>
  </conditionalFormatting>
  <conditionalFormatting sqref="S152">
    <cfRule type="expression" dxfId="2188" priority="2100">
      <formula>$E$7&lt;&gt;"Yes"</formula>
    </cfRule>
  </conditionalFormatting>
  <conditionalFormatting sqref="T152">
    <cfRule type="expression" dxfId="2187" priority="2099">
      <formula>$E$7&lt;&gt;"Yes"</formula>
    </cfRule>
  </conditionalFormatting>
  <conditionalFormatting sqref="U152">
    <cfRule type="expression" dxfId="2186" priority="2098">
      <formula>$E$7&lt;&gt;"Yes"</formula>
    </cfRule>
  </conditionalFormatting>
  <conditionalFormatting sqref="V152">
    <cfRule type="expression" dxfId="2185" priority="2097">
      <formula>$E$7&lt;&gt;"Yes"</formula>
    </cfRule>
  </conditionalFormatting>
  <conditionalFormatting sqref="R152:V152">
    <cfRule type="expression" dxfId="2184" priority="2096">
      <formula>$E$7&lt;&gt;"Yes"</formula>
    </cfRule>
  </conditionalFormatting>
  <conditionalFormatting sqref="Z152">
    <cfRule type="expression" dxfId="2183" priority="2095">
      <formula>$E$7&lt;&gt;"Yes"</formula>
    </cfRule>
  </conditionalFormatting>
  <conditionalFormatting sqref="AN152:AO152">
    <cfRule type="expression" dxfId="2182" priority="2094">
      <formula>$E$7&lt;&gt;"Yes"</formula>
    </cfRule>
  </conditionalFormatting>
  <conditionalFormatting sqref="AI152">
    <cfRule type="expression" dxfId="2181" priority="2093">
      <formula>$E$7&lt;&gt;"Yes"</formula>
    </cfRule>
  </conditionalFormatting>
  <conditionalFormatting sqref="Q152 N152 AJ152:AK152 AF152:AH152 Y152">
    <cfRule type="expression" dxfId="2180" priority="2092">
      <formula>$E$7&lt;&gt;"Yes"</formula>
    </cfRule>
  </conditionalFormatting>
  <conditionalFormatting sqref="G152">
    <cfRule type="expression" dxfId="2179" priority="2090">
      <formula>$E$7&lt;&gt;"Yes"</formula>
    </cfRule>
  </conditionalFormatting>
  <conditionalFormatting sqref="M152 F152:J152 Q152">
    <cfRule type="expression" dxfId="2178" priority="2091">
      <formula>$E$7&lt;&gt;"Yes"</formula>
    </cfRule>
  </conditionalFormatting>
  <conditionalFormatting sqref="K152:L152">
    <cfRule type="expression" dxfId="2177" priority="2089">
      <formula>$E$7&lt;&gt;"Yes"</formula>
    </cfRule>
  </conditionalFormatting>
  <conditionalFormatting sqref="W152">
    <cfRule type="expression" dxfId="2176" priority="2088">
      <formula>$E$7&lt;&gt;"Yes"</formula>
    </cfRule>
  </conditionalFormatting>
  <conditionalFormatting sqref="AE152">
    <cfRule type="expression" dxfId="2175" priority="2087">
      <formula>$E$7&lt;&gt;"Yes"</formula>
    </cfRule>
  </conditionalFormatting>
  <conditionalFormatting sqref="AB152">
    <cfRule type="expression" dxfId="2174" priority="2086">
      <formula>$E$7&lt;&gt;"Yes"</formula>
    </cfRule>
  </conditionalFormatting>
  <conditionalFormatting sqref="AA152">
    <cfRule type="expression" dxfId="2173" priority="2085">
      <formula>$E$7&lt;&gt;"Yes"</formula>
    </cfRule>
  </conditionalFormatting>
  <conditionalFormatting sqref="Y152">
    <cfRule type="expression" dxfId="2172" priority="2084">
      <formula>$E$7&lt;&gt;"Yes"</formula>
    </cfRule>
  </conditionalFormatting>
  <conditionalFormatting sqref="O152:P152">
    <cfRule type="expression" dxfId="2171" priority="2083">
      <formula>$E$7&lt;&gt;"Yes"</formula>
    </cfRule>
  </conditionalFormatting>
  <conditionalFormatting sqref="X152">
    <cfRule type="expression" dxfId="2170" priority="2082">
      <formula>$E$7&lt;&gt;"Yes"</formula>
    </cfRule>
  </conditionalFormatting>
  <conditionalFormatting sqref="AD152">
    <cfRule type="expression" dxfId="2169" priority="2081">
      <formula>$E$7&lt;&gt;"Yes"</formula>
    </cfRule>
  </conditionalFormatting>
  <conditionalFormatting sqref="AC152">
    <cfRule type="expression" dxfId="2168" priority="2080">
      <formula>$E$7&lt;&gt;"Yes"</formula>
    </cfRule>
  </conditionalFormatting>
  <conditionalFormatting sqref="R152:V152">
    <cfRule type="expression" dxfId="2167" priority="2079">
      <formula>$E$7&lt;&gt;"Yes"</formula>
    </cfRule>
  </conditionalFormatting>
  <conditionalFormatting sqref="S152">
    <cfRule type="expression" dxfId="2166" priority="2078">
      <formula>$E$7&lt;&gt;"Yes"</formula>
    </cfRule>
  </conditionalFormatting>
  <conditionalFormatting sqref="T152">
    <cfRule type="expression" dxfId="2165" priority="2077">
      <formula>$E$7&lt;&gt;"Yes"</formula>
    </cfRule>
  </conditionalFormatting>
  <conditionalFormatting sqref="U152">
    <cfRule type="expression" dxfId="2164" priority="2076">
      <formula>$E$7&lt;&gt;"Yes"</formula>
    </cfRule>
  </conditionalFormatting>
  <conditionalFormatting sqref="V152">
    <cfRule type="expression" dxfId="2163" priority="2075">
      <formula>$E$7&lt;&gt;"Yes"</formula>
    </cfRule>
  </conditionalFormatting>
  <conditionalFormatting sqref="R152:V152">
    <cfRule type="expression" dxfId="2162" priority="2074">
      <formula>$E$7&lt;&gt;"Yes"</formula>
    </cfRule>
  </conditionalFormatting>
  <conditionalFormatting sqref="Z152">
    <cfRule type="expression" dxfId="2161" priority="2073">
      <formula>$E$7&lt;&gt;"Yes"</formula>
    </cfRule>
  </conditionalFormatting>
  <conditionalFormatting sqref="AN152:AO152">
    <cfRule type="expression" dxfId="2160" priority="2072">
      <formula>$E$7&lt;&gt;"Yes"</formula>
    </cfRule>
  </conditionalFormatting>
  <conditionalFormatting sqref="AI152">
    <cfRule type="expression" dxfId="2159" priority="2071">
      <formula>$E$7&lt;&gt;"Yes"</formula>
    </cfRule>
  </conditionalFormatting>
  <conditionalFormatting sqref="F356:AK356 AN356:AO356">
    <cfRule type="expression" dxfId="2158" priority="2070">
      <formula>$E356&lt;&gt;"Yes"</formula>
    </cfRule>
  </conditionalFormatting>
  <conditionalFormatting sqref="Q356 N356 AJ356:AK356 AF356:AH356 Y356">
    <cfRule type="expression" dxfId="2157" priority="2069">
      <formula>$E$7&lt;&gt;"Yes"</formula>
    </cfRule>
  </conditionalFormatting>
  <conditionalFormatting sqref="G356">
    <cfRule type="expression" dxfId="2156" priority="2067">
      <formula>$E$7&lt;&gt;"Yes"</formula>
    </cfRule>
  </conditionalFormatting>
  <conditionalFormatting sqref="M356 F356:J356 Q356">
    <cfRule type="expression" dxfId="2155" priority="2068">
      <formula>$E$7&lt;&gt;"Yes"</formula>
    </cfRule>
  </conditionalFormatting>
  <conditionalFormatting sqref="K356:L356">
    <cfRule type="expression" dxfId="2154" priority="2066">
      <formula>$E$7&lt;&gt;"Yes"</formula>
    </cfRule>
  </conditionalFormatting>
  <conditionalFormatting sqref="W356">
    <cfRule type="expression" dxfId="2153" priority="2065">
      <formula>$E$7&lt;&gt;"Yes"</formula>
    </cfRule>
  </conditionalFormatting>
  <conditionalFormatting sqref="AE356">
    <cfRule type="expression" dxfId="2152" priority="2064">
      <formula>$E$7&lt;&gt;"Yes"</formula>
    </cfRule>
  </conditionalFormatting>
  <conditionalFormatting sqref="AB356">
    <cfRule type="expression" dxfId="2151" priority="2063">
      <formula>$E$7&lt;&gt;"Yes"</formula>
    </cfRule>
  </conditionalFormatting>
  <conditionalFormatting sqref="AA356">
    <cfRule type="expression" dxfId="2150" priority="2062">
      <formula>$E$7&lt;&gt;"Yes"</formula>
    </cfRule>
  </conditionalFormatting>
  <conditionalFormatting sqref="Y356">
    <cfRule type="expression" dxfId="2149" priority="2061">
      <formula>$E$7&lt;&gt;"Yes"</formula>
    </cfRule>
  </conditionalFormatting>
  <conditionalFormatting sqref="O356:P356">
    <cfRule type="expression" dxfId="2148" priority="2060">
      <formula>$E$7&lt;&gt;"Yes"</formula>
    </cfRule>
  </conditionalFormatting>
  <conditionalFormatting sqref="X356">
    <cfRule type="expression" dxfId="2147" priority="2059">
      <formula>$E$7&lt;&gt;"Yes"</formula>
    </cfRule>
  </conditionalFormatting>
  <conditionalFormatting sqref="AD356">
    <cfRule type="expression" dxfId="2146" priority="2058">
      <formula>$E$7&lt;&gt;"Yes"</formula>
    </cfRule>
  </conditionalFormatting>
  <conditionalFormatting sqref="AC356">
    <cfRule type="expression" dxfId="2145" priority="2057">
      <formula>$E$7&lt;&gt;"Yes"</formula>
    </cfRule>
  </conditionalFormatting>
  <conditionalFormatting sqref="R356:V356">
    <cfRule type="expression" dxfId="2144" priority="2056">
      <formula>$E$7&lt;&gt;"Yes"</formula>
    </cfRule>
  </conditionalFormatting>
  <conditionalFormatting sqref="S356">
    <cfRule type="expression" dxfId="2143" priority="2055">
      <formula>$E$7&lt;&gt;"Yes"</formula>
    </cfRule>
  </conditionalFormatting>
  <conditionalFormatting sqref="T356">
    <cfRule type="expression" dxfId="2142" priority="2054">
      <formula>$E$7&lt;&gt;"Yes"</formula>
    </cfRule>
  </conditionalFormatting>
  <conditionalFormatting sqref="U356">
    <cfRule type="expression" dxfId="2141" priority="2053">
      <formula>$E$7&lt;&gt;"Yes"</formula>
    </cfRule>
  </conditionalFormatting>
  <conditionalFormatting sqref="V356">
    <cfRule type="expression" dxfId="2140" priority="2052">
      <formula>$E$7&lt;&gt;"Yes"</formula>
    </cfRule>
  </conditionalFormatting>
  <conditionalFormatting sqref="R356:V356">
    <cfRule type="expression" dxfId="2139" priority="2051">
      <formula>$E$7&lt;&gt;"Yes"</formula>
    </cfRule>
  </conditionalFormatting>
  <conditionalFormatting sqref="Z356">
    <cfRule type="expression" dxfId="2138" priority="2050">
      <formula>$E$7&lt;&gt;"Yes"</formula>
    </cfRule>
  </conditionalFormatting>
  <conditionalFormatting sqref="AN356:AO356">
    <cfRule type="expression" dxfId="2137" priority="2049">
      <formula>$E$7&lt;&gt;"Yes"</formula>
    </cfRule>
  </conditionalFormatting>
  <conditionalFormatting sqref="AI356">
    <cfRule type="expression" dxfId="2136" priority="2048">
      <formula>$E$7&lt;&gt;"Yes"</formula>
    </cfRule>
  </conditionalFormatting>
  <conditionalFormatting sqref="Q356 N356 AJ356:AK356 AF356:AH356 Y356">
    <cfRule type="expression" dxfId="2135" priority="2047">
      <formula>$E$7&lt;&gt;"Yes"</formula>
    </cfRule>
  </conditionalFormatting>
  <conditionalFormatting sqref="G356">
    <cfRule type="expression" dxfId="2134" priority="2045">
      <formula>$E$7&lt;&gt;"Yes"</formula>
    </cfRule>
  </conditionalFormatting>
  <conditionalFormatting sqref="M356 F356:J356 Q356">
    <cfRule type="expression" dxfId="2133" priority="2046">
      <formula>$E$7&lt;&gt;"Yes"</formula>
    </cfRule>
  </conditionalFormatting>
  <conditionalFormatting sqref="K356:L356">
    <cfRule type="expression" dxfId="2132" priority="2044">
      <formula>$E$7&lt;&gt;"Yes"</formula>
    </cfRule>
  </conditionalFormatting>
  <conditionalFormatting sqref="W356">
    <cfRule type="expression" dxfId="2131" priority="2043">
      <formula>$E$7&lt;&gt;"Yes"</formula>
    </cfRule>
  </conditionalFormatting>
  <conditionalFormatting sqref="AE356">
    <cfRule type="expression" dxfId="2130" priority="2042">
      <formula>$E$7&lt;&gt;"Yes"</formula>
    </cfRule>
  </conditionalFormatting>
  <conditionalFormatting sqref="AB356">
    <cfRule type="expression" dxfId="2129" priority="2041">
      <formula>$E$7&lt;&gt;"Yes"</formula>
    </cfRule>
  </conditionalFormatting>
  <conditionalFormatting sqref="AA356">
    <cfRule type="expression" dxfId="2128" priority="2040">
      <formula>$E$7&lt;&gt;"Yes"</formula>
    </cfRule>
  </conditionalFormatting>
  <conditionalFormatting sqref="Y356">
    <cfRule type="expression" dxfId="2127" priority="2039">
      <formula>$E$7&lt;&gt;"Yes"</formula>
    </cfRule>
  </conditionalFormatting>
  <conditionalFormatting sqref="O356:P356">
    <cfRule type="expression" dxfId="2126" priority="2038">
      <formula>$E$7&lt;&gt;"Yes"</formula>
    </cfRule>
  </conditionalFormatting>
  <conditionalFormatting sqref="X356">
    <cfRule type="expression" dxfId="2125" priority="2037">
      <formula>$E$7&lt;&gt;"Yes"</formula>
    </cfRule>
  </conditionalFormatting>
  <conditionalFormatting sqref="AD356">
    <cfRule type="expression" dxfId="2124" priority="2036">
      <formula>$E$7&lt;&gt;"Yes"</formula>
    </cfRule>
  </conditionalFormatting>
  <conditionalFormatting sqref="AC356">
    <cfRule type="expression" dxfId="2123" priority="2035">
      <formula>$E$7&lt;&gt;"Yes"</formula>
    </cfRule>
  </conditionalFormatting>
  <conditionalFormatting sqref="R356:V356">
    <cfRule type="expression" dxfId="2122" priority="2034">
      <formula>$E$7&lt;&gt;"Yes"</formula>
    </cfRule>
  </conditionalFormatting>
  <conditionalFormatting sqref="S356">
    <cfRule type="expression" dxfId="2121" priority="2033">
      <formula>$E$7&lt;&gt;"Yes"</formula>
    </cfRule>
  </conditionalFormatting>
  <conditionalFormatting sqref="T356">
    <cfRule type="expression" dxfId="2120" priority="2032">
      <formula>$E$7&lt;&gt;"Yes"</formula>
    </cfRule>
  </conditionalFormatting>
  <conditionalFormatting sqref="U356">
    <cfRule type="expression" dxfId="2119" priority="2031">
      <formula>$E$7&lt;&gt;"Yes"</formula>
    </cfRule>
  </conditionalFormatting>
  <conditionalFormatting sqref="V356">
    <cfRule type="expression" dxfId="2118" priority="2030">
      <formula>$E$7&lt;&gt;"Yes"</formula>
    </cfRule>
  </conditionalFormatting>
  <conditionalFormatting sqref="R356:V356">
    <cfRule type="expression" dxfId="2117" priority="2029">
      <formula>$E$7&lt;&gt;"Yes"</formula>
    </cfRule>
  </conditionalFormatting>
  <conditionalFormatting sqref="Z356">
    <cfRule type="expression" dxfId="2116" priority="2028">
      <formula>$E$7&lt;&gt;"Yes"</formula>
    </cfRule>
  </conditionalFormatting>
  <conditionalFormatting sqref="AN356:AO356">
    <cfRule type="expression" dxfId="2115" priority="2027">
      <formula>$E$7&lt;&gt;"Yes"</formula>
    </cfRule>
  </conditionalFormatting>
  <conditionalFormatting sqref="AI356">
    <cfRule type="expression" dxfId="2114" priority="2026">
      <formula>$E$7&lt;&gt;"Yes"</formula>
    </cfRule>
  </conditionalFormatting>
  <conditionalFormatting sqref="F427:AK427 AN427:AO427">
    <cfRule type="expression" dxfId="2113" priority="2025">
      <formula>$E427&lt;&gt;"Yes"</formula>
    </cfRule>
  </conditionalFormatting>
  <conditionalFormatting sqref="Q427 N427 AJ427:AK427 AF427:AH427 Y427">
    <cfRule type="expression" dxfId="2112" priority="2024">
      <formula>$E$7&lt;&gt;"Yes"</formula>
    </cfRule>
  </conditionalFormatting>
  <conditionalFormatting sqref="G427">
    <cfRule type="expression" dxfId="2111" priority="2022">
      <formula>$E$7&lt;&gt;"Yes"</formula>
    </cfRule>
  </conditionalFormatting>
  <conditionalFormatting sqref="M427 F427:J427 Q427">
    <cfRule type="expression" dxfId="2110" priority="2023">
      <formula>$E$7&lt;&gt;"Yes"</formula>
    </cfRule>
  </conditionalFormatting>
  <conditionalFormatting sqref="K427:L427">
    <cfRule type="expression" dxfId="2109" priority="2021">
      <formula>$E$7&lt;&gt;"Yes"</formula>
    </cfRule>
  </conditionalFormatting>
  <conditionalFormatting sqref="W427">
    <cfRule type="expression" dxfId="2108" priority="2020">
      <formula>$E$7&lt;&gt;"Yes"</formula>
    </cfRule>
  </conditionalFormatting>
  <conditionalFormatting sqref="AE427">
    <cfRule type="expression" dxfId="2107" priority="2019">
      <formula>$E$7&lt;&gt;"Yes"</formula>
    </cfRule>
  </conditionalFormatting>
  <conditionalFormatting sqref="AB427">
    <cfRule type="expression" dxfId="2106" priority="2018">
      <formula>$E$7&lt;&gt;"Yes"</formula>
    </cfRule>
  </conditionalFormatting>
  <conditionalFormatting sqref="AA427">
    <cfRule type="expression" dxfId="2105" priority="2017">
      <formula>$E$7&lt;&gt;"Yes"</formula>
    </cfRule>
  </conditionalFormatting>
  <conditionalFormatting sqref="Y427">
    <cfRule type="expression" dxfId="2104" priority="2016">
      <formula>$E$7&lt;&gt;"Yes"</formula>
    </cfRule>
  </conditionalFormatting>
  <conditionalFormatting sqref="O427:P427">
    <cfRule type="expression" dxfId="2103" priority="2015">
      <formula>$E$7&lt;&gt;"Yes"</formula>
    </cfRule>
  </conditionalFormatting>
  <conditionalFormatting sqref="X427">
    <cfRule type="expression" dxfId="2102" priority="2014">
      <formula>$E$7&lt;&gt;"Yes"</formula>
    </cfRule>
  </conditionalFormatting>
  <conditionalFormatting sqref="AD427">
    <cfRule type="expression" dxfId="2101" priority="2013">
      <formula>$E$7&lt;&gt;"Yes"</formula>
    </cfRule>
  </conditionalFormatting>
  <conditionalFormatting sqref="AC427">
    <cfRule type="expression" dxfId="2100" priority="2012">
      <formula>$E$7&lt;&gt;"Yes"</formula>
    </cfRule>
  </conditionalFormatting>
  <conditionalFormatting sqref="R427:V427">
    <cfRule type="expression" dxfId="2099" priority="2011">
      <formula>$E$7&lt;&gt;"Yes"</formula>
    </cfRule>
  </conditionalFormatting>
  <conditionalFormatting sqref="S427">
    <cfRule type="expression" dxfId="2098" priority="2010">
      <formula>$E$7&lt;&gt;"Yes"</formula>
    </cfRule>
  </conditionalFormatting>
  <conditionalFormatting sqref="T427">
    <cfRule type="expression" dxfId="2097" priority="2009">
      <formula>$E$7&lt;&gt;"Yes"</formula>
    </cfRule>
  </conditionalFormatting>
  <conditionalFormatting sqref="U427">
    <cfRule type="expression" dxfId="2096" priority="2008">
      <formula>$E$7&lt;&gt;"Yes"</formula>
    </cfRule>
  </conditionalFormatting>
  <conditionalFormatting sqref="V427">
    <cfRule type="expression" dxfId="2095" priority="2007">
      <formula>$E$7&lt;&gt;"Yes"</formula>
    </cfRule>
  </conditionalFormatting>
  <conditionalFormatting sqref="R427:V427">
    <cfRule type="expression" dxfId="2094" priority="2006">
      <formula>$E$7&lt;&gt;"Yes"</formula>
    </cfRule>
  </conditionalFormatting>
  <conditionalFormatting sqref="Z427">
    <cfRule type="expression" dxfId="2093" priority="2005">
      <formula>$E$7&lt;&gt;"Yes"</formula>
    </cfRule>
  </conditionalFormatting>
  <conditionalFormatting sqref="AN427:AO427">
    <cfRule type="expression" dxfId="2092" priority="2004">
      <formula>$E$7&lt;&gt;"Yes"</formula>
    </cfRule>
  </conditionalFormatting>
  <conditionalFormatting sqref="AI427">
    <cfRule type="expression" dxfId="2091" priority="2003">
      <formula>$E$7&lt;&gt;"Yes"</formula>
    </cfRule>
  </conditionalFormatting>
  <conditionalFormatting sqref="Q427 N427 AJ427:AK427 AF427:AH427 Y427">
    <cfRule type="expression" dxfId="2090" priority="2002">
      <formula>$E$7&lt;&gt;"Yes"</formula>
    </cfRule>
  </conditionalFormatting>
  <conditionalFormatting sqref="G427">
    <cfRule type="expression" dxfId="2089" priority="2000">
      <formula>$E$7&lt;&gt;"Yes"</formula>
    </cfRule>
  </conditionalFormatting>
  <conditionalFormatting sqref="M427 F427:J427 Q427">
    <cfRule type="expression" dxfId="2088" priority="2001">
      <formula>$E$7&lt;&gt;"Yes"</formula>
    </cfRule>
  </conditionalFormatting>
  <conditionalFormatting sqref="K427:L427">
    <cfRule type="expression" dxfId="2087" priority="1999">
      <formula>$E$7&lt;&gt;"Yes"</formula>
    </cfRule>
  </conditionalFormatting>
  <conditionalFormatting sqref="W427">
    <cfRule type="expression" dxfId="2086" priority="1998">
      <formula>$E$7&lt;&gt;"Yes"</formula>
    </cfRule>
  </conditionalFormatting>
  <conditionalFormatting sqref="AE427">
    <cfRule type="expression" dxfId="2085" priority="1997">
      <formula>$E$7&lt;&gt;"Yes"</formula>
    </cfRule>
  </conditionalFormatting>
  <conditionalFormatting sqref="AB427">
    <cfRule type="expression" dxfId="2084" priority="1996">
      <formula>$E$7&lt;&gt;"Yes"</formula>
    </cfRule>
  </conditionalFormatting>
  <conditionalFormatting sqref="AA427">
    <cfRule type="expression" dxfId="2083" priority="1995">
      <formula>$E$7&lt;&gt;"Yes"</formula>
    </cfRule>
  </conditionalFormatting>
  <conditionalFormatting sqref="Y427">
    <cfRule type="expression" dxfId="2082" priority="1994">
      <formula>$E$7&lt;&gt;"Yes"</formula>
    </cfRule>
  </conditionalFormatting>
  <conditionalFormatting sqref="O427:P427">
    <cfRule type="expression" dxfId="2081" priority="1993">
      <formula>$E$7&lt;&gt;"Yes"</formula>
    </cfRule>
  </conditionalFormatting>
  <conditionalFormatting sqref="X427">
    <cfRule type="expression" dxfId="2080" priority="1992">
      <formula>$E$7&lt;&gt;"Yes"</formula>
    </cfRule>
  </conditionalFormatting>
  <conditionalFormatting sqref="AD427">
    <cfRule type="expression" dxfId="2079" priority="1991">
      <formula>$E$7&lt;&gt;"Yes"</formula>
    </cfRule>
  </conditionalFormatting>
  <conditionalFormatting sqref="AC427">
    <cfRule type="expression" dxfId="2078" priority="1990">
      <formula>$E$7&lt;&gt;"Yes"</formula>
    </cfRule>
  </conditionalFormatting>
  <conditionalFormatting sqref="R427:V427">
    <cfRule type="expression" dxfId="2077" priority="1989">
      <formula>$E$7&lt;&gt;"Yes"</formula>
    </cfRule>
  </conditionalFormatting>
  <conditionalFormatting sqref="S427">
    <cfRule type="expression" dxfId="2076" priority="1988">
      <formula>$E$7&lt;&gt;"Yes"</formula>
    </cfRule>
  </conditionalFormatting>
  <conditionalFormatting sqref="T427">
    <cfRule type="expression" dxfId="2075" priority="1987">
      <formula>$E$7&lt;&gt;"Yes"</formula>
    </cfRule>
  </conditionalFormatting>
  <conditionalFormatting sqref="U427">
    <cfRule type="expression" dxfId="2074" priority="1986">
      <formula>$E$7&lt;&gt;"Yes"</formula>
    </cfRule>
  </conditionalFormatting>
  <conditionalFormatting sqref="V427">
    <cfRule type="expression" dxfId="2073" priority="1985">
      <formula>$E$7&lt;&gt;"Yes"</formula>
    </cfRule>
  </conditionalFormatting>
  <conditionalFormatting sqref="R427:V427">
    <cfRule type="expression" dxfId="2072" priority="1984">
      <formula>$E$7&lt;&gt;"Yes"</formula>
    </cfRule>
  </conditionalFormatting>
  <conditionalFormatting sqref="Z427">
    <cfRule type="expression" dxfId="2071" priority="1983">
      <formula>$E$7&lt;&gt;"Yes"</formula>
    </cfRule>
  </conditionalFormatting>
  <conditionalFormatting sqref="AN427:AO427">
    <cfRule type="expression" dxfId="2070" priority="1982">
      <formula>$E$7&lt;&gt;"Yes"</formula>
    </cfRule>
  </conditionalFormatting>
  <conditionalFormatting sqref="AI427">
    <cfRule type="expression" dxfId="2069" priority="1981">
      <formula>$E$7&lt;&gt;"Yes"</formula>
    </cfRule>
  </conditionalFormatting>
  <conditionalFormatting sqref="F428:AK428 AN428:AO428">
    <cfRule type="expression" dxfId="2068" priority="1980">
      <formula>$E428&lt;&gt;"Yes"</formula>
    </cfRule>
  </conditionalFormatting>
  <conditionalFormatting sqref="Q428 N428 AJ428:AK428 AF428:AH428 Y428">
    <cfRule type="expression" dxfId="2067" priority="1979">
      <formula>$E$7&lt;&gt;"Yes"</formula>
    </cfRule>
  </conditionalFormatting>
  <conditionalFormatting sqref="G428">
    <cfRule type="expression" dxfId="2066" priority="1977">
      <formula>$E$7&lt;&gt;"Yes"</formula>
    </cfRule>
  </conditionalFormatting>
  <conditionalFormatting sqref="M428 F428:J428 Q428">
    <cfRule type="expression" dxfId="2065" priority="1978">
      <formula>$E$7&lt;&gt;"Yes"</formula>
    </cfRule>
  </conditionalFormatting>
  <conditionalFormatting sqref="K428:L428">
    <cfRule type="expression" dxfId="2064" priority="1976">
      <formula>$E$7&lt;&gt;"Yes"</formula>
    </cfRule>
  </conditionalFormatting>
  <conditionalFormatting sqref="W428">
    <cfRule type="expression" dxfId="2063" priority="1975">
      <formula>$E$7&lt;&gt;"Yes"</formula>
    </cfRule>
  </conditionalFormatting>
  <conditionalFormatting sqref="AE428">
    <cfRule type="expression" dxfId="2062" priority="1974">
      <formula>$E$7&lt;&gt;"Yes"</formula>
    </cfRule>
  </conditionalFormatting>
  <conditionalFormatting sqref="AB428">
    <cfRule type="expression" dxfId="2061" priority="1973">
      <formula>$E$7&lt;&gt;"Yes"</formula>
    </cfRule>
  </conditionalFormatting>
  <conditionalFormatting sqref="AA428">
    <cfRule type="expression" dxfId="2060" priority="1972">
      <formula>$E$7&lt;&gt;"Yes"</formula>
    </cfRule>
  </conditionalFormatting>
  <conditionalFormatting sqref="Y428">
    <cfRule type="expression" dxfId="2059" priority="1971">
      <formula>$E$7&lt;&gt;"Yes"</formula>
    </cfRule>
  </conditionalFormatting>
  <conditionalFormatting sqref="O428:P428">
    <cfRule type="expression" dxfId="2058" priority="1970">
      <formula>$E$7&lt;&gt;"Yes"</formula>
    </cfRule>
  </conditionalFormatting>
  <conditionalFormatting sqref="X428">
    <cfRule type="expression" dxfId="2057" priority="1969">
      <formula>$E$7&lt;&gt;"Yes"</formula>
    </cfRule>
  </conditionalFormatting>
  <conditionalFormatting sqref="AD428">
    <cfRule type="expression" dxfId="2056" priority="1968">
      <formula>$E$7&lt;&gt;"Yes"</formula>
    </cfRule>
  </conditionalFormatting>
  <conditionalFormatting sqref="AC428">
    <cfRule type="expression" dxfId="2055" priority="1967">
      <formula>$E$7&lt;&gt;"Yes"</formula>
    </cfRule>
  </conditionalFormatting>
  <conditionalFormatting sqref="R428:V428">
    <cfRule type="expression" dxfId="2054" priority="1966">
      <formula>$E$7&lt;&gt;"Yes"</formula>
    </cfRule>
  </conditionalFormatting>
  <conditionalFormatting sqref="S428">
    <cfRule type="expression" dxfId="2053" priority="1965">
      <formula>$E$7&lt;&gt;"Yes"</formula>
    </cfRule>
  </conditionalFormatting>
  <conditionalFormatting sqref="T428">
    <cfRule type="expression" dxfId="2052" priority="1964">
      <formula>$E$7&lt;&gt;"Yes"</formula>
    </cfRule>
  </conditionalFormatting>
  <conditionalFormatting sqref="U428">
    <cfRule type="expression" dxfId="2051" priority="1963">
      <formula>$E$7&lt;&gt;"Yes"</formula>
    </cfRule>
  </conditionalFormatting>
  <conditionalFormatting sqref="V428">
    <cfRule type="expression" dxfId="2050" priority="1962">
      <formula>$E$7&lt;&gt;"Yes"</formula>
    </cfRule>
  </conditionalFormatting>
  <conditionalFormatting sqref="R428:V428">
    <cfRule type="expression" dxfId="2049" priority="1961">
      <formula>$E$7&lt;&gt;"Yes"</formula>
    </cfRule>
  </conditionalFormatting>
  <conditionalFormatting sqref="Z428">
    <cfRule type="expression" dxfId="2048" priority="1960">
      <formula>$E$7&lt;&gt;"Yes"</formula>
    </cfRule>
  </conditionalFormatting>
  <conditionalFormatting sqref="AN428:AO428">
    <cfRule type="expression" dxfId="2047" priority="1959">
      <formula>$E$7&lt;&gt;"Yes"</formula>
    </cfRule>
  </conditionalFormatting>
  <conditionalFormatting sqref="AI428">
    <cfRule type="expression" dxfId="2046" priority="1958">
      <formula>$E$7&lt;&gt;"Yes"</formula>
    </cfRule>
  </conditionalFormatting>
  <conditionalFormatting sqref="Q428 N428 AJ428:AK428 AF428:AH428 Y428">
    <cfRule type="expression" dxfId="2045" priority="1957">
      <formula>$E$7&lt;&gt;"Yes"</formula>
    </cfRule>
  </conditionalFormatting>
  <conditionalFormatting sqref="G428">
    <cfRule type="expression" dxfId="2044" priority="1955">
      <formula>$E$7&lt;&gt;"Yes"</formula>
    </cfRule>
  </conditionalFormatting>
  <conditionalFormatting sqref="M428 F428:J428 Q428">
    <cfRule type="expression" dxfId="2043" priority="1956">
      <formula>$E$7&lt;&gt;"Yes"</formula>
    </cfRule>
  </conditionalFormatting>
  <conditionalFormatting sqref="K428:L428">
    <cfRule type="expression" dxfId="2042" priority="1954">
      <formula>$E$7&lt;&gt;"Yes"</formula>
    </cfRule>
  </conditionalFormatting>
  <conditionalFormatting sqref="W428">
    <cfRule type="expression" dxfId="2041" priority="1953">
      <formula>$E$7&lt;&gt;"Yes"</formula>
    </cfRule>
  </conditionalFormatting>
  <conditionalFormatting sqref="AE428">
    <cfRule type="expression" dxfId="2040" priority="1952">
      <formula>$E$7&lt;&gt;"Yes"</formula>
    </cfRule>
  </conditionalFormatting>
  <conditionalFormatting sqref="AB428">
    <cfRule type="expression" dxfId="2039" priority="1951">
      <formula>$E$7&lt;&gt;"Yes"</formula>
    </cfRule>
  </conditionalFormatting>
  <conditionalFormatting sqref="AA428">
    <cfRule type="expression" dxfId="2038" priority="1950">
      <formula>$E$7&lt;&gt;"Yes"</formula>
    </cfRule>
  </conditionalFormatting>
  <conditionalFormatting sqref="Y428">
    <cfRule type="expression" dxfId="2037" priority="1949">
      <formula>$E$7&lt;&gt;"Yes"</formula>
    </cfRule>
  </conditionalFormatting>
  <conditionalFormatting sqref="O428:P428">
    <cfRule type="expression" dxfId="2036" priority="1948">
      <formula>$E$7&lt;&gt;"Yes"</formula>
    </cfRule>
  </conditionalFormatting>
  <conditionalFormatting sqref="X428">
    <cfRule type="expression" dxfId="2035" priority="1947">
      <formula>$E$7&lt;&gt;"Yes"</formula>
    </cfRule>
  </conditionalFormatting>
  <conditionalFormatting sqref="AD428">
    <cfRule type="expression" dxfId="2034" priority="1946">
      <formula>$E$7&lt;&gt;"Yes"</formula>
    </cfRule>
  </conditionalFormatting>
  <conditionalFormatting sqref="AC428">
    <cfRule type="expression" dxfId="2033" priority="1945">
      <formula>$E$7&lt;&gt;"Yes"</formula>
    </cfRule>
  </conditionalFormatting>
  <conditionalFormatting sqref="R428:V428">
    <cfRule type="expression" dxfId="2032" priority="1944">
      <formula>$E$7&lt;&gt;"Yes"</formula>
    </cfRule>
  </conditionalFormatting>
  <conditionalFormatting sqref="S428">
    <cfRule type="expression" dxfId="2031" priority="1943">
      <formula>$E$7&lt;&gt;"Yes"</formula>
    </cfRule>
  </conditionalFormatting>
  <conditionalFormatting sqref="T428">
    <cfRule type="expression" dxfId="2030" priority="1942">
      <formula>$E$7&lt;&gt;"Yes"</formula>
    </cfRule>
  </conditionalFormatting>
  <conditionalFormatting sqref="U428">
    <cfRule type="expression" dxfId="2029" priority="1941">
      <formula>$E$7&lt;&gt;"Yes"</formula>
    </cfRule>
  </conditionalFormatting>
  <conditionalFormatting sqref="V428">
    <cfRule type="expression" dxfId="2028" priority="1940">
      <formula>$E$7&lt;&gt;"Yes"</formula>
    </cfRule>
  </conditionalFormatting>
  <conditionalFormatting sqref="R428:V428">
    <cfRule type="expression" dxfId="2027" priority="1939">
      <formula>$E$7&lt;&gt;"Yes"</formula>
    </cfRule>
  </conditionalFormatting>
  <conditionalFormatting sqref="Z428">
    <cfRule type="expression" dxfId="2026" priority="1938">
      <formula>$E$7&lt;&gt;"Yes"</formula>
    </cfRule>
  </conditionalFormatting>
  <conditionalFormatting sqref="AN428:AO428">
    <cfRule type="expression" dxfId="2025" priority="1937">
      <formula>$E$7&lt;&gt;"Yes"</formula>
    </cfRule>
  </conditionalFormatting>
  <conditionalFormatting sqref="AI428">
    <cfRule type="expression" dxfId="2024" priority="1936">
      <formula>$E$7&lt;&gt;"Yes"</formula>
    </cfRule>
  </conditionalFormatting>
  <conditionalFormatting sqref="Q16 Y16 AF16:AH16 AJ16:AK16">
    <cfRule type="expression" dxfId="2023" priority="1935">
      <formula>$E$7&lt;&gt;"Yes"</formula>
    </cfRule>
  </conditionalFormatting>
  <conditionalFormatting sqref="Q16 Y16 AF16:AH16 AJ16:AK16">
    <cfRule type="expression" dxfId="2022" priority="1934">
      <formula>$E16&lt;&gt;"Yes"</formula>
    </cfRule>
  </conditionalFormatting>
  <conditionalFormatting sqref="G16">
    <cfRule type="expression" dxfId="2021" priority="1931">
      <formula>$E$7&lt;&gt;"Yes"</formula>
    </cfRule>
  </conditionalFormatting>
  <conditionalFormatting sqref="M16 F16:J16 Q16">
    <cfRule type="expression" dxfId="2020" priority="1933">
      <formula>$E$7&lt;&gt;"Yes"</formula>
    </cfRule>
  </conditionalFormatting>
  <conditionalFormatting sqref="M16 F16:J16 Q16">
    <cfRule type="expression" dxfId="2019" priority="1932">
      <formula>$E16&lt;&gt;"Yes"</formula>
    </cfRule>
  </conditionalFormatting>
  <conditionalFormatting sqref="K16:L16">
    <cfRule type="expression" dxfId="2018" priority="1930">
      <formula>$E$7&lt;&gt;"Yes"</formula>
    </cfRule>
  </conditionalFormatting>
  <conditionalFormatting sqref="K16:L16">
    <cfRule type="expression" dxfId="2017" priority="1929">
      <formula>$E16&lt;&gt;"Yes"</formula>
    </cfRule>
  </conditionalFormatting>
  <conditionalFormatting sqref="W16">
    <cfRule type="expression" dxfId="2016" priority="1928">
      <formula>$E$7&lt;&gt;"Yes"</formula>
    </cfRule>
  </conditionalFormatting>
  <conditionalFormatting sqref="W16">
    <cfRule type="expression" dxfId="2015" priority="1927">
      <formula>$E16&lt;&gt;"Yes"</formula>
    </cfRule>
  </conditionalFormatting>
  <conditionalFormatting sqref="AE16">
    <cfRule type="expression" dxfId="2014" priority="1926">
      <formula>$E$7&lt;&gt;"Yes"</formula>
    </cfRule>
  </conditionalFormatting>
  <conditionalFormatting sqref="AE16">
    <cfRule type="expression" dxfId="2013" priority="1925">
      <formula>$E16&lt;&gt;"Yes"</formula>
    </cfRule>
  </conditionalFormatting>
  <conditionalFormatting sqref="N16">
    <cfRule type="expression" dxfId="2012" priority="1924">
      <formula>$E$7&lt;&gt;"Yes"</formula>
    </cfRule>
  </conditionalFormatting>
  <conditionalFormatting sqref="N16">
    <cfRule type="expression" dxfId="2011" priority="1923">
      <formula>$E16&lt;&gt;"Yes"</formula>
    </cfRule>
  </conditionalFormatting>
  <conditionalFormatting sqref="AB16">
    <cfRule type="expression" dxfId="2010" priority="1922">
      <formula>$E$7&lt;&gt;"Yes"</formula>
    </cfRule>
  </conditionalFormatting>
  <conditionalFormatting sqref="AB16">
    <cfRule type="expression" dxfId="2009" priority="1921">
      <formula>$E16&lt;&gt;"Yes"</formula>
    </cfRule>
  </conditionalFormatting>
  <conditionalFormatting sqref="AA16">
    <cfRule type="expression" dxfId="2008" priority="1920">
      <formula>$E$7&lt;&gt;"Yes"</formula>
    </cfRule>
  </conditionalFormatting>
  <conditionalFormatting sqref="AA16">
    <cfRule type="expression" dxfId="2007" priority="1919">
      <formula>$E16&lt;&gt;"Yes"</formula>
    </cfRule>
  </conditionalFormatting>
  <conditionalFormatting sqref="Y16">
    <cfRule type="expression" dxfId="2006" priority="1918">
      <formula>$E$7&lt;&gt;"Yes"</formula>
    </cfRule>
  </conditionalFormatting>
  <conditionalFormatting sqref="Y16">
    <cfRule type="expression" dxfId="2005" priority="1917">
      <formula>$E16&lt;&gt;"Yes"</formula>
    </cfRule>
  </conditionalFormatting>
  <conditionalFormatting sqref="O16:P16">
    <cfRule type="expression" dxfId="2004" priority="1916">
      <formula>$E$7&lt;&gt;"Yes"</formula>
    </cfRule>
  </conditionalFormatting>
  <conditionalFormatting sqref="O16:P16">
    <cfRule type="expression" dxfId="2003" priority="1915">
      <formula>$E16&lt;&gt;"Yes"</formula>
    </cfRule>
  </conditionalFormatting>
  <conditionalFormatting sqref="X16">
    <cfRule type="expression" dxfId="2002" priority="1914">
      <formula>$E$7&lt;&gt;"Yes"</formula>
    </cfRule>
  </conditionalFormatting>
  <conditionalFormatting sqref="X16">
    <cfRule type="expression" dxfId="2001" priority="1913">
      <formula>$E16&lt;&gt;"Yes"</formula>
    </cfRule>
  </conditionalFormatting>
  <conditionalFormatting sqref="AD16">
    <cfRule type="expression" dxfId="2000" priority="1912">
      <formula>$E$7&lt;&gt;"Yes"</formula>
    </cfRule>
  </conditionalFormatting>
  <conditionalFormatting sqref="AD16">
    <cfRule type="expression" dxfId="1999" priority="1911">
      <formula>$E16&lt;&gt;"Yes"</formula>
    </cfRule>
  </conditionalFormatting>
  <conditionalFormatting sqref="AC16">
    <cfRule type="expression" dxfId="1998" priority="1910">
      <formula>$E$7&lt;&gt;"Yes"</formula>
    </cfRule>
  </conditionalFormatting>
  <conditionalFormatting sqref="AC16">
    <cfRule type="expression" dxfId="1997" priority="1909">
      <formula>$E16&lt;&gt;"Yes"</formula>
    </cfRule>
  </conditionalFormatting>
  <conditionalFormatting sqref="R16:V16">
    <cfRule type="expression" dxfId="1996" priority="1908">
      <formula>$E$7&lt;&gt;"Yes"</formula>
    </cfRule>
  </conditionalFormatting>
  <conditionalFormatting sqref="R16:V16">
    <cfRule type="expression" dxfId="1995" priority="1907">
      <formula>$E16&lt;&gt;"Yes"</formula>
    </cfRule>
  </conditionalFormatting>
  <conditionalFormatting sqref="S16">
    <cfRule type="expression" dxfId="1994" priority="1906">
      <formula>$E$7&lt;&gt;"Yes"</formula>
    </cfRule>
  </conditionalFormatting>
  <conditionalFormatting sqref="S16">
    <cfRule type="expression" dxfId="1993" priority="1905">
      <formula>$E16&lt;&gt;"Yes"</formula>
    </cfRule>
  </conditionalFormatting>
  <conditionalFormatting sqref="T16">
    <cfRule type="expression" dxfId="1992" priority="1904">
      <formula>$E$7&lt;&gt;"Yes"</formula>
    </cfRule>
  </conditionalFormatting>
  <conditionalFormatting sqref="T16">
    <cfRule type="expression" dxfId="1991" priority="1903">
      <formula>$E16&lt;&gt;"Yes"</formula>
    </cfRule>
  </conditionalFormatting>
  <conditionalFormatting sqref="U16">
    <cfRule type="expression" dxfId="1990" priority="1902">
      <formula>$E$7&lt;&gt;"Yes"</formula>
    </cfRule>
  </conditionalFormatting>
  <conditionalFormatting sqref="U16">
    <cfRule type="expression" dxfId="1989" priority="1901">
      <formula>$E16&lt;&gt;"Yes"</formula>
    </cfRule>
  </conditionalFormatting>
  <conditionalFormatting sqref="V16">
    <cfRule type="expression" dxfId="1988" priority="1900">
      <formula>$E$7&lt;&gt;"Yes"</formula>
    </cfRule>
  </conditionalFormatting>
  <conditionalFormatting sqref="V16">
    <cfRule type="expression" dxfId="1987" priority="1899">
      <formula>$E16&lt;&gt;"Yes"</formula>
    </cfRule>
  </conditionalFormatting>
  <conditionalFormatting sqref="R16:V16">
    <cfRule type="expression" dxfId="1986" priority="1898">
      <formula>$E$7&lt;&gt;"Yes"</formula>
    </cfRule>
  </conditionalFormatting>
  <conditionalFormatting sqref="R16:V16">
    <cfRule type="expression" dxfId="1985" priority="1897">
      <formula>$E16&lt;&gt;"Yes"</formula>
    </cfRule>
  </conditionalFormatting>
  <conditionalFormatting sqref="Z16">
    <cfRule type="expression" dxfId="1984" priority="1896">
      <formula>$E$7&lt;&gt;"Yes"</formula>
    </cfRule>
  </conditionalFormatting>
  <conditionalFormatting sqref="Z16">
    <cfRule type="expression" dxfId="1983" priority="1895">
      <formula>$E16&lt;&gt;"Yes"</formula>
    </cfRule>
  </conditionalFormatting>
  <conditionalFormatting sqref="AN16:AO16">
    <cfRule type="expression" dxfId="1982" priority="1894">
      <formula>$E$7&lt;&gt;"Yes"</formula>
    </cfRule>
  </conditionalFormatting>
  <conditionalFormatting sqref="AN16:AO16">
    <cfRule type="expression" dxfId="1981" priority="1893">
      <formula>$E16&lt;&gt;"Yes"</formula>
    </cfRule>
  </conditionalFormatting>
  <conditionalFormatting sqref="AI16">
    <cfRule type="expression" dxfId="1980" priority="1892">
      <formula>$E$7&lt;&gt;"Yes"</formula>
    </cfRule>
  </conditionalFormatting>
  <conditionalFormatting sqref="AI16">
    <cfRule type="expression" dxfId="1979" priority="1891">
      <formula>$E16&lt;&gt;"Yes"</formula>
    </cfRule>
  </conditionalFormatting>
  <conditionalFormatting sqref="Q17 Y17 AF17:AH17 AJ17:AK17">
    <cfRule type="expression" dxfId="1978" priority="1890">
      <formula>$E$7&lt;&gt;"Yes"</formula>
    </cfRule>
  </conditionalFormatting>
  <conditionalFormatting sqref="Q17 Y17 AF17:AH17 AJ17:AK17">
    <cfRule type="expression" dxfId="1977" priority="1889">
      <formula>$E17&lt;&gt;"Yes"</formula>
    </cfRule>
  </conditionalFormatting>
  <conditionalFormatting sqref="G17">
    <cfRule type="expression" dxfId="1976" priority="1886">
      <formula>$E$7&lt;&gt;"Yes"</formula>
    </cfRule>
  </conditionalFormatting>
  <conditionalFormatting sqref="M17 F17:J17 Q17">
    <cfRule type="expression" dxfId="1975" priority="1888">
      <formula>$E$7&lt;&gt;"Yes"</formula>
    </cfRule>
  </conditionalFormatting>
  <conditionalFormatting sqref="M17 F17:J17 Q17">
    <cfRule type="expression" dxfId="1974" priority="1887">
      <formula>$E17&lt;&gt;"Yes"</formula>
    </cfRule>
  </conditionalFormatting>
  <conditionalFormatting sqref="K17:L17">
    <cfRule type="expression" dxfId="1973" priority="1885">
      <formula>$E$7&lt;&gt;"Yes"</formula>
    </cfRule>
  </conditionalFormatting>
  <conditionalFormatting sqref="K17:L17">
    <cfRule type="expression" dxfId="1972" priority="1884">
      <formula>$E17&lt;&gt;"Yes"</formula>
    </cfRule>
  </conditionalFormatting>
  <conditionalFormatting sqref="W17">
    <cfRule type="expression" dxfId="1971" priority="1883">
      <formula>$E$7&lt;&gt;"Yes"</formula>
    </cfRule>
  </conditionalFormatting>
  <conditionalFormatting sqref="W17">
    <cfRule type="expression" dxfId="1970" priority="1882">
      <formula>$E17&lt;&gt;"Yes"</formula>
    </cfRule>
  </conditionalFormatting>
  <conditionalFormatting sqref="AE17">
    <cfRule type="expression" dxfId="1969" priority="1881">
      <formula>$E$7&lt;&gt;"Yes"</formula>
    </cfRule>
  </conditionalFormatting>
  <conditionalFormatting sqref="AE17">
    <cfRule type="expression" dxfId="1968" priority="1880">
      <formula>$E17&lt;&gt;"Yes"</formula>
    </cfRule>
  </conditionalFormatting>
  <conditionalFormatting sqref="N17">
    <cfRule type="expression" dxfId="1967" priority="1879">
      <formula>$E$7&lt;&gt;"Yes"</formula>
    </cfRule>
  </conditionalFormatting>
  <conditionalFormatting sqref="N17">
    <cfRule type="expression" dxfId="1966" priority="1878">
      <formula>$E17&lt;&gt;"Yes"</formula>
    </cfRule>
  </conditionalFormatting>
  <conditionalFormatting sqref="AB17">
    <cfRule type="expression" dxfId="1965" priority="1877">
      <formula>$E$7&lt;&gt;"Yes"</formula>
    </cfRule>
  </conditionalFormatting>
  <conditionalFormatting sqref="AB17">
    <cfRule type="expression" dxfId="1964" priority="1876">
      <formula>$E17&lt;&gt;"Yes"</formula>
    </cfRule>
  </conditionalFormatting>
  <conditionalFormatting sqref="AA17">
    <cfRule type="expression" dxfId="1963" priority="1875">
      <formula>$E$7&lt;&gt;"Yes"</formula>
    </cfRule>
  </conditionalFormatting>
  <conditionalFormatting sqref="AA17">
    <cfRule type="expression" dxfId="1962" priority="1874">
      <formula>$E17&lt;&gt;"Yes"</formula>
    </cfRule>
  </conditionalFormatting>
  <conditionalFormatting sqref="Y17">
    <cfRule type="expression" dxfId="1961" priority="1873">
      <formula>$E$7&lt;&gt;"Yes"</formula>
    </cfRule>
  </conditionalFormatting>
  <conditionalFormatting sqref="Y17">
    <cfRule type="expression" dxfId="1960" priority="1872">
      <formula>$E17&lt;&gt;"Yes"</formula>
    </cfRule>
  </conditionalFormatting>
  <conditionalFormatting sqref="O17:P17">
    <cfRule type="expression" dxfId="1959" priority="1871">
      <formula>$E$7&lt;&gt;"Yes"</formula>
    </cfRule>
  </conditionalFormatting>
  <conditionalFormatting sqref="O17:P17">
    <cfRule type="expression" dxfId="1958" priority="1870">
      <formula>$E17&lt;&gt;"Yes"</formula>
    </cfRule>
  </conditionalFormatting>
  <conditionalFormatting sqref="X17">
    <cfRule type="expression" dxfId="1957" priority="1869">
      <formula>$E$7&lt;&gt;"Yes"</formula>
    </cfRule>
  </conditionalFormatting>
  <conditionalFormatting sqref="X17">
    <cfRule type="expression" dxfId="1956" priority="1868">
      <formula>$E17&lt;&gt;"Yes"</formula>
    </cfRule>
  </conditionalFormatting>
  <conditionalFormatting sqref="AD17">
    <cfRule type="expression" dxfId="1955" priority="1867">
      <formula>$E$7&lt;&gt;"Yes"</formula>
    </cfRule>
  </conditionalFormatting>
  <conditionalFormatting sqref="AD17">
    <cfRule type="expression" dxfId="1954" priority="1866">
      <formula>$E17&lt;&gt;"Yes"</formula>
    </cfRule>
  </conditionalFormatting>
  <conditionalFormatting sqref="AC17">
    <cfRule type="expression" dxfId="1953" priority="1865">
      <formula>$E$7&lt;&gt;"Yes"</formula>
    </cfRule>
  </conditionalFormatting>
  <conditionalFormatting sqref="AC17">
    <cfRule type="expression" dxfId="1952" priority="1864">
      <formula>$E17&lt;&gt;"Yes"</formula>
    </cfRule>
  </conditionalFormatting>
  <conditionalFormatting sqref="R17:V17">
    <cfRule type="expression" dxfId="1951" priority="1863">
      <formula>$E$7&lt;&gt;"Yes"</formula>
    </cfRule>
  </conditionalFormatting>
  <conditionalFormatting sqref="R17:V17">
    <cfRule type="expression" dxfId="1950" priority="1862">
      <formula>$E17&lt;&gt;"Yes"</formula>
    </cfRule>
  </conditionalFormatting>
  <conditionalFormatting sqref="S17">
    <cfRule type="expression" dxfId="1949" priority="1861">
      <formula>$E$7&lt;&gt;"Yes"</formula>
    </cfRule>
  </conditionalFormatting>
  <conditionalFormatting sqref="S17">
    <cfRule type="expression" dxfId="1948" priority="1860">
      <formula>$E17&lt;&gt;"Yes"</formula>
    </cfRule>
  </conditionalFormatting>
  <conditionalFormatting sqref="T17">
    <cfRule type="expression" dxfId="1947" priority="1859">
      <formula>$E$7&lt;&gt;"Yes"</formula>
    </cfRule>
  </conditionalFormatting>
  <conditionalFormatting sqref="T17">
    <cfRule type="expression" dxfId="1946" priority="1858">
      <formula>$E17&lt;&gt;"Yes"</formula>
    </cfRule>
  </conditionalFormatting>
  <conditionalFormatting sqref="U17">
    <cfRule type="expression" dxfId="1945" priority="1857">
      <formula>$E$7&lt;&gt;"Yes"</formula>
    </cfRule>
  </conditionalFormatting>
  <conditionalFormatting sqref="U17">
    <cfRule type="expression" dxfId="1944" priority="1856">
      <formula>$E17&lt;&gt;"Yes"</formula>
    </cfRule>
  </conditionalFormatting>
  <conditionalFormatting sqref="V17">
    <cfRule type="expression" dxfId="1943" priority="1855">
      <formula>$E$7&lt;&gt;"Yes"</formula>
    </cfRule>
  </conditionalFormatting>
  <conditionalFormatting sqref="V17">
    <cfRule type="expression" dxfId="1942" priority="1854">
      <formula>$E17&lt;&gt;"Yes"</formula>
    </cfRule>
  </conditionalFormatting>
  <conditionalFormatting sqref="R17:V17">
    <cfRule type="expression" dxfId="1941" priority="1853">
      <formula>$E$7&lt;&gt;"Yes"</formula>
    </cfRule>
  </conditionalFormatting>
  <conditionalFormatting sqref="R17:V17">
    <cfRule type="expression" dxfId="1940" priority="1852">
      <formula>$E17&lt;&gt;"Yes"</formula>
    </cfRule>
  </conditionalFormatting>
  <conditionalFormatting sqref="Z17">
    <cfRule type="expression" dxfId="1939" priority="1851">
      <formula>$E$7&lt;&gt;"Yes"</formula>
    </cfRule>
  </conditionalFormatting>
  <conditionalFormatting sqref="Z17">
    <cfRule type="expression" dxfId="1938" priority="1850">
      <formula>$E17&lt;&gt;"Yes"</formula>
    </cfRule>
  </conditionalFormatting>
  <conditionalFormatting sqref="AN17:AO17">
    <cfRule type="expression" dxfId="1937" priority="1849">
      <formula>$E$7&lt;&gt;"Yes"</formula>
    </cfRule>
  </conditionalFormatting>
  <conditionalFormatting sqref="AN17:AO17">
    <cfRule type="expression" dxfId="1936" priority="1848">
      <formula>$E17&lt;&gt;"Yes"</formula>
    </cfRule>
  </conditionalFormatting>
  <conditionalFormatting sqref="AI17">
    <cfRule type="expression" dxfId="1935" priority="1847">
      <formula>$E$7&lt;&gt;"Yes"</formula>
    </cfRule>
  </conditionalFormatting>
  <conditionalFormatting sqref="AI17">
    <cfRule type="expression" dxfId="1934" priority="1846">
      <formula>$E17&lt;&gt;"Yes"</formula>
    </cfRule>
  </conditionalFormatting>
  <conditionalFormatting sqref="Q14 Y14 AF14:AH14 AJ14:AK14">
    <cfRule type="expression" dxfId="1933" priority="1845">
      <formula>$E$7&lt;&gt;"Yes"</formula>
    </cfRule>
  </conditionalFormatting>
  <conditionalFormatting sqref="Q14 Y14 AF14:AH14 AJ14:AK14">
    <cfRule type="expression" dxfId="1932" priority="1844">
      <formula>$E14&lt;&gt;"Yes"</formula>
    </cfRule>
  </conditionalFormatting>
  <conditionalFormatting sqref="G14">
    <cfRule type="expression" dxfId="1931" priority="1841">
      <formula>$E$7&lt;&gt;"Yes"</formula>
    </cfRule>
  </conditionalFormatting>
  <conditionalFormatting sqref="M14 F14:J14 Q14">
    <cfRule type="expression" dxfId="1930" priority="1843">
      <formula>$E$7&lt;&gt;"Yes"</formula>
    </cfRule>
  </conditionalFormatting>
  <conditionalFormatting sqref="M14 F14:J14 Q14">
    <cfRule type="expression" dxfId="1929" priority="1842">
      <formula>$E14&lt;&gt;"Yes"</formula>
    </cfRule>
  </conditionalFormatting>
  <conditionalFormatting sqref="K14:L14">
    <cfRule type="expression" dxfId="1928" priority="1840">
      <formula>$E$7&lt;&gt;"Yes"</formula>
    </cfRule>
  </conditionalFormatting>
  <conditionalFormatting sqref="K14:L14">
    <cfRule type="expression" dxfId="1927" priority="1839">
      <formula>$E14&lt;&gt;"Yes"</formula>
    </cfRule>
  </conditionalFormatting>
  <conditionalFormatting sqref="W14">
    <cfRule type="expression" dxfId="1926" priority="1838">
      <formula>$E$7&lt;&gt;"Yes"</formula>
    </cfRule>
  </conditionalFormatting>
  <conditionalFormatting sqref="W14">
    <cfRule type="expression" dxfId="1925" priority="1837">
      <formula>$E14&lt;&gt;"Yes"</formula>
    </cfRule>
  </conditionalFormatting>
  <conditionalFormatting sqref="AE14">
    <cfRule type="expression" dxfId="1924" priority="1836">
      <formula>$E$7&lt;&gt;"Yes"</formula>
    </cfRule>
  </conditionalFormatting>
  <conditionalFormatting sqref="AE14">
    <cfRule type="expression" dxfId="1923" priority="1835">
      <formula>$E14&lt;&gt;"Yes"</formula>
    </cfRule>
  </conditionalFormatting>
  <conditionalFormatting sqref="N14">
    <cfRule type="expression" dxfId="1922" priority="1834">
      <formula>$E$7&lt;&gt;"Yes"</formula>
    </cfRule>
  </conditionalFormatting>
  <conditionalFormatting sqref="N14">
    <cfRule type="expression" dxfId="1921" priority="1833">
      <formula>$E14&lt;&gt;"Yes"</formula>
    </cfRule>
  </conditionalFormatting>
  <conditionalFormatting sqref="AB14">
    <cfRule type="expression" dxfId="1920" priority="1832">
      <formula>$E$7&lt;&gt;"Yes"</formula>
    </cfRule>
  </conditionalFormatting>
  <conditionalFormatting sqref="AB14">
    <cfRule type="expression" dxfId="1919" priority="1831">
      <formula>$E14&lt;&gt;"Yes"</formula>
    </cfRule>
  </conditionalFormatting>
  <conditionalFormatting sqref="AA14">
    <cfRule type="expression" dxfId="1918" priority="1830">
      <formula>$E$7&lt;&gt;"Yes"</formula>
    </cfRule>
  </conditionalFormatting>
  <conditionalFormatting sqref="AA14">
    <cfRule type="expression" dxfId="1917" priority="1829">
      <formula>$E14&lt;&gt;"Yes"</formula>
    </cfRule>
  </conditionalFormatting>
  <conditionalFormatting sqref="Y14">
    <cfRule type="expression" dxfId="1916" priority="1828">
      <formula>$E$7&lt;&gt;"Yes"</formula>
    </cfRule>
  </conditionalFormatting>
  <conditionalFormatting sqref="Y14">
    <cfRule type="expression" dxfId="1915" priority="1827">
      <formula>$E14&lt;&gt;"Yes"</formula>
    </cfRule>
  </conditionalFormatting>
  <conditionalFormatting sqref="O14:P14">
    <cfRule type="expression" dxfId="1914" priority="1826">
      <formula>$E$7&lt;&gt;"Yes"</formula>
    </cfRule>
  </conditionalFormatting>
  <conditionalFormatting sqref="O14:P14">
    <cfRule type="expression" dxfId="1913" priority="1825">
      <formula>$E14&lt;&gt;"Yes"</formula>
    </cfRule>
  </conditionalFormatting>
  <conditionalFormatting sqref="X14">
    <cfRule type="expression" dxfId="1912" priority="1824">
      <formula>$E$7&lt;&gt;"Yes"</formula>
    </cfRule>
  </conditionalFormatting>
  <conditionalFormatting sqref="X14">
    <cfRule type="expression" dxfId="1911" priority="1823">
      <formula>$E14&lt;&gt;"Yes"</formula>
    </cfRule>
  </conditionalFormatting>
  <conditionalFormatting sqref="AD14">
    <cfRule type="expression" dxfId="1910" priority="1822">
      <formula>$E$7&lt;&gt;"Yes"</formula>
    </cfRule>
  </conditionalFormatting>
  <conditionalFormatting sqref="AD14">
    <cfRule type="expression" dxfId="1909" priority="1821">
      <formula>$E14&lt;&gt;"Yes"</formula>
    </cfRule>
  </conditionalFormatting>
  <conditionalFormatting sqref="AC14">
    <cfRule type="expression" dxfId="1908" priority="1820">
      <formula>$E$7&lt;&gt;"Yes"</formula>
    </cfRule>
  </conditionalFormatting>
  <conditionalFormatting sqref="AC14">
    <cfRule type="expression" dxfId="1907" priority="1819">
      <formula>$E14&lt;&gt;"Yes"</formula>
    </cfRule>
  </conditionalFormatting>
  <conditionalFormatting sqref="R14:V14">
    <cfRule type="expression" dxfId="1906" priority="1818">
      <formula>$E$7&lt;&gt;"Yes"</formula>
    </cfRule>
  </conditionalFormatting>
  <conditionalFormatting sqref="R14:V14">
    <cfRule type="expression" dxfId="1905" priority="1817">
      <formula>$E14&lt;&gt;"Yes"</formula>
    </cfRule>
  </conditionalFormatting>
  <conditionalFormatting sqref="S14">
    <cfRule type="expression" dxfId="1904" priority="1816">
      <formula>$E$7&lt;&gt;"Yes"</formula>
    </cfRule>
  </conditionalFormatting>
  <conditionalFormatting sqref="S14">
    <cfRule type="expression" dxfId="1903" priority="1815">
      <formula>$E14&lt;&gt;"Yes"</formula>
    </cfRule>
  </conditionalFormatting>
  <conditionalFormatting sqref="T14">
    <cfRule type="expression" dxfId="1902" priority="1814">
      <formula>$E$7&lt;&gt;"Yes"</formula>
    </cfRule>
  </conditionalFormatting>
  <conditionalFormatting sqref="T14">
    <cfRule type="expression" dxfId="1901" priority="1813">
      <formula>$E14&lt;&gt;"Yes"</formula>
    </cfRule>
  </conditionalFormatting>
  <conditionalFormatting sqref="U14">
    <cfRule type="expression" dxfId="1900" priority="1812">
      <formula>$E$7&lt;&gt;"Yes"</formula>
    </cfRule>
  </conditionalFormatting>
  <conditionalFormatting sqref="U14">
    <cfRule type="expression" dxfId="1899" priority="1811">
      <formula>$E14&lt;&gt;"Yes"</formula>
    </cfRule>
  </conditionalFormatting>
  <conditionalFormatting sqref="V14">
    <cfRule type="expression" dxfId="1898" priority="1810">
      <formula>$E$7&lt;&gt;"Yes"</formula>
    </cfRule>
  </conditionalFormatting>
  <conditionalFormatting sqref="V14">
    <cfRule type="expression" dxfId="1897" priority="1809">
      <formula>$E14&lt;&gt;"Yes"</formula>
    </cfRule>
  </conditionalFormatting>
  <conditionalFormatting sqref="R14:V14">
    <cfRule type="expression" dxfId="1896" priority="1808">
      <formula>$E$7&lt;&gt;"Yes"</formula>
    </cfRule>
  </conditionalFormatting>
  <conditionalFormatting sqref="R14:V14">
    <cfRule type="expression" dxfId="1895" priority="1807">
      <formula>$E14&lt;&gt;"Yes"</formula>
    </cfRule>
  </conditionalFormatting>
  <conditionalFormatting sqref="Z14">
    <cfRule type="expression" dxfId="1894" priority="1806">
      <formula>$E$7&lt;&gt;"Yes"</formula>
    </cfRule>
  </conditionalFormatting>
  <conditionalFormatting sqref="Z14">
    <cfRule type="expression" dxfId="1893" priority="1805">
      <formula>$E14&lt;&gt;"Yes"</formula>
    </cfRule>
  </conditionalFormatting>
  <conditionalFormatting sqref="AN14:AO14">
    <cfRule type="expression" dxfId="1892" priority="1804">
      <formula>$E$7&lt;&gt;"Yes"</formula>
    </cfRule>
  </conditionalFormatting>
  <conditionalFormatting sqref="AN14:AO14">
    <cfRule type="expression" dxfId="1891" priority="1803">
      <formula>$E14&lt;&gt;"Yes"</formula>
    </cfRule>
  </conditionalFormatting>
  <conditionalFormatting sqref="AI14">
    <cfRule type="expression" dxfId="1890" priority="1802">
      <formula>$E$7&lt;&gt;"Yes"</formula>
    </cfRule>
  </conditionalFormatting>
  <conditionalFormatting sqref="AI14">
    <cfRule type="expression" dxfId="1889" priority="1801">
      <formula>$E14&lt;&gt;"Yes"</formula>
    </cfRule>
  </conditionalFormatting>
  <conditionalFormatting sqref="Q15 Y15 AF15:AH15 AJ15:AK15">
    <cfRule type="expression" dxfId="1888" priority="1800">
      <formula>$E$7&lt;&gt;"Yes"</formula>
    </cfRule>
  </conditionalFormatting>
  <conditionalFormatting sqref="Q15 Y15 AF15:AH15 AJ15:AK15">
    <cfRule type="expression" dxfId="1887" priority="1799">
      <formula>$E15&lt;&gt;"Yes"</formula>
    </cfRule>
  </conditionalFormatting>
  <conditionalFormatting sqref="G15">
    <cfRule type="expression" dxfId="1886" priority="1796">
      <formula>$E$7&lt;&gt;"Yes"</formula>
    </cfRule>
  </conditionalFormatting>
  <conditionalFormatting sqref="M15 F15:J15 Q15">
    <cfRule type="expression" dxfId="1885" priority="1798">
      <formula>$E$7&lt;&gt;"Yes"</formula>
    </cfRule>
  </conditionalFormatting>
  <conditionalFormatting sqref="M15 F15:J15 Q15">
    <cfRule type="expression" dxfId="1884" priority="1797">
      <formula>$E15&lt;&gt;"Yes"</formula>
    </cfRule>
  </conditionalFormatting>
  <conditionalFormatting sqref="K15:L15">
    <cfRule type="expression" dxfId="1883" priority="1795">
      <formula>$E$7&lt;&gt;"Yes"</formula>
    </cfRule>
  </conditionalFormatting>
  <conditionalFormatting sqref="K15:L15">
    <cfRule type="expression" dxfId="1882" priority="1794">
      <formula>$E15&lt;&gt;"Yes"</formula>
    </cfRule>
  </conditionalFormatting>
  <conditionalFormatting sqref="W15">
    <cfRule type="expression" dxfId="1881" priority="1793">
      <formula>$E$7&lt;&gt;"Yes"</formula>
    </cfRule>
  </conditionalFormatting>
  <conditionalFormatting sqref="W15">
    <cfRule type="expression" dxfId="1880" priority="1792">
      <formula>$E15&lt;&gt;"Yes"</formula>
    </cfRule>
  </conditionalFormatting>
  <conditionalFormatting sqref="AE15">
    <cfRule type="expression" dxfId="1879" priority="1791">
      <formula>$E$7&lt;&gt;"Yes"</formula>
    </cfRule>
  </conditionalFormatting>
  <conditionalFormatting sqref="AE15">
    <cfRule type="expression" dxfId="1878" priority="1790">
      <formula>$E15&lt;&gt;"Yes"</formula>
    </cfRule>
  </conditionalFormatting>
  <conditionalFormatting sqref="N15">
    <cfRule type="expression" dxfId="1877" priority="1789">
      <formula>$E$7&lt;&gt;"Yes"</formula>
    </cfRule>
  </conditionalFormatting>
  <conditionalFormatting sqref="N15">
    <cfRule type="expression" dxfId="1876" priority="1788">
      <formula>$E15&lt;&gt;"Yes"</formula>
    </cfRule>
  </conditionalFormatting>
  <conditionalFormatting sqref="AB15">
    <cfRule type="expression" dxfId="1875" priority="1787">
      <formula>$E$7&lt;&gt;"Yes"</formula>
    </cfRule>
  </conditionalFormatting>
  <conditionalFormatting sqref="AB15">
    <cfRule type="expression" dxfId="1874" priority="1786">
      <formula>$E15&lt;&gt;"Yes"</formula>
    </cfRule>
  </conditionalFormatting>
  <conditionalFormatting sqref="AA15">
    <cfRule type="expression" dxfId="1873" priority="1785">
      <formula>$E$7&lt;&gt;"Yes"</formula>
    </cfRule>
  </conditionalFormatting>
  <conditionalFormatting sqref="AA15">
    <cfRule type="expression" dxfId="1872" priority="1784">
      <formula>$E15&lt;&gt;"Yes"</formula>
    </cfRule>
  </conditionalFormatting>
  <conditionalFormatting sqref="Y15">
    <cfRule type="expression" dxfId="1871" priority="1783">
      <formula>$E$7&lt;&gt;"Yes"</formula>
    </cfRule>
  </conditionalFormatting>
  <conditionalFormatting sqref="Y15">
    <cfRule type="expression" dxfId="1870" priority="1782">
      <formula>$E15&lt;&gt;"Yes"</formula>
    </cfRule>
  </conditionalFormatting>
  <conditionalFormatting sqref="O15:P15">
    <cfRule type="expression" dxfId="1869" priority="1781">
      <formula>$E$7&lt;&gt;"Yes"</formula>
    </cfRule>
  </conditionalFormatting>
  <conditionalFormatting sqref="O15:P15">
    <cfRule type="expression" dxfId="1868" priority="1780">
      <formula>$E15&lt;&gt;"Yes"</formula>
    </cfRule>
  </conditionalFormatting>
  <conditionalFormatting sqref="X15">
    <cfRule type="expression" dxfId="1867" priority="1779">
      <formula>$E$7&lt;&gt;"Yes"</formula>
    </cfRule>
  </conditionalFormatting>
  <conditionalFormatting sqref="X15">
    <cfRule type="expression" dxfId="1866" priority="1778">
      <formula>$E15&lt;&gt;"Yes"</formula>
    </cfRule>
  </conditionalFormatting>
  <conditionalFormatting sqref="AD15">
    <cfRule type="expression" dxfId="1865" priority="1777">
      <formula>$E$7&lt;&gt;"Yes"</formula>
    </cfRule>
  </conditionalFormatting>
  <conditionalFormatting sqref="AD15">
    <cfRule type="expression" dxfId="1864" priority="1776">
      <formula>$E15&lt;&gt;"Yes"</formula>
    </cfRule>
  </conditionalFormatting>
  <conditionalFormatting sqref="AC15">
    <cfRule type="expression" dxfId="1863" priority="1775">
      <formula>$E$7&lt;&gt;"Yes"</formula>
    </cfRule>
  </conditionalFormatting>
  <conditionalFormatting sqref="AC15">
    <cfRule type="expression" dxfId="1862" priority="1774">
      <formula>$E15&lt;&gt;"Yes"</formula>
    </cfRule>
  </conditionalFormatting>
  <conditionalFormatting sqref="R15:V15">
    <cfRule type="expression" dxfId="1861" priority="1773">
      <formula>$E$7&lt;&gt;"Yes"</formula>
    </cfRule>
  </conditionalFormatting>
  <conditionalFormatting sqref="R15:V15">
    <cfRule type="expression" dxfId="1860" priority="1772">
      <formula>$E15&lt;&gt;"Yes"</formula>
    </cfRule>
  </conditionalFormatting>
  <conditionalFormatting sqref="S15">
    <cfRule type="expression" dxfId="1859" priority="1771">
      <formula>$E$7&lt;&gt;"Yes"</formula>
    </cfRule>
  </conditionalFormatting>
  <conditionalFormatting sqref="S15">
    <cfRule type="expression" dxfId="1858" priority="1770">
      <formula>$E15&lt;&gt;"Yes"</formula>
    </cfRule>
  </conditionalFormatting>
  <conditionalFormatting sqref="T15">
    <cfRule type="expression" dxfId="1857" priority="1769">
      <formula>$E$7&lt;&gt;"Yes"</formula>
    </cfRule>
  </conditionalFormatting>
  <conditionalFormatting sqref="T15">
    <cfRule type="expression" dxfId="1856" priority="1768">
      <formula>$E15&lt;&gt;"Yes"</formula>
    </cfRule>
  </conditionalFormatting>
  <conditionalFormatting sqref="U15">
    <cfRule type="expression" dxfId="1855" priority="1767">
      <formula>$E$7&lt;&gt;"Yes"</formula>
    </cfRule>
  </conditionalFormatting>
  <conditionalFormatting sqref="U15">
    <cfRule type="expression" dxfId="1854" priority="1766">
      <formula>$E15&lt;&gt;"Yes"</formula>
    </cfRule>
  </conditionalFormatting>
  <conditionalFormatting sqref="V15">
    <cfRule type="expression" dxfId="1853" priority="1765">
      <formula>$E$7&lt;&gt;"Yes"</formula>
    </cfRule>
  </conditionalFormatting>
  <conditionalFormatting sqref="V15">
    <cfRule type="expression" dxfId="1852" priority="1764">
      <formula>$E15&lt;&gt;"Yes"</formula>
    </cfRule>
  </conditionalFormatting>
  <conditionalFormatting sqref="R15:V15">
    <cfRule type="expression" dxfId="1851" priority="1763">
      <formula>$E$7&lt;&gt;"Yes"</formula>
    </cfRule>
  </conditionalFormatting>
  <conditionalFormatting sqref="R15:V15">
    <cfRule type="expression" dxfId="1850" priority="1762">
      <formula>$E15&lt;&gt;"Yes"</formula>
    </cfRule>
  </conditionalFormatting>
  <conditionalFormatting sqref="Z15">
    <cfRule type="expression" dxfId="1849" priority="1761">
      <formula>$E$7&lt;&gt;"Yes"</formula>
    </cfRule>
  </conditionalFormatting>
  <conditionalFormatting sqref="Z15">
    <cfRule type="expression" dxfId="1848" priority="1760">
      <formula>$E15&lt;&gt;"Yes"</formula>
    </cfRule>
  </conditionalFormatting>
  <conditionalFormatting sqref="AN15:AO15">
    <cfRule type="expression" dxfId="1847" priority="1759">
      <formula>$E$7&lt;&gt;"Yes"</formula>
    </cfRule>
  </conditionalFormatting>
  <conditionalFormatting sqref="AN15:AO15">
    <cfRule type="expression" dxfId="1846" priority="1758">
      <formula>$E15&lt;&gt;"Yes"</formula>
    </cfRule>
  </conditionalFormatting>
  <conditionalFormatting sqref="AI15">
    <cfRule type="expression" dxfId="1845" priority="1757">
      <formula>$E$7&lt;&gt;"Yes"</formula>
    </cfRule>
  </conditionalFormatting>
  <conditionalFormatting sqref="AI15">
    <cfRule type="expression" dxfId="1844" priority="1756">
      <formula>$E15&lt;&gt;"Yes"</formula>
    </cfRule>
  </conditionalFormatting>
  <conditionalFormatting sqref="Q162 Y162 AF162:AH162 AJ162:AK162">
    <cfRule type="expression" dxfId="1843" priority="1755">
      <formula>$E$7&lt;&gt;"Yes"</formula>
    </cfRule>
  </conditionalFormatting>
  <conditionalFormatting sqref="Q162 Y162 AF162:AH162 AJ162:AK162">
    <cfRule type="expression" dxfId="1842" priority="1754">
      <formula>$E162&lt;&gt;"Yes"</formula>
    </cfRule>
  </conditionalFormatting>
  <conditionalFormatting sqref="G162">
    <cfRule type="expression" dxfId="1841" priority="1751">
      <formula>$E$7&lt;&gt;"Yes"</formula>
    </cfRule>
  </conditionalFormatting>
  <conditionalFormatting sqref="M162 F162:J162 Q162">
    <cfRule type="expression" dxfId="1840" priority="1753">
      <formula>$E$7&lt;&gt;"Yes"</formula>
    </cfRule>
  </conditionalFormatting>
  <conditionalFormatting sqref="M162 F162:J162 Q162">
    <cfRule type="expression" dxfId="1839" priority="1752">
      <formula>$E162&lt;&gt;"Yes"</formula>
    </cfRule>
  </conditionalFormatting>
  <conditionalFormatting sqref="K162:L162">
    <cfRule type="expression" dxfId="1838" priority="1750">
      <formula>$E$7&lt;&gt;"Yes"</formula>
    </cfRule>
  </conditionalFormatting>
  <conditionalFormatting sqref="K162:L162">
    <cfRule type="expression" dxfId="1837" priority="1749">
      <formula>$E162&lt;&gt;"Yes"</formula>
    </cfRule>
  </conditionalFormatting>
  <conditionalFormatting sqref="W162">
    <cfRule type="expression" dxfId="1836" priority="1748">
      <formula>$E$7&lt;&gt;"Yes"</formula>
    </cfRule>
  </conditionalFormatting>
  <conditionalFormatting sqref="W162">
    <cfRule type="expression" dxfId="1835" priority="1747">
      <formula>$E162&lt;&gt;"Yes"</formula>
    </cfRule>
  </conditionalFormatting>
  <conditionalFormatting sqref="AE162">
    <cfRule type="expression" dxfId="1834" priority="1746">
      <formula>$E$7&lt;&gt;"Yes"</formula>
    </cfRule>
  </conditionalFormatting>
  <conditionalFormatting sqref="AE162">
    <cfRule type="expression" dxfId="1833" priority="1745">
      <formula>$E162&lt;&gt;"Yes"</formula>
    </cfRule>
  </conditionalFormatting>
  <conditionalFormatting sqref="N162">
    <cfRule type="expression" dxfId="1832" priority="1744">
      <formula>$E$7&lt;&gt;"Yes"</formula>
    </cfRule>
  </conditionalFormatting>
  <conditionalFormatting sqref="N162">
    <cfRule type="expression" dxfId="1831" priority="1743">
      <formula>$E162&lt;&gt;"Yes"</formula>
    </cfRule>
  </conditionalFormatting>
  <conditionalFormatting sqref="AB162">
    <cfRule type="expression" dxfId="1830" priority="1742">
      <formula>$E$7&lt;&gt;"Yes"</formula>
    </cfRule>
  </conditionalFormatting>
  <conditionalFormatting sqref="AB162">
    <cfRule type="expression" dxfId="1829" priority="1741">
      <formula>$E162&lt;&gt;"Yes"</formula>
    </cfRule>
  </conditionalFormatting>
  <conditionalFormatting sqref="AA162">
    <cfRule type="expression" dxfId="1828" priority="1740">
      <formula>$E$7&lt;&gt;"Yes"</formula>
    </cfRule>
  </conditionalFormatting>
  <conditionalFormatting sqref="AA162">
    <cfRule type="expression" dxfId="1827" priority="1739">
      <formula>$E162&lt;&gt;"Yes"</formula>
    </cfRule>
  </conditionalFormatting>
  <conditionalFormatting sqref="Y162">
    <cfRule type="expression" dxfId="1826" priority="1738">
      <formula>$E$7&lt;&gt;"Yes"</formula>
    </cfRule>
  </conditionalFormatting>
  <conditionalFormatting sqref="Y162">
    <cfRule type="expression" dxfId="1825" priority="1737">
      <formula>$E162&lt;&gt;"Yes"</formula>
    </cfRule>
  </conditionalFormatting>
  <conditionalFormatting sqref="O162:P162">
    <cfRule type="expression" dxfId="1824" priority="1736">
      <formula>$E$7&lt;&gt;"Yes"</formula>
    </cfRule>
  </conditionalFormatting>
  <conditionalFormatting sqref="O162:P162">
    <cfRule type="expression" dxfId="1823" priority="1735">
      <formula>$E162&lt;&gt;"Yes"</formula>
    </cfRule>
  </conditionalFormatting>
  <conditionalFormatting sqref="X162">
    <cfRule type="expression" dxfId="1822" priority="1734">
      <formula>$E$7&lt;&gt;"Yes"</formula>
    </cfRule>
  </conditionalFormatting>
  <conditionalFormatting sqref="X162">
    <cfRule type="expression" dxfId="1821" priority="1733">
      <formula>$E162&lt;&gt;"Yes"</formula>
    </cfRule>
  </conditionalFormatting>
  <conditionalFormatting sqref="AD162">
    <cfRule type="expression" dxfId="1820" priority="1732">
      <formula>$E$7&lt;&gt;"Yes"</formula>
    </cfRule>
  </conditionalFormatting>
  <conditionalFormatting sqref="AD162">
    <cfRule type="expression" dxfId="1819" priority="1731">
      <formula>$E162&lt;&gt;"Yes"</formula>
    </cfRule>
  </conditionalFormatting>
  <conditionalFormatting sqref="AC162">
    <cfRule type="expression" dxfId="1818" priority="1730">
      <formula>$E$7&lt;&gt;"Yes"</formula>
    </cfRule>
  </conditionalFormatting>
  <conditionalFormatting sqref="AC162">
    <cfRule type="expression" dxfId="1817" priority="1729">
      <formula>$E162&lt;&gt;"Yes"</formula>
    </cfRule>
  </conditionalFormatting>
  <conditionalFormatting sqref="R162:V162">
    <cfRule type="expression" dxfId="1816" priority="1728">
      <formula>$E$7&lt;&gt;"Yes"</formula>
    </cfRule>
  </conditionalFormatting>
  <conditionalFormatting sqref="R162:V162">
    <cfRule type="expression" dxfId="1815" priority="1727">
      <formula>$E162&lt;&gt;"Yes"</formula>
    </cfRule>
  </conditionalFormatting>
  <conditionalFormatting sqref="S162">
    <cfRule type="expression" dxfId="1814" priority="1726">
      <formula>$E$7&lt;&gt;"Yes"</formula>
    </cfRule>
  </conditionalFormatting>
  <conditionalFormatting sqref="S162">
    <cfRule type="expression" dxfId="1813" priority="1725">
      <formula>$E162&lt;&gt;"Yes"</formula>
    </cfRule>
  </conditionalFormatting>
  <conditionalFormatting sqref="T162">
    <cfRule type="expression" dxfId="1812" priority="1724">
      <formula>$E$7&lt;&gt;"Yes"</formula>
    </cfRule>
  </conditionalFormatting>
  <conditionalFormatting sqref="T162">
    <cfRule type="expression" dxfId="1811" priority="1723">
      <formula>$E162&lt;&gt;"Yes"</formula>
    </cfRule>
  </conditionalFormatting>
  <conditionalFormatting sqref="U162">
    <cfRule type="expression" dxfId="1810" priority="1722">
      <formula>$E$7&lt;&gt;"Yes"</formula>
    </cfRule>
  </conditionalFormatting>
  <conditionalFormatting sqref="U162">
    <cfRule type="expression" dxfId="1809" priority="1721">
      <formula>$E162&lt;&gt;"Yes"</formula>
    </cfRule>
  </conditionalFormatting>
  <conditionalFormatting sqref="V162">
    <cfRule type="expression" dxfId="1808" priority="1720">
      <formula>$E$7&lt;&gt;"Yes"</formula>
    </cfRule>
  </conditionalFormatting>
  <conditionalFormatting sqref="V162">
    <cfRule type="expression" dxfId="1807" priority="1719">
      <formula>$E162&lt;&gt;"Yes"</formula>
    </cfRule>
  </conditionalFormatting>
  <conditionalFormatting sqref="R162:V162">
    <cfRule type="expression" dxfId="1806" priority="1718">
      <formula>$E$7&lt;&gt;"Yes"</formula>
    </cfRule>
  </conditionalFormatting>
  <conditionalFormatting sqref="R162:V162">
    <cfRule type="expression" dxfId="1805" priority="1717">
      <formula>$E162&lt;&gt;"Yes"</formula>
    </cfRule>
  </conditionalFormatting>
  <conditionalFormatting sqref="Z162">
    <cfRule type="expression" dxfId="1804" priority="1716">
      <formula>$E$7&lt;&gt;"Yes"</formula>
    </cfRule>
  </conditionalFormatting>
  <conditionalFormatting sqref="Z162">
    <cfRule type="expression" dxfId="1803" priority="1715">
      <formula>$E162&lt;&gt;"Yes"</formula>
    </cfRule>
  </conditionalFormatting>
  <conditionalFormatting sqref="AN162:AO162">
    <cfRule type="expression" dxfId="1802" priority="1714">
      <formula>$E$7&lt;&gt;"Yes"</formula>
    </cfRule>
  </conditionalFormatting>
  <conditionalFormatting sqref="AN162:AO162">
    <cfRule type="expression" dxfId="1801" priority="1713">
      <formula>$E162&lt;&gt;"Yes"</formula>
    </cfRule>
  </conditionalFormatting>
  <conditionalFormatting sqref="AI162">
    <cfRule type="expression" dxfId="1800" priority="1712">
      <formula>$E$7&lt;&gt;"Yes"</formula>
    </cfRule>
  </conditionalFormatting>
  <conditionalFormatting sqref="AI162">
    <cfRule type="expression" dxfId="1799" priority="1711">
      <formula>$E162&lt;&gt;"Yes"</formula>
    </cfRule>
  </conditionalFormatting>
  <conditionalFormatting sqref="Q18 Y18 AF18:AH18 AJ18:AK18">
    <cfRule type="expression" dxfId="1798" priority="1710">
      <formula>$E$7&lt;&gt;"Yes"</formula>
    </cfRule>
  </conditionalFormatting>
  <conditionalFormatting sqref="Q18 Y18 AF18:AH18 AJ18:AK18">
    <cfRule type="expression" dxfId="1797" priority="1709">
      <formula>$E18&lt;&gt;"Yes"</formula>
    </cfRule>
  </conditionalFormatting>
  <conditionalFormatting sqref="G18">
    <cfRule type="expression" dxfId="1796" priority="1706">
      <formula>$E$7&lt;&gt;"Yes"</formula>
    </cfRule>
  </conditionalFormatting>
  <conditionalFormatting sqref="M18 F18:J18 Q18">
    <cfRule type="expression" dxfId="1795" priority="1708">
      <formula>$E$7&lt;&gt;"Yes"</formula>
    </cfRule>
  </conditionalFormatting>
  <conditionalFormatting sqref="M18 F18:J18 Q18">
    <cfRule type="expression" dxfId="1794" priority="1707">
      <formula>$E18&lt;&gt;"Yes"</formula>
    </cfRule>
  </conditionalFormatting>
  <conditionalFormatting sqref="K18:L18">
    <cfRule type="expression" dxfId="1793" priority="1705">
      <formula>$E$7&lt;&gt;"Yes"</formula>
    </cfRule>
  </conditionalFormatting>
  <conditionalFormatting sqref="K18:L18">
    <cfRule type="expression" dxfId="1792" priority="1704">
      <formula>$E18&lt;&gt;"Yes"</formula>
    </cfRule>
  </conditionalFormatting>
  <conditionalFormatting sqref="W18">
    <cfRule type="expression" dxfId="1791" priority="1703">
      <formula>$E$7&lt;&gt;"Yes"</formula>
    </cfRule>
  </conditionalFormatting>
  <conditionalFormatting sqref="W18">
    <cfRule type="expression" dxfId="1790" priority="1702">
      <formula>$E18&lt;&gt;"Yes"</formula>
    </cfRule>
  </conditionalFormatting>
  <conditionalFormatting sqref="AE18">
    <cfRule type="expression" dxfId="1789" priority="1701">
      <formula>$E$7&lt;&gt;"Yes"</formula>
    </cfRule>
  </conditionalFormatting>
  <conditionalFormatting sqref="AE18">
    <cfRule type="expression" dxfId="1788" priority="1700">
      <formula>$E18&lt;&gt;"Yes"</formula>
    </cfRule>
  </conditionalFormatting>
  <conditionalFormatting sqref="N18">
    <cfRule type="expression" dxfId="1787" priority="1699">
      <formula>$E$7&lt;&gt;"Yes"</formula>
    </cfRule>
  </conditionalFormatting>
  <conditionalFormatting sqref="N18">
    <cfRule type="expression" dxfId="1786" priority="1698">
      <formula>$E18&lt;&gt;"Yes"</formula>
    </cfRule>
  </conditionalFormatting>
  <conditionalFormatting sqref="AB18">
    <cfRule type="expression" dxfId="1785" priority="1697">
      <formula>$E$7&lt;&gt;"Yes"</formula>
    </cfRule>
  </conditionalFormatting>
  <conditionalFormatting sqref="AB18">
    <cfRule type="expression" dxfId="1784" priority="1696">
      <formula>$E18&lt;&gt;"Yes"</formula>
    </cfRule>
  </conditionalFormatting>
  <conditionalFormatting sqref="AA18">
    <cfRule type="expression" dxfId="1783" priority="1695">
      <formula>$E$7&lt;&gt;"Yes"</formula>
    </cfRule>
  </conditionalFormatting>
  <conditionalFormatting sqref="AA18">
    <cfRule type="expression" dxfId="1782" priority="1694">
      <formula>$E18&lt;&gt;"Yes"</formula>
    </cfRule>
  </conditionalFormatting>
  <conditionalFormatting sqref="Y18">
    <cfRule type="expression" dxfId="1781" priority="1693">
      <formula>$E$7&lt;&gt;"Yes"</formula>
    </cfRule>
  </conditionalFormatting>
  <conditionalFormatting sqref="Y18">
    <cfRule type="expression" dxfId="1780" priority="1692">
      <formula>$E18&lt;&gt;"Yes"</formula>
    </cfRule>
  </conditionalFormatting>
  <conditionalFormatting sqref="O18:P18">
    <cfRule type="expression" dxfId="1779" priority="1691">
      <formula>$E$7&lt;&gt;"Yes"</formula>
    </cfRule>
  </conditionalFormatting>
  <conditionalFormatting sqref="O18:P18">
    <cfRule type="expression" dxfId="1778" priority="1690">
      <formula>$E18&lt;&gt;"Yes"</formula>
    </cfRule>
  </conditionalFormatting>
  <conditionalFormatting sqref="X18">
    <cfRule type="expression" dxfId="1777" priority="1689">
      <formula>$E$7&lt;&gt;"Yes"</formula>
    </cfRule>
  </conditionalFormatting>
  <conditionalFormatting sqref="X18">
    <cfRule type="expression" dxfId="1776" priority="1688">
      <formula>$E18&lt;&gt;"Yes"</formula>
    </cfRule>
  </conditionalFormatting>
  <conditionalFormatting sqref="AD18">
    <cfRule type="expression" dxfId="1775" priority="1687">
      <formula>$E$7&lt;&gt;"Yes"</formula>
    </cfRule>
  </conditionalFormatting>
  <conditionalFormatting sqref="AD18">
    <cfRule type="expression" dxfId="1774" priority="1686">
      <formula>$E18&lt;&gt;"Yes"</formula>
    </cfRule>
  </conditionalFormatting>
  <conditionalFormatting sqref="AC18">
    <cfRule type="expression" dxfId="1773" priority="1685">
      <formula>$E$7&lt;&gt;"Yes"</formula>
    </cfRule>
  </conditionalFormatting>
  <conditionalFormatting sqref="AC18">
    <cfRule type="expression" dxfId="1772" priority="1684">
      <formula>$E18&lt;&gt;"Yes"</formula>
    </cfRule>
  </conditionalFormatting>
  <conditionalFormatting sqref="R18:V18">
    <cfRule type="expression" dxfId="1771" priority="1683">
      <formula>$E$7&lt;&gt;"Yes"</formula>
    </cfRule>
  </conditionalFormatting>
  <conditionalFormatting sqref="R18:V18">
    <cfRule type="expression" dxfId="1770" priority="1682">
      <formula>$E18&lt;&gt;"Yes"</formula>
    </cfRule>
  </conditionalFormatting>
  <conditionalFormatting sqref="S18">
    <cfRule type="expression" dxfId="1769" priority="1681">
      <formula>$E$7&lt;&gt;"Yes"</formula>
    </cfRule>
  </conditionalFormatting>
  <conditionalFormatting sqref="S18">
    <cfRule type="expression" dxfId="1768" priority="1680">
      <formula>$E18&lt;&gt;"Yes"</formula>
    </cfRule>
  </conditionalFormatting>
  <conditionalFormatting sqref="T18">
    <cfRule type="expression" dxfId="1767" priority="1679">
      <formula>$E$7&lt;&gt;"Yes"</formula>
    </cfRule>
  </conditionalFormatting>
  <conditionalFormatting sqref="T18">
    <cfRule type="expression" dxfId="1766" priority="1678">
      <formula>$E18&lt;&gt;"Yes"</formula>
    </cfRule>
  </conditionalFormatting>
  <conditionalFormatting sqref="U18">
    <cfRule type="expression" dxfId="1765" priority="1677">
      <formula>$E$7&lt;&gt;"Yes"</formula>
    </cfRule>
  </conditionalFormatting>
  <conditionalFormatting sqref="U18">
    <cfRule type="expression" dxfId="1764" priority="1676">
      <formula>$E18&lt;&gt;"Yes"</formula>
    </cfRule>
  </conditionalFormatting>
  <conditionalFormatting sqref="V18">
    <cfRule type="expression" dxfId="1763" priority="1675">
      <formula>$E$7&lt;&gt;"Yes"</formula>
    </cfRule>
  </conditionalFormatting>
  <conditionalFormatting sqref="V18">
    <cfRule type="expression" dxfId="1762" priority="1674">
      <formula>$E18&lt;&gt;"Yes"</formula>
    </cfRule>
  </conditionalFormatting>
  <conditionalFormatting sqref="R18:V18">
    <cfRule type="expression" dxfId="1761" priority="1673">
      <formula>$E$7&lt;&gt;"Yes"</formula>
    </cfRule>
  </conditionalFormatting>
  <conditionalFormatting sqref="R18:V18">
    <cfRule type="expression" dxfId="1760" priority="1672">
      <formula>$E18&lt;&gt;"Yes"</formula>
    </cfRule>
  </conditionalFormatting>
  <conditionalFormatting sqref="Z18">
    <cfRule type="expression" dxfId="1759" priority="1671">
      <formula>$E$7&lt;&gt;"Yes"</formula>
    </cfRule>
  </conditionalFormatting>
  <conditionalFormatting sqref="Z18">
    <cfRule type="expression" dxfId="1758" priority="1670">
      <formula>$E18&lt;&gt;"Yes"</formula>
    </cfRule>
  </conditionalFormatting>
  <conditionalFormatting sqref="AN18:AO18">
    <cfRule type="expression" dxfId="1757" priority="1669">
      <formula>$E$7&lt;&gt;"Yes"</formula>
    </cfRule>
  </conditionalFormatting>
  <conditionalFormatting sqref="AN18:AO18">
    <cfRule type="expression" dxfId="1756" priority="1668">
      <formula>$E18&lt;&gt;"Yes"</formula>
    </cfRule>
  </conditionalFormatting>
  <conditionalFormatting sqref="AI18">
    <cfRule type="expression" dxfId="1755" priority="1667">
      <formula>$E$7&lt;&gt;"Yes"</formula>
    </cfRule>
  </conditionalFormatting>
  <conditionalFormatting sqref="AI18">
    <cfRule type="expression" dxfId="1754" priority="1666">
      <formula>$E18&lt;&gt;"Yes"</formula>
    </cfRule>
  </conditionalFormatting>
  <conditionalFormatting sqref="Q226 Y226 AF226:AH226 AJ226:AK226">
    <cfRule type="expression" dxfId="1753" priority="1665">
      <formula>$E$7&lt;&gt;"Yes"</formula>
    </cfRule>
  </conditionalFormatting>
  <conditionalFormatting sqref="Q226 Y226 AF226:AH226 AJ226:AK226">
    <cfRule type="expression" dxfId="1752" priority="1664">
      <formula>$E226&lt;&gt;"Yes"</formula>
    </cfRule>
  </conditionalFormatting>
  <conditionalFormatting sqref="G226">
    <cfRule type="expression" dxfId="1751" priority="1661">
      <formula>$E$7&lt;&gt;"Yes"</formula>
    </cfRule>
  </conditionalFormatting>
  <conditionalFormatting sqref="M226 F226:J226 Q226">
    <cfRule type="expression" dxfId="1750" priority="1663">
      <formula>$E$7&lt;&gt;"Yes"</formula>
    </cfRule>
  </conditionalFormatting>
  <conditionalFormatting sqref="M226 F226:J226 Q226">
    <cfRule type="expression" dxfId="1749" priority="1662">
      <formula>$E226&lt;&gt;"Yes"</formula>
    </cfRule>
  </conditionalFormatting>
  <conditionalFormatting sqref="K226:L226">
    <cfRule type="expression" dxfId="1748" priority="1660">
      <formula>$E$7&lt;&gt;"Yes"</formula>
    </cfRule>
  </conditionalFormatting>
  <conditionalFormatting sqref="K226:L226">
    <cfRule type="expression" dxfId="1747" priority="1659">
      <formula>$E226&lt;&gt;"Yes"</formula>
    </cfRule>
  </conditionalFormatting>
  <conditionalFormatting sqref="W226">
    <cfRule type="expression" dxfId="1746" priority="1658">
      <formula>$E$7&lt;&gt;"Yes"</formula>
    </cfRule>
  </conditionalFormatting>
  <conditionalFormatting sqref="W226">
    <cfRule type="expression" dxfId="1745" priority="1657">
      <formula>$E226&lt;&gt;"Yes"</formula>
    </cfRule>
  </conditionalFormatting>
  <conditionalFormatting sqref="AE226">
    <cfRule type="expression" dxfId="1744" priority="1656">
      <formula>$E$7&lt;&gt;"Yes"</formula>
    </cfRule>
  </conditionalFormatting>
  <conditionalFormatting sqref="AE226">
    <cfRule type="expression" dxfId="1743" priority="1655">
      <formula>$E226&lt;&gt;"Yes"</formula>
    </cfRule>
  </conditionalFormatting>
  <conditionalFormatting sqref="N226">
    <cfRule type="expression" dxfId="1742" priority="1654">
      <formula>$E$7&lt;&gt;"Yes"</formula>
    </cfRule>
  </conditionalFormatting>
  <conditionalFormatting sqref="N226">
    <cfRule type="expression" dxfId="1741" priority="1653">
      <formula>$E226&lt;&gt;"Yes"</formula>
    </cfRule>
  </conditionalFormatting>
  <conditionalFormatting sqref="AB226">
    <cfRule type="expression" dxfId="1740" priority="1652">
      <formula>$E$7&lt;&gt;"Yes"</formula>
    </cfRule>
  </conditionalFormatting>
  <conditionalFormatting sqref="AB226">
    <cfRule type="expression" dxfId="1739" priority="1651">
      <formula>$E226&lt;&gt;"Yes"</formula>
    </cfRule>
  </conditionalFormatting>
  <conditionalFormatting sqref="AA226">
    <cfRule type="expression" dxfId="1738" priority="1650">
      <formula>$E$7&lt;&gt;"Yes"</formula>
    </cfRule>
  </conditionalFormatting>
  <conditionalFormatting sqref="AA226">
    <cfRule type="expression" dxfId="1737" priority="1649">
      <formula>$E226&lt;&gt;"Yes"</formula>
    </cfRule>
  </conditionalFormatting>
  <conditionalFormatting sqref="Y226">
    <cfRule type="expression" dxfId="1736" priority="1648">
      <formula>$E$7&lt;&gt;"Yes"</formula>
    </cfRule>
  </conditionalFormatting>
  <conditionalFormatting sqref="Y226">
    <cfRule type="expression" dxfId="1735" priority="1647">
      <formula>$E226&lt;&gt;"Yes"</formula>
    </cfRule>
  </conditionalFormatting>
  <conditionalFormatting sqref="O226:P226">
    <cfRule type="expression" dxfId="1734" priority="1646">
      <formula>$E$7&lt;&gt;"Yes"</formula>
    </cfRule>
  </conditionalFormatting>
  <conditionalFormatting sqref="O226:P226">
    <cfRule type="expression" dxfId="1733" priority="1645">
      <formula>$E226&lt;&gt;"Yes"</formula>
    </cfRule>
  </conditionalFormatting>
  <conditionalFormatting sqref="X226">
    <cfRule type="expression" dxfId="1732" priority="1644">
      <formula>$E$7&lt;&gt;"Yes"</formula>
    </cfRule>
  </conditionalFormatting>
  <conditionalFormatting sqref="X226">
    <cfRule type="expression" dxfId="1731" priority="1643">
      <formula>$E226&lt;&gt;"Yes"</formula>
    </cfRule>
  </conditionalFormatting>
  <conditionalFormatting sqref="AD226">
    <cfRule type="expression" dxfId="1730" priority="1642">
      <formula>$E$7&lt;&gt;"Yes"</formula>
    </cfRule>
  </conditionalFormatting>
  <conditionalFormatting sqref="AD226">
    <cfRule type="expression" dxfId="1729" priority="1641">
      <formula>$E226&lt;&gt;"Yes"</formula>
    </cfRule>
  </conditionalFormatting>
  <conditionalFormatting sqref="AC226">
    <cfRule type="expression" dxfId="1728" priority="1640">
      <formula>$E$7&lt;&gt;"Yes"</formula>
    </cfRule>
  </conditionalFormatting>
  <conditionalFormatting sqref="AC226">
    <cfRule type="expression" dxfId="1727" priority="1639">
      <formula>$E226&lt;&gt;"Yes"</formula>
    </cfRule>
  </conditionalFormatting>
  <conditionalFormatting sqref="R226:V226">
    <cfRule type="expression" dxfId="1726" priority="1638">
      <formula>$E$7&lt;&gt;"Yes"</formula>
    </cfRule>
  </conditionalFormatting>
  <conditionalFormatting sqref="R226:V226">
    <cfRule type="expression" dxfId="1725" priority="1637">
      <formula>$E226&lt;&gt;"Yes"</formula>
    </cfRule>
  </conditionalFormatting>
  <conditionalFormatting sqref="S226">
    <cfRule type="expression" dxfId="1724" priority="1636">
      <formula>$E$7&lt;&gt;"Yes"</formula>
    </cfRule>
  </conditionalFormatting>
  <conditionalFormatting sqref="S226">
    <cfRule type="expression" dxfId="1723" priority="1635">
      <formula>$E226&lt;&gt;"Yes"</formula>
    </cfRule>
  </conditionalFormatting>
  <conditionalFormatting sqref="T226">
    <cfRule type="expression" dxfId="1722" priority="1634">
      <formula>$E$7&lt;&gt;"Yes"</formula>
    </cfRule>
  </conditionalFormatting>
  <conditionalFormatting sqref="T226">
    <cfRule type="expression" dxfId="1721" priority="1633">
      <formula>$E226&lt;&gt;"Yes"</formula>
    </cfRule>
  </conditionalFormatting>
  <conditionalFormatting sqref="U226">
    <cfRule type="expression" dxfId="1720" priority="1632">
      <formula>$E$7&lt;&gt;"Yes"</formula>
    </cfRule>
  </conditionalFormatting>
  <conditionalFormatting sqref="U226">
    <cfRule type="expression" dxfId="1719" priority="1631">
      <formula>$E226&lt;&gt;"Yes"</formula>
    </cfRule>
  </conditionalFormatting>
  <conditionalFormatting sqref="V226">
    <cfRule type="expression" dxfId="1718" priority="1630">
      <formula>$E$7&lt;&gt;"Yes"</formula>
    </cfRule>
  </conditionalFormatting>
  <conditionalFormatting sqref="V226">
    <cfRule type="expression" dxfId="1717" priority="1629">
      <formula>$E226&lt;&gt;"Yes"</formula>
    </cfRule>
  </conditionalFormatting>
  <conditionalFormatting sqref="R226:V226">
    <cfRule type="expression" dxfId="1716" priority="1628">
      <formula>$E$7&lt;&gt;"Yes"</formula>
    </cfRule>
  </conditionalFormatting>
  <conditionalFormatting sqref="R226:V226">
    <cfRule type="expression" dxfId="1715" priority="1627">
      <formula>$E226&lt;&gt;"Yes"</formula>
    </cfRule>
  </conditionalFormatting>
  <conditionalFormatting sqref="Z226">
    <cfRule type="expression" dxfId="1714" priority="1626">
      <formula>$E$7&lt;&gt;"Yes"</formula>
    </cfRule>
  </conditionalFormatting>
  <conditionalFormatting sqref="Z226">
    <cfRule type="expression" dxfId="1713" priority="1625">
      <formula>$E226&lt;&gt;"Yes"</formula>
    </cfRule>
  </conditionalFormatting>
  <conditionalFormatting sqref="AN226:AO226">
    <cfRule type="expression" dxfId="1712" priority="1624">
      <formula>$E$7&lt;&gt;"Yes"</formula>
    </cfRule>
  </conditionalFormatting>
  <conditionalFormatting sqref="AN226:AO226">
    <cfRule type="expression" dxfId="1711" priority="1623">
      <formula>$E226&lt;&gt;"Yes"</formula>
    </cfRule>
  </conditionalFormatting>
  <conditionalFormatting sqref="AI226">
    <cfRule type="expression" dxfId="1710" priority="1622">
      <formula>$E$7&lt;&gt;"Yes"</formula>
    </cfRule>
  </conditionalFormatting>
  <conditionalFormatting sqref="AI226">
    <cfRule type="expression" dxfId="1709" priority="1621">
      <formula>$E226&lt;&gt;"Yes"</formula>
    </cfRule>
  </conditionalFormatting>
  <conditionalFormatting sqref="Q227 Y227 AF227:AH227 AJ227:AK227">
    <cfRule type="expression" dxfId="1708" priority="1620">
      <formula>$E$7&lt;&gt;"Yes"</formula>
    </cfRule>
  </conditionalFormatting>
  <conditionalFormatting sqref="Q227 Y227 AF227:AH227 AJ227:AK227">
    <cfRule type="expression" dxfId="1707" priority="1619">
      <formula>$E227&lt;&gt;"Yes"</formula>
    </cfRule>
  </conditionalFormatting>
  <conditionalFormatting sqref="G227">
    <cfRule type="expression" dxfId="1706" priority="1616">
      <formula>$E$7&lt;&gt;"Yes"</formula>
    </cfRule>
  </conditionalFormatting>
  <conditionalFormatting sqref="M227 F227:J227 Q227">
    <cfRule type="expression" dxfId="1705" priority="1618">
      <formula>$E$7&lt;&gt;"Yes"</formula>
    </cfRule>
  </conditionalFormatting>
  <conditionalFormatting sqref="M227 F227:J227 Q227">
    <cfRule type="expression" dxfId="1704" priority="1617">
      <formula>$E227&lt;&gt;"Yes"</formula>
    </cfRule>
  </conditionalFormatting>
  <conditionalFormatting sqref="K227:L227">
    <cfRule type="expression" dxfId="1703" priority="1615">
      <formula>$E$7&lt;&gt;"Yes"</formula>
    </cfRule>
  </conditionalFormatting>
  <conditionalFormatting sqref="K227:L227">
    <cfRule type="expression" dxfId="1702" priority="1614">
      <formula>$E227&lt;&gt;"Yes"</formula>
    </cfRule>
  </conditionalFormatting>
  <conditionalFormatting sqref="W227">
    <cfRule type="expression" dxfId="1701" priority="1613">
      <formula>$E$7&lt;&gt;"Yes"</formula>
    </cfRule>
  </conditionalFormatting>
  <conditionalFormatting sqref="W227">
    <cfRule type="expression" dxfId="1700" priority="1612">
      <formula>$E227&lt;&gt;"Yes"</formula>
    </cfRule>
  </conditionalFormatting>
  <conditionalFormatting sqref="AE227">
    <cfRule type="expression" dxfId="1699" priority="1611">
      <formula>$E$7&lt;&gt;"Yes"</formula>
    </cfRule>
  </conditionalFormatting>
  <conditionalFormatting sqref="AE227">
    <cfRule type="expression" dxfId="1698" priority="1610">
      <formula>$E227&lt;&gt;"Yes"</formula>
    </cfRule>
  </conditionalFormatting>
  <conditionalFormatting sqref="N227">
    <cfRule type="expression" dxfId="1697" priority="1609">
      <formula>$E$7&lt;&gt;"Yes"</formula>
    </cfRule>
  </conditionalFormatting>
  <conditionalFormatting sqref="N227">
    <cfRule type="expression" dxfId="1696" priority="1608">
      <formula>$E227&lt;&gt;"Yes"</formula>
    </cfRule>
  </conditionalFormatting>
  <conditionalFormatting sqref="AB227">
    <cfRule type="expression" dxfId="1695" priority="1607">
      <formula>$E$7&lt;&gt;"Yes"</formula>
    </cfRule>
  </conditionalFormatting>
  <conditionalFormatting sqref="AB227">
    <cfRule type="expression" dxfId="1694" priority="1606">
      <formula>$E227&lt;&gt;"Yes"</formula>
    </cfRule>
  </conditionalFormatting>
  <conditionalFormatting sqref="AA227">
    <cfRule type="expression" dxfId="1693" priority="1605">
      <formula>$E$7&lt;&gt;"Yes"</formula>
    </cfRule>
  </conditionalFormatting>
  <conditionalFormatting sqref="AA227">
    <cfRule type="expression" dxfId="1692" priority="1604">
      <formula>$E227&lt;&gt;"Yes"</formula>
    </cfRule>
  </conditionalFormatting>
  <conditionalFormatting sqref="Y227">
    <cfRule type="expression" dxfId="1691" priority="1603">
      <formula>$E$7&lt;&gt;"Yes"</formula>
    </cfRule>
  </conditionalFormatting>
  <conditionalFormatting sqref="Y227">
    <cfRule type="expression" dxfId="1690" priority="1602">
      <formula>$E227&lt;&gt;"Yes"</formula>
    </cfRule>
  </conditionalFormatting>
  <conditionalFormatting sqref="O227:P227">
    <cfRule type="expression" dxfId="1689" priority="1601">
      <formula>$E$7&lt;&gt;"Yes"</formula>
    </cfRule>
  </conditionalFormatting>
  <conditionalFormatting sqref="O227:P227">
    <cfRule type="expression" dxfId="1688" priority="1600">
      <formula>$E227&lt;&gt;"Yes"</formula>
    </cfRule>
  </conditionalFormatting>
  <conditionalFormatting sqref="X227">
    <cfRule type="expression" dxfId="1687" priority="1599">
      <formula>$E$7&lt;&gt;"Yes"</formula>
    </cfRule>
  </conditionalFormatting>
  <conditionalFormatting sqref="X227">
    <cfRule type="expression" dxfId="1686" priority="1598">
      <formula>$E227&lt;&gt;"Yes"</formula>
    </cfRule>
  </conditionalFormatting>
  <conditionalFormatting sqref="AD227">
    <cfRule type="expression" dxfId="1685" priority="1597">
      <formula>$E$7&lt;&gt;"Yes"</formula>
    </cfRule>
  </conditionalFormatting>
  <conditionalFormatting sqref="AD227">
    <cfRule type="expression" dxfId="1684" priority="1596">
      <formula>$E227&lt;&gt;"Yes"</formula>
    </cfRule>
  </conditionalFormatting>
  <conditionalFormatting sqref="AC227">
    <cfRule type="expression" dxfId="1683" priority="1595">
      <formula>$E$7&lt;&gt;"Yes"</formula>
    </cfRule>
  </conditionalFormatting>
  <conditionalFormatting sqref="AC227">
    <cfRule type="expression" dxfId="1682" priority="1594">
      <formula>$E227&lt;&gt;"Yes"</formula>
    </cfRule>
  </conditionalFormatting>
  <conditionalFormatting sqref="R227:V227">
    <cfRule type="expression" dxfId="1681" priority="1593">
      <formula>$E$7&lt;&gt;"Yes"</formula>
    </cfRule>
  </conditionalFormatting>
  <conditionalFormatting sqref="R227:V227">
    <cfRule type="expression" dxfId="1680" priority="1592">
      <formula>$E227&lt;&gt;"Yes"</formula>
    </cfRule>
  </conditionalFormatting>
  <conditionalFormatting sqref="S227">
    <cfRule type="expression" dxfId="1679" priority="1591">
      <formula>$E$7&lt;&gt;"Yes"</formula>
    </cfRule>
  </conditionalFormatting>
  <conditionalFormatting sqref="S227">
    <cfRule type="expression" dxfId="1678" priority="1590">
      <formula>$E227&lt;&gt;"Yes"</formula>
    </cfRule>
  </conditionalFormatting>
  <conditionalFormatting sqref="T227">
    <cfRule type="expression" dxfId="1677" priority="1589">
      <formula>$E$7&lt;&gt;"Yes"</formula>
    </cfRule>
  </conditionalFormatting>
  <conditionalFormatting sqref="T227">
    <cfRule type="expression" dxfId="1676" priority="1588">
      <formula>$E227&lt;&gt;"Yes"</formula>
    </cfRule>
  </conditionalFormatting>
  <conditionalFormatting sqref="U227">
    <cfRule type="expression" dxfId="1675" priority="1587">
      <formula>$E$7&lt;&gt;"Yes"</formula>
    </cfRule>
  </conditionalFormatting>
  <conditionalFormatting sqref="U227">
    <cfRule type="expression" dxfId="1674" priority="1586">
      <formula>$E227&lt;&gt;"Yes"</formula>
    </cfRule>
  </conditionalFormatting>
  <conditionalFormatting sqref="V227">
    <cfRule type="expression" dxfId="1673" priority="1585">
      <formula>$E$7&lt;&gt;"Yes"</formula>
    </cfRule>
  </conditionalFormatting>
  <conditionalFormatting sqref="V227">
    <cfRule type="expression" dxfId="1672" priority="1584">
      <formula>$E227&lt;&gt;"Yes"</formula>
    </cfRule>
  </conditionalFormatting>
  <conditionalFormatting sqref="R227:V227">
    <cfRule type="expression" dxfId="1671" priority="1583">
      <formula>$E$7&lt;&gt;"Yes"</formula>
    </cfRule>
  </conditionalFormatting>
  <conditionalFormatting sqref="R227:V227">
    <cfRule type="expression" dxfId="1670" priority="1582">
      <formula>$E227&lt;&gt;"Yes"</formula>
    </cfRule>
  </conditionalFormatting>
  <conditionalFormatting sqref="Z227">
    <cfRule type="expression" dxfId="1669" priority="1581">
      <formula>$E$7&lt;&gt;"Yes"</formula>
    </cfRule>
  </conditionalFormatting>
  <conditionalFormatting sqref="Z227">
    <cfRule type="expression" dxfId="1668" priority="1580">
      <formula>$E227&lt;&gt;"Yes"</formula>
    </cfRule>
  </conditionalFormatting>
  <conditionalFormatting sqref="AN227:AO227">
    <cfRule type="expression" dxfId="1667" priority="1579">
      <formula>$E$7&lt;&gt;"Yes"</formula>
    </cfRule>
  </conditionalFormatting>
  <conditionalFormatting sqref="AN227:AO227">
    <cfRule type="expression" dxfId="1666" priority="1578">
      <formula>$E227&lt;&gt;"Yes"</formula>
    </cfRule>
  </conditionalFormatting>
  <conditionalFormatting sqref="AI227">
    <cfRule type="expression" dxfId="1665" priority="1577">
      <formula>$E$7&lt;&gt;"Yes"</formula>
    </cfRule>
  </conditionalFormatting>
  <conditionalFormatting sqref="AI227">
    <cfRule type="expression" dxfId="1664" priority="1576">
      <formula>$E227&lt;&gt;"Yes"</formula>
    </cfRule>
  </conditionalFormatting>
  <conditionalFormatting sqref="Q260 Y260 AF260:AH260 AJ260:AK260">
    <cfRule type="expression" dxfId="1663" priority="1575">
      <formula>$E$7&lt;&gt;"Yes"</formula>
    </cfRule>
  </conditionalFormatting>
  <conditionalFormatting sqref="Q260 Y260 AF260:AH260 AJ260:AK260">
    <cfRule type="expression" dxfId="1662" priority="1574">
      <formula>$E260&lt;&gt;"Yes"</formula>
    </cfRule>
  </conditionalFormatting>
  <conditionalFormatting sqref="G260">
    <cfRule type="expression" dxfId="1661" priority="1571">
      <formula>$E$7&lt;&gt;"Yes"</formula>
    </cfRule>
  </conditionalFormatting>
  <conditionalFormatting sqref="M260 F260:J260 Q260">
    <cfRule type="expression" dxfId="1660" priority="1573">
      <formula>$E$7&lt;&gt;"Yes"</formula>
    </cfRule>
  </conditionalFormatting>
  <conditionalFormatting sqref="M260 F260:J260 Q260">
    <cfRule type="expression" dxfId="1659" priority="1572">
      <formula>$E260&lt;&gt;"Yes"</formula>
    </cfRule>
  </conditionalFormatting>
  <conditionalFormatting sqref="K260:L260">
    <cfRule type="expression" dxfId="1658" priority="1570">
      <formula>$E$7&lt;&gt;"Yes"</formula>
    </cfRule>
  </conditionalFormatting>
  <conditionalFormatting sqref="K260:L260">
    <cfRule type="expression" dxfId="1657" priority="1569">
      <formula>$E260&lt;&gt;"Yes"</formula>
    </cfRule>
  </conditionalFormatting>
  <conditionalFormatting sqref="W260">
    <cfRule type="expression" dxfId="1656" priority="1568">
      <formula>$E$7&lt;&gt;"Yes"</formula>
    </cfRule>
  </conditionalFormatting>
  <conditionalFormatting sqref="W260">
    <cfRule type="expression" dxfId="1655" priority="1567">
      <formula>$E260&lt;&gt;"Yes"</formula>
    </cfRule>
  </conditionalFormatting>
  <conditionalFormatting sqref="AE260">
    <cfRule type="expression" dxfId="1654" priority="1566">
      <formula>$E$7&lt;&gt;"Yes"</formula>
    </cfRule>
  </conditionalFormatting>
  <conditionalFormatting sqref="AE260">
    <cfRule type="expression" dxfId="1653" priority="1565">
      <formula>$E260&lt;&gt;"Yes"</formula>
    </cfRule>
  </conditionalFormatting>
  <conditionalFormatting sqref="N260">
    <cfRule type="expression" dxfId="1652" priority="1564">
      <formula>$E$7&lt;&gt;"Yes"</formula>
    </cfRule>
  </conditionalFormatting>
  <conditionalFormatting sqref="N260">
    <cfRule type="expression" dxfId="1651" priority="1563">
      <formula>$E260&lt;&gt;"Yes"</formula>
    </cfRule>
  </conditionalFormatting>
  <conditionalFormatting sqref="AB260">
    <cfRule type="expression" dxfId="1650" priority="1562">
      <formula>$E$7&lt;&gt;"Yes"</formula>
    </cfRule>
  </conditionalFormatting>
  <conditionalFormatting sqref="AB260">
    <cfRule type="expression" dxfId="1649" priority="1561">
      <formula>$E260&lt;&gt;"Yes"</formula>
    </cfRule>
  </conditionalFormatting>
  <conditionalFormatting sqref="AA260">
    <cfRule type="expression" dxfId="1648" priority="1560">
      <formula>$E$7&lt;&gt;"Yes"</formula>
    </cfRule>
  </conditionalFormatting>
  <conditionalFormatting sqref="AA260">
    <cfRule type="expression" dxfId="1647" priority="1559">
      <formula>$E260&lt;&gt;"Yes"</formula>
    </cfRule>
  </conditionalFormatting>
  <conditionalFormatting sqref="Y260">
    <cfRule type="expression" dxfId="1646" priority="1558">
      <formula>$E$7&lt;&gt;"Yes"</formula>
    </cfRule>
  </conditionalFormatting>
  <conditionalFormatting sqref="Y260">
    <cfRule type="expression" dxfId="1645" priority="1557">
      <formula>$E260&lt;&gt;"Yes"</formula>
    </cfRule>
  </conditionalFormatting>
  <conditionalFormatting sqref="O260:P260">
    <cfRule type="expression" dxfId="1644" priority="1556">
      <formula>$E$7&lt;&gt;"Yes"</formula>
    </cfRule>
  </conditionalFormatting>
  <conditionalFormatting sqref="O260:P260">
    <cfRule type="expression" dxfId="1643" priority="1555">
      <formula>$E260&lt;&gt;"Yes"</formula>
    </cfRule>
  </conditionalFormatting>
  <conditionalFormatting sqref="X260">
    <cfRule type="expression" dxfId="1642" priority="1554">
      <formula>$E$7&lt;&gt;"Yes"</formula>
    </cfRule>
  </conditionalFormatting>
  <conditionalFormatting sqref="X260">
    <cfRule type="expression" dxfId="1641" priority="1553">
      <formula>$E260&lt;&gt;"Yes"</formula>
    </cfRule>
  </conditionalFormatting>
  <conditionalFormatting sqref="AD260">
    <cfRule type="expression" dxfId="1640" priority="1552">
      <formula>$E$7&lt;&gt;"Yes"</formula>
    </cfRule>
  </conditionalFormatting>
  <conditionalFormatting sqref="AD260">
    <cfRule type="expression" dxfId="1639" priority="1551">
      <formula>$E260&lt;&gt;"Yes"</formula>
    </cfRule>
  </conditionalFormatting>
  <conditionalFormatting sqref="AC260">
    <cfRule type="expression" dxfId="1638" priority="1550">
      <formula>$E$7&lt;&gt;"Yes"</formula>
    </cfRule>
  </conditionalFormatting>
  <conditionalFormatting sqref="AC260">
    <cfRule type="expression" dxfId="1637" priority="1549">
      <formula>$E260&lt;&gt;"Yes"</formula>
    </cfRule>
  </conditionalFormatting>
  <conditionalFormatting sqref="R260:V260">
    <cfRule type="expression" dxfId="1636" priority="1548">
      <formula>$E$7&lt;&gt;"Yes"</formula>
    </cfRule>
  </conditionalFormatting>
  <conditionalFormatting sqref="R260:V260">
    <cfRule type="expression" dxfId="1635" priority="1547">
      <formula>$E260&lt;&gt;"Yes"</formula>
    </cfRule>
  </conditionalFormatting>
  <conditionalFormatting sqref="S260">
    <cfRule type="expression" dxfId="1634" priority="1546">
      <formula>$E$7&lt;&gt;"Yes"</formula>
    </cfRule>
  </conditionalFormatting>
  <conditionalFormatting sqref="S260">
    <cfRule type="expression" dxfId="1633" priority="1545">
      <formula>$E260&lt;&gt;"Yes"</formula>
    </cfRule>
  </conditionalFormatting>
  <conditionalFormatting sqref="T260">
    <cfRule type="expression" dxfId="1632" priority="1544">
      <formula>$E$7&lt;&gt;"Yes"</formula>
    </cfRule>
  </conditionalFormatting>
  <conditionalFormatting sqref="T260">
    <cfRule type="expression" dxfId="1631" priority="1543">
      <formula>$E260&lt;&gt;"Yes"</formula>
    </cfRule>
  </conditionalFormatting>
  <conditionalFormatting sqref="U260">
    <cfRule type="expression" dxfId="1630" priority="1542">
      <formula>$E$7&lt;&gt;"Yes"</formula>
    </cfRule>
  </conditionalFormatting>
  <conditionalFormatting sqref="U260">
    <cfRule type="expression" dxfId="1629" priority="1541">
      <formula>$E260&lt;&gt;"Yes"</formula>
    </cfRule>
  </conditionalFormatting>
  <conditionalFormatting sqref="V260">
    <cfRule type="expression" dxfId="1628" priority="1540">
      <formula>$E$7&lt;&gt;"Yes"</formula>
    </cfRule>
  </conditionalFormatting>
  <conditionalFormatting sqref="V260">
    <cfRule type="expression" dxfId="1627" priority="1539">
      <formula>$E260&lt;&gt;"Yes"</formula>
    </cfRule>
  </conditionalFormatting>
  <conditionalFormatting sqref="R260:V260">
    <cfRule type="expression" dxfId="1626" priority="1538">
      <formula>$E$7&lt;&gt;"Yes"</formula>
    </cfRule>
  </conditionalFormatting>
  <conditionalFormatting sqref="R260:V260">
    <cfRule type="expression" dxfId="1625" priority="1537">
      <formula>$E260&lt;&gt;"Yes"</formula>
    </cfRule>
  </conditionalFormatting>
  <conditionalFormatting sqref="Z260">
    <cfRule type="expression" dxfId="1624" priority="1536">
      <formula>$E$7&lt;&gt;"Yes"</formula>
    </cfRule>
  </conditionalFormatting>
  <conditionalFormatting sqref="Z260">
    <cfRule type="expression" dxfId="1623" priority="1535">
      <formula>$E260&lt;&gt;"Yes"</formula>
    </cfRule>
  </conditionalFormatting>
  <conditionalFormatting sqref="AN260:AO260">
    <cfRule type="expression" dxfId="1622" priority="1534">
      <formula>$E$7&lt;&gt;"Yes"</formula>
    </cfRule>
  </conditionalFormatting>
  <conditionalFormatting sqref="AN260:AO260">
    <cfRule type="expression" dxfId="1621" priority="1533">
      <formula>$E260&lt;&gt;"Yes"</formula>
    </cfRule>
  </conditionalFormatting>
  <conditionalFormatting sqref="AI260">
    <cfRule type="expression" dxfId="1620" priority="1532">
      <formula>$E$7&lt;&gt;"Yes"</formula>
    </cfRule>
  </conditionalFormatting>
  <conditionalFormatting sqref="AI260">
    <cfRule type="expression" dxfId="1619" priority="1531">
      <formula>$E260&lt;&gt;"Yes"</formula>
    </cfRule>
  </conditionalFormatting>
  <conditionalFormatting sqref="Q331 Y331 AF331:AH331 AJ331:AK331">
    <cfRule type="expression" dxfId="1618" priority="1530">
      <formula>$E$7&lt;&gt;"Yes"</formula>
    </cfRule>
  </conditionalFormatting>
  <conditionalFormatting sqref="Q331 Y331 AF331:AH331 AJ331:AK331">
    <cfRule type="expression" dxfId="1617" priority="1529">
      <formula>$E331&lt;&gt;"Yes"</formula>
    </cfRule>
  </conditionalFormatting>
  <conditionalFormatting sqref="G331">
    <cfRule type="expression" dxfId="1616" priority="1526">
      <formula>$E$7&lt;&gt;"Yes"</formula>
    </cfRule>
  </conditionalFormatting>
  <conditionalFormatting sqref="M331 F331:J331 Q331">
    <cfRule type="expression" dxfId="1615" priority="1528">
      <formula>$E$7&lt;&gt;"Yes"</formula>
    </cfRule>
  </conditionalFormatting>
  <conditionalFormatting sqref="M331 F331:J331 Q331">
    <cfRule type="expression" dxfId="1614" priority="1527">
      <formula>$E331&lt;&gt;"Yes"</formula>
    </cfRule>
  </conditionalFormatting>
  <conditionalFormatting sqref="K331:L331">
    <cfRule type="expression" dxfId="1613" priority="1525">
      <formula>$E$7&lt;&gt;"Yes"</formula>
    </cfRule>
  </conditionalFormatting>
  <conditionalFormatting sqref="K331:L331">
    <cfRule type="expression" dxfId="1612" priority="1524">
      <formula>$E331&lt;&gt;"Yes"</formula>
    </cfRule>
  </conditionalFormatting>
  <conditionalFormatting sqref="W331">
    <cfRule type="expression" dxfId="1611" priority="1523">
      <formula>$E$7&lt;&gt;"Yes"</formula>
    </cfRule>
  </conditionalFormatting>
  <conditionalFormatting sqref="W331">
    <cfRule type="expression" dxfId="1610" priority="1522">
      <formula>$E331&lt;&gt;"Yes"</formula>
    </cfRule>
  </conditionalFormatting>
  <conditionalFormatting sqref="AE331">
    <cfRule type="expression" dxfId="1609" priority="1521">
      <formula>$E$7&lt;&gt;"Yes"</formula>
    </cfRule>
  </conditionalFormatting>
  <conditionalFormatting sqref="AE331">
    <cfRule type="expression" dxfId="1608" priority="1520">
      <formula>$E331&lt;&gt;"Yes"</formula>
    </cfRule>
  </conditionalFormatting>
  <conditionalFormatting sqref="N331">
    <cfRule type="expression" dxfId="1607" priority="1519">
      <formula>$E$7&lt;&gt;"Yes"</formula>
    </cfRule>
  </conditionalFormatting>
  <conditionalFormatting sqref="N331">
    <cfRule type="expression" dxfId="1606" priority="1518">
      <formula>$E331&lt;&gt;"Yes"</formula>
    </cfRule>
  </conditionalFormatting>
  <conditionalFormatting sqref="AB331">
    <cfRule type="expression" dxfId="1605" priority="1517">
      <formula>$E$7&lt;&gt;"Yes"</formula>
    </cfRule>
  </conditionalFormatting>
  <conditionalFormatting sqref="AB331">
    <cfRule type="expression" dxfId="1604" priority="1516">
      <formula>$E331&lt;&gt;"Yes"</formula>
    </cfRule>
  </conditionalFormatting>
  <conditionalFormatting sqref="AA331">
    <cfRule type="expression" dxfId="1603" priority="1515">
      <formula>$E$7&lt;&gt;"Yes"</formula>
    </cfRule>
  </conditionalFormatting>
  <conditionalFormatting sqref="AA331">
    <cfRule type="expression" dxfId="1602" priority="1514">
      <formula>$E331&lt;&gt;"Yes"</formula>
    </cfRule>
  </conditionalFormatting>
  <conditionalFormatting sqref="Y331">
    <cfRule type="expression" dxfId="1601" priority="1513">
      <formula>$E$7&lt;&gt;"Yes"</formula>
    </cfRule>
  </conditionalFormatting>
  <conditionalFormatting sqref="Y331">
    <cfRule type="expression" dxfId="1600" priority="1512">
      <formula>$E331&lt;&gt;"Yes"</formula>
    </cfRule>
  </conditionalFormatting>
  <conditionalFormatting sqref="O331:P331">
    <cfRule type="expression" dxfId="1599" priority="1511">
      <formula>$E$7&lt;&gt;"Yes"</formula>
    </cfRule>
  </conditionalFormatting>
  <conditionalFormatting sqref="O331:P331">
    <cfRule type="expression" dxfId="1598" priority="1510">
      <formula>$E331&lt;&gt;"Yes"</formula>
    </cfRule>
  </conditionalFormatting>
  <conditionalFormatting sqref="X331">
    <cfRule type="expression" dxfId="1597" priority="1509">
      <formula>$E$7&lt;&gt;"Yes"</formula>
    </cfRule>
  </conditionalFormatting>
  <conditionalFormatting sqref="X331">
    <cfRule type="expression" dxfId="1596" priority="1508">
      <formula>$E331&lt;&gt;"Yes"</formula>
    </cfRule>
  </conditionalFormatting>
  <conditionalFormatting sqref="AD331">
    <cfRule type="expression" dxfId="1595" priority="1507">
      <formula>$E$7&lt;&gt;"Yes"</formula>
    </cfRule>
  </conditionalFormatting>
  <conditionalFormatting sqref="AD331">
    <cfRule type="expression" dxfId="1594" priority="1506">
      <formula>$E331&lt;&gt;"Yes"</formula>
    </cfRule>
  </conditionalFormatting>
  <conditionalFormatting sqref="AC331">
    <cfRule type="expression" dxfId="1593" priority="1505">
      <formula>$E$7&lt;&gt;"Yes"</formula>
    </cfRule>
  </conditionalFormatting>
  <conditionalFormatting sqref="AC331">
    <cfRule type="expression" dxfId="1592" priority="1504">
      <formula>$E331&lt;&gt;"Yes"</formula>
    </cfRule>
  </conditionalFormatting>
  <conditionalFormatting sqref="R331:V331">
    <cfRule type="expression" dxfId="1591" priority="1503">
      <formula>$E$7&lt;&gt;"Yes"</formula>
    </cfRule>
  </conditionalFormatting>
  <conditionalFormatting sqref="R331:V331">
    <cfRule type="expression" dxfId="1590" priority="1502">
      <formula>$E331&lt;&gt;"Yes"</formula>
    </cfRule>
  </conditionalFormatting>
  <conditionalFormatting sqref="S331">
    <cfRule type="expression" dxfId="1589" priority="1501">
      <formula>$E$7&lt;&gt;"Yes"</formula>
    </cfRule>
  </conditionalFormatting>
  <conditionalFormatting sqref="S331">
    <cfRule type="expression" dxfId="1588" priority="1500">
      <formula>$E331&lt;&gt;"Yes"</formula>
    </cfRule>
  </conditionalFormatting>
  <conditionalFormatting sqref="T331">
    <cfRule type="expression" dxfId="1587" priority="1499">
      <formula>$E$7&lt;&gt;"Yes"</formula>
    </cfRule>
  </conditionalFormatting>
  <conditionalFormatting sqref="T331">
    <cfRule type="expression" dxfId="1586" priority="1498">
      <formula>$E331&lt;&gt;"Yes"</formula>
    </cfRule>
  </conditionalFormatting>
  <conditionalFormatting sqref="U331">
    <cfRule type="expression" dxfId="1585" priority="1497">
      <formula>$E$7&lt;&gt;"Yes"</formula>
    </cfRule>
  </conditionalFormatting>
  <conditionalFormatting sqref="U331">
    <cfRule type="expression" dxfId="1584" priority="1496">
      <formula>$E331&lt;&gt;"Yes"</formula>
    </cfRule>
  </conditionalFormatting>
  <conditionalFormatting sqref="V331">
    <cfRule type="expression" dxfId="1583" priority="1495">
      <formula>$E$7&lt;&gt;"Yes"</formula>
    </cfRule>
  </conditionalFormatting>
  <conditionalFormatting sqref="V331">
    <cfRule type="expression" dxfId="1582" priority="1494">
      <formula>$E331&lt;&gt;"Yes"</formula>
    </cfRule>
  </conditionalFormatting>
  <conditionalFormatting sqref="R331:V331">
    <cfRule type="expression" dxfId="1581" priority="1493">
      <formula>$E$7&lt;&gt;"Yes"</formula>
    </cfRule>
  </conditionalFormatting>
  <conditionalFormatting sqref="R331:V331">
    <cfRule type="expression" dxfId="1580" priority="1492">
      <formula>$E331&lt;&gt;"Yes"</formula>
    </cfRule>
  </conditionalFormatting>
  <conditionalFormatting sqref="Z331">
    <cfRule type="expression" dxfId="1579" priority="1491">
      <formula>$E$7&lt;&gt;"Yes"</formula>
    </cfRule>
  </conditionalFormatting>
  <conditionalFormatting sqref="Z331">
    <cfRule type="expression" dxfId="1578" priority="1490">
      <formula>$E331&lt;&gt;"Yes"</formula>
    </cfRule>
  </conditionalFormatting>
  <conditionalFormatting sqref="AN331:AO331">
    <cfRule type="expression" dxfId="1577" priority="1489">
      <formula>$E$7&lt;&gt;"Yes"</formula>
    </cfRule>
  </conditionalFormatting>
  <conditionalFormatting sqref="AN331:AO331">
    <cfRule type="expression" dxfId="1576" priority="1488">
      <formula>$E331&lt;&gt;"Yes"</formula>
    </cfRule>
  </conditionalFormatting>
  <conditionalFormatting sqref="AI331">
    <cfRule type="expression" dxfId="1575" priority="1487">
      <formula>$E$7&lt;&gt;"Yes"</formula>
    </cfRule>
  </conditionalFormatting>
  <conditionalFormatting sqref="AI331">
    <cfRule type="expression" dxfId="1574" priority="1486">
      <formula>$E331&lt;&gt;"Yes"</formula>
    </cfRule>
  </conditionalFormatting>
  <conditionalFormatting sqref="Q273 Y273 AF273:AH273 AJ273:AK273">
    <cfRule type="expression" dxfId="1573" priority="1485">
      <formula>$E$7&lt;&gt;"Yes"</formula>
    </cfRule>
  </conditionalFormatting>
  <conditionalFormatting sqref="Q273 Y273 AF273:AH273 AJ273:AK273">
    <cfRule type="expression" dxfId="1572" priority="1484">
      <formula>$E273&lt;&gt;"Yes"</formula>
    </cfRule>
  </conditionalFormatting>
  <conditionalFormatting sqref="G273">
    <cfRule type="expression" dxfId="1571" priority="1481">
      <formula>$E$7&lt;&gt;"Yes"</formula>
    </cfRule>
  </conditionalFormatting>
  <conditionalFormatting sqref="M273 F273:J273 Q273">
    <cfRule type="expression" dxfId="1570" priority="1483">
      <formula>$E$7&lt;&gt;"Yes"</formula>
    </cfRule>
  </conditionalFormatting>
  <conditionalFormatting sqref="M273 F273:J273 Q273">
    <cfRule type="expression" dxfId="1569" priority="1482">
      <formula>$E273&lt;&gt;"Yes"</formula>
    </cfRule>
  </conditionalFormatting>
  <conditionalFormatting sqref="K273:L273">
    <cfRule type="expression" dxfId="1568" priority="1480">
      <formula>$E$7&lt;&gt;"Yes"</formula>
    </cfRule>
  </conditionalFormatting>
  <conditionalFormatting sqref="K273:L273">
    <cfRule type="expression" dxfId="1567" priority="1479">
      <formula>$E273&lt;&gt;"Yes"</formula>
    </cfRule>
  </conditionalFormatting>
  <conditionalFormatting sqref="W273">
    <cfRule type="expression" dxfId="1566" priority="1478">
      <formula>$E$7&lt;&gt;"Yes"</formula>
    </cfRule>
  </conditionalFormatting>
  <conditionalFormatting sqref="W273">
    <cfRule type="expression" dxfId="1565" priority="1477">
      <formula>$E273&lt;&gt;"Yes"</formula>
    </cfRule>
  </conditionalFormatting>
  <conditionalFormatting sqref="AE273">
    <cfRule type="expression" dxfId="1564" priority="1476">
      <formula>$E$7&lt;&gt;"Yes"</formula>
    </cfRule>
  </conditionalFormatting>
  <conditionalFormatting sqref="AE273">
    <cfRule type="expression" dxfId="1563" priority="1475">
      <formula>$E273&lt;&gt;"Yes"</formula>
    </cfRule>
  </conditionalFormatting>
  <conditionalFormatting sqref="N273">
    <cfRule type="expression" dxfId="1562" priority="1474">
      <formula>$E$7&lt;&gt;"Yes"</formula>
    </cfRule>
  </conditionalFormatting>
  <conditionalFormatting sqref="N273">
    <cfRule type="expression" dxfId="1561" priority="1473">
      <formula>$E273&lt;&gt;"Yes"</formula>
    </cfRule>
  </conditionalFormatting>
  <conditionalFormatting sqref="AB273">
    <cfRule type="expression" dxfId="1560" priority="1472">
      <formula>$E$7&lt;&gt;"Yes"</formula>
    </cfRule>
  </conditionalFormatting>
  <conditionalFormatting sqref="AB273">
    <cfRule type="expression" dxfId="1559" priority="1471">
      <formula>$E273&lt;&gt;"Yes"</formula>
    </cfRule>
  </conditionalFormatting>
  <conditionalFormatting sqref="AA273">
    <cfRule type="expression" dxfId="1558" priority="1470">
      <formula>$E$7&lt;&gt;"Yes"</formula>
    </cfRule>
  </conditionalFormatting>
  <conditionalFormatting sqref="AA273">
    <cfRule type="expression" dxfId="1557" priority="1469">
      <formula>$E273&lt;&gt;"Yes"</formula>
    </cfRule>
  </conditionalFormatting>
  <conditionalFormatting sqref="Y273">
    <cfRule type="expression" dxfId="1556" priority="1468">
      <formula>$E$7&lt;&gt;"Yes"</formula>
    </cfRule>
  </conditionalFormatting>
  <conditionalFormatting sqref="Y273">
    <cfRule type="expression" dxfId="1555" priority="1467">
      <formula>$E273&lt;&gt;"Yes"</formula>
    </cfRule>
  </conditionalFormatting>
  <conditionalFormatting sqref="O273:P273">
    <cfRule type="expression" dxfId="1554" priority="1466">
      <formula>$E$7&lt;&gt;"Yes"</formula>
    </cfRule>
  </conditionalFormatting>
  <conditionalFormatting sqref="O273:P273">
    <cfRule type="expression" dxfId="1553" priority="1465">
      <formula>$E273&lt;&gt;"Yes"</formula>
    </cfRule>
  </conditionalFormatting>
  <conditionalFormatting sqref="X273">
    <cfRule type="expression" dxfId="1552" priority="1464">
      <formula>$E$7&lt;&gt;"Yes"</formula>
    </cfRule>
  </conditionalFormatting>
  <conditionalFormatting sqref="X273">
    <cfRule type="expression" dxfId="1551" priority="1463">
      <formula>$E273&lt;&gt;"Yes"</formula>
    </cfRule>
  </conditionalFormatting>
  <conditionalFormatting sqref="AD273">
    <cfRule type="expression" dxfId="1550" priority="1462">
      <formula>$E$7&lt;&gt;"Yes"</formula>
    </cfRule>
  </conditionalFormatting>
  <conditionalFormatting sqref="AD273">
    <cfRule type="expression" dxfId="1549" priority="1461">
      <formula>$E273&lt;&gt;"Yes"</formula>
    </cfRule>
  </conditionalFormatting>
  <conditionalFormatting sqref="AC273">
    <cfRule type="expression" dxfId="1548" priority="1460">
      <formula>$E$7&lt;&gt;"Yes"</formula>
    </cfRule>
  </conditionalFormatting>
  <conditionalFormatting sqref="AC273">
    <cfRule type="expression" dxfId="1547" priority="1459">
      <formula>$E273&lt;&gt;"Yes"</formula>
    </cfRule>
  </conditionalFormatting>
  <conditionalFormatting sqref="R273:V273">
    <cfRule type="expression" dxfId="1546" priority="1458">
      <formula>$E$7&lt;&gt;"Yes"</formula>
    </cfRule>
  </conditionalFormatting>
  <conditionalFormatting sqref="R273:V273">
    <cfRule type="expression" dxfId="1545" priority="1457">
      <formula>$E273&lt;&gt;"Yes"</formula>
    </cfRule>
  </conditionalFormatting>
  <conditionalFormatting sqref="S273">
    <cfRule type="expression" dxfId="1544" priority="1456">
      <formula>$E$7&lt;&gt;"Yes"</formula>
    </cfRule>
  </conditionalFormatting>
  <conditionalFormatting sqref="S273">
    <cfRule type="expression" dxfId="1543" priority="1455">
      <formula>$E273&lt;&gt;"Yes"</formula>
    </cfRule>
  </conditionalFormatting>
  <conditionalFormatting sqref="T273">
    <cfRule type="expression" dxfId="1542" priority="1454">
      <formula>$E$7&lt;&gt;"Yes"</formula>
    </cfRule>
  </conditionalFormatting>
  <conditionalFormatting sqref="T273">
    <cfRule type="expression" dxfId="1541" priority="1453">
      <formula>$E273&lt;&gt;"Yes"</formula>
    </cfRule>
  </conditionalFormatting>
  <conditionalFormatting sqref="U273">
    <cfRule type="expression" dxfId="1540" priority="1452">
      <formula>$E$7&lt;&gt;"Yes"</formula>
    </cfRule>
  </conditionalFormatting>
  <conditionalFormatting sqref="U273">
    <cfRule type="expression" dxfId="1539" priority="1451">
      <formula>$E273&lt;&gt;"Yes"</formula>
    </cfRule>
  </conditionalFormatting>
  <conditionalFormatting sqref="V273">
    <cfRule type="expression" dxfId="1538" priority="1450">
      <formula>$E$7&lt;&gt;"Yes"</formula>
    </cfRule>
  </conditionalFormatting>
  <conditionalFormatting sqref="V273">
    <cfRule type="expression" dxfId="1537" priority="1449">
      <formula>$E273&lt;&gt;"Yes"</formula>
    </cfRule>
  </conditionalFormatting>
  <conditionalFormatting sqref="R273:V273">
    <cfRule type="expression" dxfId="1536" priority="1448">
      <formula>$E$7&lt;&gt;"Yes"</formula>
    </cfRule>
  </conditionalFormatting>
  <conditionalFormatting sqref="R273:V273">
    <cfRule type="expression" dxfId="1535" priority="1447">
      <formula>$E273&lt;&gt;"Yes"</formula>
    </cfRule>
  </conditionalFormatting>
  <conditionalFormatting sqref="Z273">
    <cfRule type="expression" dxfId="1534" priority="1446">
      <formula>$E$7&lt;&gt;"Yes"</formula>
    </cfRule>
  </conditionalFormatting>
  <conditionalFormatting sqref="Z273">
    <cfRule type="expression" dxfId="1533" priority="1445">
      <formula>$E273&lt;&gt;"Yes"</formula>
    </cfRule>
  </conditionalFormatting>
  <conditionalFormatting sqref="AN273:AO273">
    <cfRule type="expression" dxfId="1532" priority="1444">
      <formula>$E$7&lt;&gt;"Yes"</formula>
    </cfRule>
  </conditionalFormatting>
  <conditionalFormatting sqref="AN273:AO273">
    <cfRule type="expression" dxfId="1531" priority="1443">
      <formula>$E273&lt;&gt;"Yes"</formula>
    </cfRule>
  </conditionalFormatting>
  <conditionalFormatting sqref="AI273">
    <cfRule type="expression" dxfId="1530" priority="1442">
      <formula>$E$7&lt;&gt;"Yes"</formula>
    </cfRule>
  </conditionalFormatting>
  <conditionalFormatting sqref="AI273">
    <cfRule type="expression" dxfId="1529" priority="1441">
      <formula>$E273&lt;&gt;"Yes"</formula>
    </cfRule>
  </conditionalFormatting>
  <conditionalFormatting sqref="Q363 Y363 AF363:AH363 AJ363:AK363">
    <cfRule type="expression" dxfId="1528" priority="1440">
      <formula>$E$7&lt;&gt;"Yes"</formula>
    </cfRule>
  </conditionalFormatting>
  <conditionalFormatting sqref="Q363 Y363 AF363:AH363 AJ363:AK363">
    <cfRule type="expression" dxfId="1527" priority="1439">
      <formula>$E363&lt;&gt;"Yes"</formula>
    </cfRule>
  </conditionalFormatting>
  <conditionalFormatting sqref="G363">
    <cfRule type="expression" dxfId="1526" priority="1436">
      <formula>$E$7&lt;&gt;"Yes"</formula>
    </cfRule>
  </conditionalFormatting>
  <conditionalFormatting sqref="M363 F363:J363 Q363">
    <cfRule type="expression" dxfId="1525" priority="1438">
      <formula>$E$7&lt;&gt;"Yes"</formula>
    </cfRule>
  </conditionalFormatting>
  <conditionalFormatting sqref="M363 F363:J363 Q363">
    <cfRule type="expression" dxfId="1524" priority="1437">
      <formula>$E363&lt;&gt;"Yes"</formula>
    </cfRule>
  </conditionalFormatting>
  <conditionalFormatting sqref="K363:L363">
    <cfRule type="expression" dxfId="1523" priority="1435">
      <formula>$E$7&lt;&gt;"Yes"</formula>
    </cfRule>
  </conditionalFormatting>
  <conditionalFormatting sqref="K363:L363">
    <cfRule type="expression" dxfId="1522" priority="1434">
      <formula>$E363&lt;&gt;"Yes"</formula>
    </cfRule>
  </conditionalFormatting>
  <conditionalFormatting sqref="W363">
    <cfRule type="expression" dxfId="1521" priority="1433">
      <formula>$E$7&lt;&gt;"Yes"</formula>
    </cfRule>
  </conditionalFormatting>
  <conditionalFormatting sqref="W363">
    <cfRule type="expression" dxfId="1520" priority="1432">
      <formula>$E363&lt;&gt;"Yes"</formula>
    </cfRule>
  </conditionalFormatting>
  <conditionalFormatting sqref="AE363">
    <cfRule type="expression" dxfId="1519" priority="1431">
      <formula>$E$7&lt;&gt;"Yes"</formula>
    </cfRule>
  </conditionalFormatting>
  <conditionalFormatting sqref="AE363">
    <cfRule type="expression" dxfId="1518" priority="1430">
      <formula>$E363&lt;&gt;"Yes"</formula>
    </cfRule>
  </conditionalFormatting>
  <conditionalFormatting sqref="N363">
    <cfRule type="expression" dxfId="1517" priority="1429">
      <formula>$E$7&lt;&gt;"Yes"</formula>
    </cfRule>
  </conditionalFormatting>
  <conditionalFormatting sqref="N363">
    <cfRule type="expression" dxfId="1516" priority="1428">
      <formula>$E363&lt;&gt;"Yes"</formula>
    </cfRule>
  </conditionalFormatting>
  <conditionalFormatting sqref="AB363">
    <cfRule type="expression" dxfId="1515" priority="1427">
      <formula>$E$7&lt;&gt;"Yes"</formula>
    </cfRule>
  </conditionalFormatting>
  <conditionalFormatting sqref="AB363">
    <cfRule type="expression" dxfId="1514" priority="1426">
      <formula>$E363&lt;&gt;"Yes"</formula>
    </cfRule>
  </conditionalFormatting>
  <conditionalFormatting sqref="AA363">
    <cfRule type="expression" dxfId="1513" priority="1425">
      <formula>$E$7&lt;&gt;"Yes"</formula>
    </cfRule>
  </conditionalFormatting>
  <conditionalFormatting sqref="AA363">
    <cfRule type="expression" dxfId="1512" priority="1424">
      <formula>$E363&lt;&gt;"Yes"</formula>
    </cfRule>
  </conditionalFormatting>
  <conditionalFormatting sqref="Y363">
    <cfRule type="expression" dxfId="1511" priority="1423">
      <formula>$E$7&lt;&gt;"Yes"</formula>
    </cfRule>
  </conditionalFormatting>
  <conditionalFormatting sqref="Y363">
    <cfRule type="expression" dxfId="1510" priority="1422">
      <formula>$E363&lt;&gt;"Yes"</formula>
    </cfRule>
  </conditionalFormatting>
  <conditionalFormatting sqref="O363:P363">
    <cfRule type="expression" dxfId="1509" priority="1421">
      <formula>$E$7&lt;&gt;"Yes"</formula>
    </cfRule>
  </conditionalFormatting>
  <conditionalFormatting sqref="O363:P363">
    <cfRule type="expression" dxfId="1508" priority="1420">
      <formula>$E363&lt;&gt;"Yes"</formula>
    </cfRule>
  </conditionalFormatting>
  <conditionalFormatting sqref="X363">
    <cfRule type="expression" dxfId="1507" priority="1419">
      <formula>$E$7&lt;&gt;"Yes"</formula>
    </cfRule>
  </conditionalFormatting>
  <conditionalFormatting sqref="X363">
    <cfRule type="expression" dxfId="1506" priority="1418">
      <formula>$E363&lt;&gt;"Yes"</formula>
    </cfRule>
  </conditionalFormatting>
  <conditionalFormatting sqref="AD363">
    <cfRule type="expression" dxfId="1505" priority="1417">
      <formula>$E$7&lt;&gt;"Yes"</formula>
    </cfRule>
  </conditionalFormatting>
  <conditionalFormatting sqref="AD363">
    <cfRule type="expression" dxfId="1504" priority="1416">
      <formula>$E363&lt;&gt;"Yes"</formula>
    </cfRule>
  </conditionalFormatting>
  <conditionalFormatting sqref="AC363">
    <cfRule type="expression" dxfId="1503" priority="1415">
      <formula>$E$7&lt;&gt;"Yes"</formula>
    </cfRule>
  </conditionalFormatting>
  <conditionalFormatting sqref="AC363">
    <cfRule type="expression" dxfId="1502" priority="1414">
      <formula>$E363&lt;&gt;"Yes"</formula>
    </cfRule>
  </conditionalFormatting>
  <conditionalFormatting sqref="R363:V363">
    <cfRule type="expression" dxfId="1501" priority="1413">
      <formula>$E$7&lt;&gt;"Yes"</formula>
    </cfRule>
  </conditionalFormatting>
  <conditionalFormatting sqref="R363:V363">
    <cfRule type="expression" dxfId="1500" priority="1412">
      <formula>$E363&lt;&gt;"Yes"</formula>
    </cfRule>
  </conditionalFormatting>
  <conditionalFormatting sqref="S363">
    <cfRule type="expression" dxfId="1499" priority="1411">
      <formula>$E$7&lt;&gt;"Yes"</formula>
    </cfRule>
  </conditionalFormatting>
  <conditionalFormatting sqref="S363">
    <cfRule type="expression" dxfId="1498" priority="1410">
      <formula>$E363&lt;&gt;"Yes"</formula>
    </cfRule>
  </conditionalFormatting>
  <conditionalFormatting sqref="T363">
    <cfRule type="expression" dxfId="1497" priority="1409">
      <formula>$E$7&lt;&gt;"Yes"</formula>
    </cfRule>
  </conditionalFormatting>
  <conditionalFormatting sqref="T363">
    <cfRule type="expression" dxfId="1496" priority="1408">
      <formula>$E363&lt;&gt;"Yes"</formula>
    </cfRule>
  </conditionalFormatting>
  <conditionalFormatting sqref="U363">
    <cfRule type="expression" dxfId="1495" priority="1407">
      <formula>$E$7&lt;&gt;"Yes"</formula>
    </cfRule>
  </conditionalFormatting>
  <conditionalFormatting sqref="U363">
    <cfRule type="expression" dxfId="1494" priority="1406">
      <formula>$E363&lt;&gt;"Yes"</formula>
    </cfRule>
  </conditionalFormatting>
  <conditionalFormatting sqref="V363">
    <cfRule type="expression" dxfId="1493" priority="1405">
      <formula>$E$7&lt;&gt;"Yes"</formula>
    </cfRule>
  </conditionalFormatting>
  <conditionalFormatting sqref="V363">
    <cfRule type="expression" dxfId="1492" priority="1404">
      <formula>$E363&lt;&gt;"Yes"</formula>
    </cfRule>
  </conditionalFormatting>
  <conditionalFormatting sqref="R363:V363">
    <cfRule type="expression" dxfId="1491" priority="1403">
      <formula>$E$7&lt;&gt;"Yes"</formula>
    </cfRule>
  </conditionalFormatting>
  <conditionalFormatting sqref="R363:V363">
    <cfRule type="expression" dxfId="1490" priority="1402">
      <formula>$E363&lt;&gt;"Yes"</formula>
    </cfRule>
  </conditionalFormatting>
  <conditionalFormatting sqref="Z363">
    <cfRule type="expression" dxfId="1489" priority="1401">
      <formula>$E$7&lt;&gt;"Yes"</formula>
    </cfRule>
  </conditionalFormatting>
  <conditionalFormatting sqref="Z363">
    <cfRule type="expression" dxfId="1488" priority="1400">
      <formula>$E363&lt;&gt;"Yes"</formula>
    </cfRule>
  </conditionalFormatting>
  <conditionalFormatting sqref="AN363:AO363">
    <cfRule type="expression" dxfId="1487" priority="1399">
      <formula>$E$7&lt;&gt;"Yes"</formula>
    </cfRule>
  </conditionalFormatting>
  <conditionalFormatting sqref="AN363:AO363">
    <cfRule type="expression" dxfId="1486" priority="1398">
      <formula>$E363&lt;&gt;"Yes"</formula>
    </cfRule>
  </conditionalFormatting>
  <conditionalFormatting sqref="AI363">
    <cfRule type="expression" dxfId="1485" priority="1397">
      <formula>$E$7&lt;&gt;"Yes"</formula>
    </cfRule>
  </conditionalFormatting>
  <conditionalFormatting sqref="AI363">
    <cfRule type="expression" dxfId="1484" priority="1396">
      <formula>$E363&lt;&gt;"Yes"</formula>
    </cfRule>
  </conditionalFormatting>
  <conditionalFormatting sqref="Q366 Y366 AF366:AH366 AJ366:AK366">
    <cfRule type="expression" dxfId="1483" priority="1395">
      <formula>$E$7&lt;&gt;"Yes"</formula>
    </cfRule>
  </conditionalFormatting>
  <conditionalFormatting sqref="Q366 Y366 AF366:AH366 AJ366:AK366">
    <cfRule type="expression" dxfId="1482" priority="1394">
      <formula>$E366&lt;&gt;"Yes"</formula>
    </cfRule>
  </conditionalFormatting>
  <conditionalFormatting sqref="G366">
    <cfRule type="expression" dxfId="1481" priority="1391">
      <formula>$E$7&lt;&gt;"Yes"</formula>
    </cfRule>
  </conditionalFormatting>
  <conditionalFormatting sqref="M366 F366:J366 Q366">
    <cfRule type="expression" dxfId="1480" priority="1393">
      <formula>$E$7&lt;&gt;"Yes"</formula>
    </cfRule>
  </conditionalFormatting>
  <conditionalFormatting sqref="M366 F366:J366 Q366">
    <cfRule type="expression" dxfId="1479" priority="1392">
      <formula>$E366&lt;&gt;"Yes"</formula>
    </cfRule>
  </conditionalFormatting>
  <conditionalFormatting sqref="K366:L366">
    <cfRule type="expression" dxfId="1478" priority="1390">
      <formula>$E$7&lt;&gt;"Yes"</formula>
    </cfRule>
  </conditionalFormatting>
  <conditionalFormatting sqref="K366:L366">
    <cfRule type="expression" dxfId="1477" priority="1389">
      <formula>$E366&lt;&gt;"Yes"</formula>
    </cfRule>
  </conditionalFormatting>
  <conditionalFormatting sqref="W366">
    <cfRule type="expression" dxfId="1476" priority="1388">
      <formula>$E$7&lt;&gt;"Yes"</formula>
    </cfRule>
  </conditionalFormatting>
  <conditionalFormatting sqref="W366">
    <cfRule type="expression" dxfId="1475" priority="1387">
      <formula>$E366&lt;&gt;"Yes"</formula>
    </cfRule>
  </conditionalFormatting>
  <conditionalFormatting sqref="AE366">
    <cfRule type="expression" dxfId="1474" priority="1386">
      <formula>$E$7&lt;&gt;"Yes"</formula>
    </cfRule>
  </conditionalFormatting>
  <conditionalFormatting sqref="AE366">
    <cfRule type="expression" dxfId="1473" priority="1385">
      <formula>$E366&lt;&gt;"Yes"</formula>
    </cfRule>
  </conditionalFormatting>
  <conditionalFormatting sqref="N366">
    <cfRule type="expression" dxfId="1472" priority="1384">
      <formula>$E$7&lt;&gt;"Yes"</formula>
    </cfRule>
  </conditionalFormatting>
  <conditionalFormatting sqref="N366">
    <cfRule type="expression" dxfId="1471" priority="1383">
      <formula>$E366&lt;&gt;"Yes"</formula>
    </cfRule>
  </conditionalFormatting>
  <conditionalFormatting sqref="AB366">
    <cfRule type="expression" dxfId="1470" priority="1382">
      <formula>$E$7&lt;&gt;"Yes"</formula>
    </cfRule>
  </conditionalFormatting>
  <conditionalFormatting sqref="AB366">
    <cfRule type="expression" dxfId="1469" priority="1381">
      <formula>$E366&lt;&gt;"Yes"</formula>
    </cfRule>
  </conditionalFormatting>
  <conditionalFormatting sqref="AA366">
    <cfRule type="expression" dxfId="1468" priority="1380">
      <formula>$E$7&lt;&gt;"Yes"</formula>
    </cfRule>
  </conditionalFormatting>
  <conditionalFormatting sqref="AA366">
    <cfRule type="expression" dxfId="1467" priority="1379">
      <formula>$E366&lt;&gt;"Yes"</formula>
    </cfRule>
  </conditionalFormatting>
  <conditionalFormatting sqref="Y366">
    <cfRule type="expression" dxfId="1466" priority="1378">
      <formula>$E$7&lt;&gt;"Yes"</formula>
    </cfRule>
  </conditionalFormatting>
  <conditionalFormatting sqref="Y366">
    <cfRule type="expression" dxfId="1465" priority="1377">
      <formula>$E366&lt;&gt;"Yes"</formula>
    </cfRule>
  </conditionalFormatting>
  <conditionalFormatting sqref="O366:P366">
    <cfRule type="expression" dxfId="1464" priority="1376">
      <formula>$E$7&lt;&gt;"Yes"</formula>
    </cfRule>
  </conditionalFormatting>
  <conditionalFormatting sqref="O366:P366">
    <cfRule type="expression" dxfId="1463" priority="1375">
      <formula>$E366&lt;&gt;"Yes"</formula>
    </cfRule>
  </conditionalFormatting>
  <conditionalFormatting sqref="X366">
    <cfRule type="expression" dxfId="1462" priority="1374">
      <formula>$E$7&lt;&gt;"Yes"</formula>
    </cfRule>
  </conditionalFormatting>
  <conditionalFormatting sqref="X366">
    <cfRule type="expression" dxfId="1461" priority="1373">
      <formula>$E366&lt;&gt;"Yes"</formula>
    </cfRule>
  </conditionalFormatting>
  <conditionalFormatting sqref="AD366">
    <cfRule type="expression" dxfId="1460" priority="1372">
      <formula>$E$7&lt;&gt;"Yes"</formula>
    </cfRule>
  </conditionalFormatting>
  <conditionalFormatting sqref="AD366">
    <cfRule type="expression" dxfId="1459" priority="1371">
      <formula>$E366&lt;&gt;"Yes"</formula>
    </cfRule>
  </conditionalFormatting>
  <conditionalFormatting sqref="AC366">
    <cfRule type="expression" dxfId="1458" priority="1370">
      <formula>$E$7&lt;&gt;"Yes"</formula>
    </cfRule>
  </conditionalFormatting>
  <conditionalFormatting sqref="AC366">
    <cfRule type="expression" dxfId="1457" priority="1369">
      <formula>$E366&lt;&gt;"Yes"</formula>
    </cfRule>
  </conditionalFormatting>
  <conditionalFormatting sqref="R366:V366">
    <cfRule type="expression" dxfId="1456" priority="1368">
      <formula>$E$7&lt;&gt;"Yes"</formula>
    </cfRule>
  </conditionalFormatting>
  <conditionalFormatting sqref="R366:V366">
    <cfRule type="expression" dxfId="1455" priority="1367">
      <formula>$E366&lt;&gt;"Yes"</formula>
    </cfRule>
  </conditionalFormatting>
  <conditionalFormatting sqref="S366">
    <cfRule type="expression" dxfId="1454" priority="1366">
      <formula>$E$7&lt;&gt;"Yes"</formula>
    </cfRule>
  </conditionalFormatting>
  <conditionalFormatting sqref="S366">
    <cfRule type="expression" dxfId="1453" priority="1365">
      <formula>$E366&lt;&gt;"Yes"</formula>
    </cfRule>
  </conditionalFormatting>
  <conditionalFormatting sqref="T366">
    <cfRule type="expression" dxfId="1452" priority="1364">
      <formula>$E$7&lt;&gt;"Yes"</formula>
    </cfRule>
  </conditionalFormatting>
  <conditionalFormatting sqref="T366">
    <cfRule type="expression" dxfId="1451" priority="1363">
      <formula>$E366&lt;&gt;"Yes"</formula>
    </cfRule>
  </conditionalFormatting>
  <conditionalFormatting sqref="U366">
    <cfRule type="expression" dxfId="1450" priority="1362">
      <formula>$E$7&lt;&gt;"Yes"</formula>
    </cfRule>
  </conditionalFormatting>
  <conditionalFormatting sqref="U366">
    <cfRule type="expression" dxfId="1449" priority="1361">
      <formula>$E366&lt;&gt;"Yes"</formula>
    </cfRule>
  </conditionalFormatting>
  <conditionalFormatting sqref="V366">
    <cfRule type="expression" dxfId="1448" priority="1360">
      <formula>$E$7&lt;&gt;"Yes"</formula>
    </cfRule>
  </conditionalFormatting>
  <conditionalFormatting sqref="V366">
    <cfRule type="expression" dxfId="1447" priority="1359">
      <formula>$E366&lt;&gt;"Yes"</formula>
    </cfRule>
  </conditionalFormatting>
  <conditionalFormatting sqref="R366:V366">
    <cfRule type="expression" dxfId="1446" priority="1358">
      <formula>$E$7&lt;&gt;"Yes"</formula>
    </cfRule>
  </conditionalFormatting>
  <conditionalFormatting sqref="R366:V366">
    <cfRule type="expression" dxfId="1445" priority="1357">
      <formula>$E366&lt;&gt;"Yes"</formula>
    </cfRule>
  </conditionalFormatting>
  <conditionalFormatting sqref="Z366">
    <cfRule type="expression" dxfId="1444" priority="1356">
      <formula>$E$7&lt;&gt;"Yes"</formula>
    </cfRule>
  </conditionalFormatting>
  <conditionalFormatting sqref="Z366">
    <cfRule type="expression" dxfId="1443" priority="1355">
      <formula>$E366&lt;&gt;"Yes"</formula>
    </cfRule>
  </conditionalFormatting>
  <conditionalFormatting sqref="AN366:AO366">
    <cfRule type="expression" dxfId="1442" priority="1354">
      <formula>$E$7&lt;&gt;"Yes"</formula>
    </cfRule>
  </conditionalFormatting>
  <conditionalFormatting sqref="AN366:AO366">
    <cfRule type="expression" dxfId="1441" priority="1353">
      <formula>$E366&lt;&gt;"Yes"</formula>
    </cfRule>
  </conditionalFormatting>
  <conditionalFormatting sqref="AI366">
    <cfRule type="expression" dxfId="1440" priority="1352">
      <formula>$E$7&lt;&gt;"Yes"</formula>
    </cfRule>
  </conditionalFormatting>
  <conditionalFormatting sqref="AI366">
    <cfRule type="expression" dxfId="1439" priority="1351">
      <formula>$E366&lt;&gt;"Yes"</formula>
    </cfRule>
  </conditionalFormatting>
  <conditionalFormatting sqref="Q365 Y365 AF365:AH365 AJ365:AK365">
    <cfRule type="expression" dxfId="1438" priority="1350">
      <formula>$E$7&lt;&gt;"Yes"</formula>
    </cfRule>
  </conditionalFormatting>
  <conditionalFormatting sqref="Q365 Y365 AF365:AH365 AJ365:AK365">
    <cfRule type="expression" dxfId="1437" priority="1349">
      <formula>$E365&lt;&gt;"Yes"</formula>
    </cfRule>
  </conditionalFormatting>
  <conditionalFormatting sqref="G365">
    <cfRule type="expression" dxfId="1436" priority="1346">
      <formula>$E$7&lt;&gt;"Yes"</formula>
    </cfRule>
  </conditionalFormatting>
  <conditionalFormatting sqref="M365 F365:J365 Q365">
    <cfRule type="expression" dxfId="1435" priority="1348">
      <formula>$E$7&lt;&gt;"Yes"</formula>
    </cfRule>
  </conditionalFormatting>
  <conditionalFormatting sqref="M365 F365:J365 Q365">
    <cfRule type="expression" dxfId="1434" priority="1347">
      <formula>$E365&lt;&gt;"Yes"</formula>
    </cfRule>
  </conditionalFormatting>
  <conditionalFormatting sqref="K365:L365">
    <cfRule type="expression" dxfId="1433" priority="1345">
      <formula>$E$7&lt;&gt;"Yes"</formula>
    </cfRule>
  </conditionalFormatting>
  <conditionalFormatting sqref="K365:L365">
    <cfRule type="expression" dxfId="1432" priority="1344">
      <formula>$E365&lt;&gt;"Yes"</formula>
    </cfRule>
  </conditionalFormatting>
  <conditionalFormatting sqref="W365">
    <cfRule type="expression" dxfId="1431" priority="1343">
      <formula>$E$7&lt;&gt;"Yes"</formula>
    </cfRule>
  </conditionalFormatting>
  <conditionalFormatting sqref="W365">
    <cfRule type="expression" dxfId="1430" priority="1342">
      <formula>$E365&lt;&gt;"Yes"</formula>
    </cfRule>
  </conditionalFormatting>
  <conditionalFormatting sqref="AE365">
    <cfRule type="expression" dxfId="1429" priority="1341">
      <formula>$E$7&lt;&gt;"Yes"</formula>
    </cfRule>
  </conditionalFormatting>
  <conditionalFormatting sqref="AE365">
    <cfRule type="expression" dxfId="1428" priority="1340">
      <formula>$E365&lt;&gt;"Yes"</formula>
    </cfRule>
  </conditionalFormatting>
  <conditionalFormatting sqref="N365">
    <cfRule type="expression" dxfId="1427" priority="1339">
      <formula>$E$7&lt;&gt;"Yes"</formula>
    </cfRule>
  </conditionalFormatting>
  <conditionalFormatting sqref="N365">
    <cfRule type="expression" dxfId="1426" priority="1338">
      <formula>$E365&lt;&gt;"Yes"</formula>
    </cfRule>
  </conditionalFormatting>
  <conditionalFormatting sqref="AB365">
    <cfRule type="expression" dxfId="1425" priority="1337">
      <formula>$E$7&lt;&gt;"Yes"</formula>
    </cfRule>
  </conditionalFormatting>
  <conditionalFormatting sqref="AB365">
    <cfRule type="expression" dxfId="1424" priority="1336">
      <formula>$E365&lt;&gt;"Yes"</formula>
    </cfRule>
  </conditionalFormatting>
  <conditionalFormatting sqref="AA365">
    <cfRule type="expression" dxfId="1423" priority="1335">
      <formula>$E$7&lt;&gt;"Yes"</formula>
    </cfRule>
  </conditionalFormatting>
  <conditionalFormatting sqref="AA365">
    <cfRule type="expression" dxfId="1422" priority="1334">
      <formula>$E365&lt;&gt;"Yes"</formula>
    </cfRule>
  </conditionalFormatting>
  <conditionalFormatting sqref="Y365">
    <cfRule type="expression" dxfId="1421" priority="1333">
      <formula>$E$7&lt;&gt;"Yes"</formula>
    </cfRule>
  </conditionalFormatting>
  <conditionalFormatting sqref="Y365">
    <cfRule type="expression" dxfId="1420" priority="1332">
      <formula>$E365&lt;&gt;"Yes"</formula>
    </cfRule>
  </conditionalFormatting>
  <conditionalFormatting sqref="O365:P365">
    <cfRule type="expression" dxfId="1419" priority="1331">
      <formula>$E$7&lt;&gt;"Yes"</formula>
    </cfRule>
  </conditionalFormatting>
  <conditionalFormatting sqref="O365:P365">
    <cfRule type="expression" dxfId="1418" priority="1330">
      <formula>$E365&lt;&gt;"Yes"</formula>
    </cfRule>
  </conditionalFormatting>
  <conditionalFormatting sqref="X365">
    <cfRule type="expression" dxfId="1417" priority="1329">
      <formula>$E$7&lt;&gt;"Yes"</formula>
    </cfRule>
  </conditionalFormatting>
  <conditionalFormatting sqref="X365">
    <cfRule type="expression" dxfId="1416" priority="1328">
      <formula>$E365&lt;&gt;"Yes"</formula>
    </cfRule>
  </conditionalFormatting>
  <conditionalFormatting sqref="AD365">
    <cfRule type="expression" dxfId="1415" priority="1327">
      <formula>$E$7&lt;&gt;"Yes"</formula>
    </cfRule>
  </conditionalFormatting>
  <conditionalFormatting sqref="AD365">
    <cfRule type="expression" dxfId="1414" priority="1326">
      <formula>$E365&lt;&gt;"Yes"</formula>
    </cfRule>
  </conditionalFormatting>
  <conditionalFormatting sqref="AC365">
    <cfRule type="expression" dxfId="1413" priority="1325">
      <formula>$E$7&lt;&gt;"Yes"</formula>
    </cfRule>
  </conditionalFormatting>
  <conditionalFormatting sqref="AC365">
    <cfRule type="expression" dxfId="1412" priority="1324">
      <formula>$E365&lt;&gt;"Yes"</formula>
    </cfRule>
  </conditionalFormatting>
  <conditionalFormatting sqref="R365:V365">
    <cfRule type="expression" dxfId="1411" priority="1323">
      <formula>$E$7&lt;&gt;"Yes"</formula>
    </cfRule>
  </conditionalFormatting>
  <conditionalFormatting sqref="R365:V365">
    <cfRule type="expression" dxfId="1410" priority="1322">
      <formula>$E365&lt;&gt;"Yes"</formula>
    </cfRule>
  </conditionalFormatting>
  <conditionalFormatting sqref="S365">
    <cfRule type="expression" dxfId="1409" priority="1321">
      <formula>$E$7&lt;&gt;"Yes"</formula>
    </cfRule>
  </conditionalFormatting>
  <conditionalFormatting sqref="S365">
    <cfRule type="expression" dxfId="1408" priority="1320">
      <formula>$E365&lt;&gt;"Yes"</formula>
    </cfRule>
  </conditionalFormatting>
  <conditionalFormatting sqref="T365">
    <cfRule type="expression" dxfId="1407" priority="1319">
      <formula>$E$7&lt;&gt;"Yes"</formula>
    </cfRule>
  </conditionalFormatting>
  <conditionalFormatting sqref="T365">
    <cfRule type="expression" dxfId="1406" priority="1318">
      <formula>$E365&lt;&gt;"Yes"</formula>
    </cfRule>
  </conditionalFormatting>
  <conditionalFormatting sqref="U365">
    <cfRule type="expression" dxfId="1405" priority="1317">
      <formula>$E$7&lt;&gt;"Yes"</formula>
    </cfRule>
  </conditionalFormatting>
  <conditionalFormatting sqref="U365">
    <cfRule type="expression" dxfId="1404" priority="1316">
      <formula>$E365&lt;&gt;"Yes"</formula>
    </cfRule>
  </conditionalFormatting>
  <conditionalFormatting sqref="V365">
    <cfRule type="expression" dxfId="1403" priority="1315">
      <formula>$E$7&lt;&gt;"Yes"</formula>
    </cfRule>
  </conditionalFormatting>
  <conditionalFormatting sqref="V365">
    <cfRule type="expression" dxfId="1402" priority="1314">
      <formula>$E365&lt;&gt;"Yes"</formula>
    </cfRule>
  </conditionalFormatting>
  <conditionalFormatting sqref="R365:V365">
    <cfRule type="expression" dxfId="1401" priority="1313">
      <formula>$E$7&lt;&gt;"Yes"</formula>
    </cfRule>
  </conditionalFormatting>
  <conditionalFormatting sqref="R365:V365">
    <cfRule type="expression" dxfId="1400" priority="1312">
      <formula>$E365&lt;&gt;"Yes"</formula>
    </cfRule>
  </conditionalFormatting>
  <conditionalFormatting sqref="Z365">
    <cfRule type="expression" dxfId="1399" priority="1311">
      <formula>$E$7&lt;&gt;"Yes"</formula>
    </cfRule>
  </conditionalFormatting>
  <conditionalFormatting sqref="Z365">
    <cfRule type="expression" dxfId="1398" priority="1310">
      <formula>$E365&lt;&gt;"Yes"</formula>
    </cfRule>
  </conditionalFormatting>
  <conditionalFormatting sqref="AN365:AO365">
    <cfRule type="expression" dxfId="1397" priority="1309">
      <formula>$E$7&lt;&gt;"Yes"</formula>
    </cfRule>
  </conditionalFormatting>
  <conditionalFormatting sqref="AN365:AO365">
    <cfRule type="expression" dxfId="1396" priority="1308">
      <formula>$E365&lt;&gt;"Yes"</formula>
    </cfRule>
  </conditionalFormatting>
  <conditionalFormatting sqref="AI365">
    <cfRule type="expression" dxfId="1395" priority="1307">
      <formula>$E$7&lt;&gt;"Yes"</formula>
    </cfRule>
  </conditionalFormatting>
  <conditionalFormatting sqref="AI365">
    <cfRule type="expression" dxfId="1394" priority="1306">
      <formula>$E365&lt;&gt;"Yes"</formula>
    </cfRule>
  </conditionalFormatting>
  <conditionalFormatting sqref="Q368 Y368 AF368:AH368 AJ368:AK368">
    <cfRule type="expression" dxfId="1393" priority="1305">
      <formula>$E$7&lt;&gt;"Yes"</formula>
    </cfRule>
  </conditionalFormatting>
  <conditionalFormatting sqref="Q368 Y368 AF368:AH368 AJ368:AK368">
    <cfRule type="expression" dxfId="1392" priority="1304">
      <formula>$E368&lt;&gt;"Yes"</formula>
    </cfRule>
  </conditionalFormatting>
  <conditionalFormatting sqref="G368">
    <cfRule type="expression" dxfId="1391" priority="1301">
      <formula>$E$7&lt;&gt;"Yes"</formula>
    </cfRule>
  </conditionalFormatting>
  <conditionalFormatting sqref="M368 F368:J368 Q368">
    <cfRule type="expression" dxfId="1390" priority="1303">
      <formula>$E$7&lt;&gt;"Yes"</formula>
    </cfRule>
  </conditionalFormatting>
  <conditionalFormatting sqref="M368 F368:J368 Q368">
    <cfRule type="expression" dxfId="1389" priority="1302">
      <formula>$E368&lt;&gt;"Yes"</formula>
    </cfRule>
  </conditionalFormatting>
  <conditionalFormatting sqref="K368:L368">
    <cfRule type="expression" dxfId="1388" priority="1300">
      <formula>$E$7&lt;&gt;"Yes"</formula>
    </cfRule>
  </conditionalFormatting>
  <conditionalFormatting sqref="K368:L368">
    <cfRule type="expression" dxfId="1387" priority="1299">
      <formula>$E368&lt;&gt;"Yes"</formula>
    </cfRule>
  </conditionalFormatting>
  <conditionalFormatting sqref="W368">
    <cfRule type="expression" dxfId="1386" priority="1298">
      <formula>$E$7&lt;&gt;"Yes"</formula>
    </cfRule>
  </conditionalFormatting>
  <conditionalFormatting sqref="W368">
    <cfRule type="expression" dxfId="1385" priority="1297">
      <formula>$E368&lt;&gt;"Yes"</formula>
    </cfRule>
  </conditionalFormatting>
  <conditionalFormatting sqref="AE368">
    <cfRule type="expression" dxfId="1384" priority="1296">
      <formula>$E$7&lt;&gt;"Yes"</formula>
    </cfRule>
  </conditionalFormatting>
  <conditionalFormatting sqref="AE368">
    <cfRule type="expression" dxfId="1383" priority="1295">
      <formula>$E368&lt;&gt;"Yes"</formula>
    </cfRule>
  </conditionalFormatting>
  <conditionalFormatting sqref="N368">
    <cfRule type="expression" dxfId="1382" priority="1294">
      <formula>$E$7&lt;&gt;"Yes"</formula>
    </cfRule>
  </conditionalFormatting>
  <conditionalFormatting sqref="N368">
    <cfRule type="expression" dxfId="1381" priority="1293">
      <formula>$E368&lt;&gt;"Yes"</formula>
    </cfRule>
  </conditionalFormatting>
  <conditionalFormatting sqref="AB368">
    <cfRule type="expression" dxfId="1380" priority="1292">
      <formula>$E$7&lt;&gt;"Yes"</formula>
    </cfRule>
  </conditionalFormatting>
  <conditionalFormatting sqref="AB368">
    <cfRule type="expression" dxfId="1379" priority="1291">
      <formula>$E368&lt;&gt;"Yes"</formula>
    </cfRule>
  </conditionalFormatting>
  <conditionalFormatting sqref="AA368">
    <cfRule type="expression" dxfId="1378" priority="1290">
      <formula>$E$7&lt;&gt;"Yes"</formula>
    </cfRule>
  </conditionalFormatting>
  <conditionalFormatting sqref="AA368">
    <cfRule type="expression" dxfId="1377" priority="1289">
      <formula>$E368&lt;&gt;"Yes"</formula>
    </cfRule>
  </conditionalFormatting>
  <conditionalFormatting sqref="Y368">
    <cfRule type="expression" dxfId="1376" priority="1288">
      <formula>$E$7&lt;&gt;"Yes"</formula>
    </cfRule>
  </conditionalFormatting>
  <conditionalFormatting sqref="Y368">
    <cfRule type="expression" dxfId="1375" priority="1287">
      <formula>$E368&lt;&gt;"Yes"</formula>
    </cfRule>
  </conditionalFormatting>
  <conditionalFormatting sqref="O368:P368">
    <cfRule type="expression" dxfId="1374" priority="1286">
      <formula>$E$7&lt;&gt;"Yes"</formula>
    </cfRule>
  </conditionalFormatting>
  <conditionalFormatting sqref="O368:P368">
    <cfRule type="expression" dxfId="1373" priority="1285">
      <formula>$E368&lt;&gt;"Yes"</formula>
    </cfRule>
  </conditionalFormatting>
  <conditionalFormatting sqref="X368">
    <cfRule type="expression" dxfId="1372" priority="1284">
      <formula>$E$7&lt;&gt;"Yes"</formula>
    </cfRule>
  </conditionalFormatting>
  <conditionalFormatting sqref="X368">
    <cfRule type="expression" dxfId="1371" priority="1283">
      <formula>$E368&lt;&gt;"Yes"</formula>
    </cfRule>
  </conditionalFormatting>
  <conditionalFormatting sqref="AD368">
    <cfRule type="expression" dxfId="1370" priority="1282">
      <formula>$E$7&lt;&gt;"Yes"</formula>
    </cfRule>
  </conditionalFormatting>
  <conditionalFormatting sqref="AD368">
    <cfRule type="expression" dxfId="1369" priority="1281">
      <formula>$E368&lt;&gt;"Yes"</formula>
    </cfRule>
  </conditionalFormatting>
  <conditionalFormatting sqref="AC368">
    <cfRule type="expression" dxfId="1368" priority="1280">
      <formula>$E$7&lt;&gt;"Yes"</formula>
    </cfRule>
  </conditionalFormatting>
  <conditionalFormatting sqref="AC368">
    <cfRule type="expression" dxfId="1367" priority="1279">
      <formula>$E368&lt;&gt;"Yes"</formula>
    </cfRule>
  </conditionalFormatting>
  <conditionalFormatting sqref="R368:V368">
    <cfRule type="expression" dxfId="1366" priority="1278">
      <formula>$E$7&lt;&gt;"Yes"</formula>
    </cfRule>
  </conditionalFormatting>
  <conditionalFormatting sqref="R368:V368">
    <cfRule type="expression" dxfId="1365" priority="1277">
      <formula>$E368&lt;&gt;"Yes"</formula>
    </cfRule>
  </conditionalFormatting>
  <conditionalFormatting sqref="S368">
    <cfRule type="expression" dxfId="1364" priority="1276">
      <formula>$E$7&lt;&gt;"Yes"</formula>
    </cfRule>
  </conditionalFormatting>
  <conditionalFormatting sqref="S368">
    <cfRule type="expression" dxfId="1363" priority="1275">
      <formula>$E368&lt;&gt;"Yes"</formula>
    </cfRule>
  </conditionalFormatting>
  <conditionalFormatting sqref="T368">
    <cfRule type="expression" dxfId="1362" priority="1274">
      <formula>$E$7&lt;&gt;"Yes"</formula>
    </cfRule>
  </conditionalFormatting>
  <conditionalFormatting sqref="T368">
    <cfRule type="expression" dxfId="1361" priority="1273">
      <formula>$E368&lt;&gt;"Yes"</formula>
    </cfRule>
  </conditionalFormatting>
  <conditionalFormatting sqref="U368">
    <cfRule type="expression" dxfId="1360" priority="1272">
      <formula>$E$7&lt;&gt;"Yes"</formula>
    </cfRule>
  </conditionalFormatting>
  <conditionalFormatting sqref="U368">
    <cfRule type="expression" dxfId="1359" priority="1271">
      <formula>$E368&lt;&gt;"Yes"</formula>
    </cfRule>
  </conditionalFormatting>
  <conditionalFormatting sqref="V368">
    <cfRule type="expression" dxfId="1358" priority="1270">
      <formula>$E$7&lt;&gt;"Yes"</formula>
    </cfRule>
  </conditionalFormatting>
  <conditionalFormatting sqref="V368">
    <cfRule type="expression" dxfId="1357" priority="1269">
      <formula>$E368&lt;&gt;"Yes"</formula>
    </cfRule>
  </conditionalFormatting>
  <conditionalFormatting sqref="R368:V368">
    <cfRule type="expression" dxfId="1356" priority="1268">
      <formula>$E$7&lt;&gt;"Yes"</formula>
    </cfRule>
  </conditionalFormatting>
  <conditionalFormatting sqref="R368:V368">
    <cfRule type="expression" dxfId="1355" priority="1267">
      <formula>$E368&lt;&gt;"Yes"</formula>
    </cfRule>
  </conditionalFormatting>
  <conditionalFormatting sqref="Z368">
    <cfRule type="expression" dxfId="1354" priority="1266">
      <formula>$E$7&lt;&gt;"Yes"</formula>
    </cfRule>
  </conditionalFormatting>
  <conditionalFormatting sqref="Z368">
    <cfRule type="expression" dxfId="1353" priority="1265">
      <formula>$E368&lt;&gt;"Yes"</formula>
    </cfRule>
  </conditionalFormatting>
  <conditionalFormatting sqref="AN368:AO368">
    <cfRule type="expression" dxfId="1352" priority="1264">
      <formula>$E$7&lt;&gt;"Yes"</formula>
    </cfRule>
  </conditionalFormatting>
  <conditionalFormatting sqref="AN368:AO368">
    <cfRule type="expression" dxfId="1351" priority="1263">
      <formula>$E368&lt;&gt;"Yes"</formula>
    </cfRule>
  </conditionalFormatting>
  <conditionalFormatting sqref="AI368">
    <cfRule type="expression" dxfId="1350" priority="1262">
      <formula>$E$7&lt;&gt;"Yes"</formula>
    </cfRule>
  </conditionalFormatting>
  <conditionalFormatting sqref="AI368">
    <cfRule type="expression" dxfId="1349" priority="1261">
      <formula>$E368&lt;&gt;"Yes"</formula>
    </cfRule>
  </conditionalFormatting>
  <conditionalFormatting sqref="Q367 Y367 AF367:AH367 AJ367:AK367">
    <cfRule type="expression" dxfId="1348" priority="1260">
      <formula>$E$7&lt;&gt;"Yes"</formula>
    </cfRule>
  </conditionalFormatting>
  <conditionalFormatting sqref="Q367 Y367 AF367:AH367 AJ367:AK367">
    <cfRule type="expression" dxfId="1347" priority="1259">
      <formula>$E367&lt;&gt;"Yes"</formula>
    </cfRule>
  </conditionalFormatting>
  <conditionalFormatting sqref="G367">
    <cfRule type="expression" dxfId="1346" priority="1256">
      <formula>$E$7&lt;&gt;"Yes"</formula>
    </cfRule>
  </conditionalFormatting>
  <conditionalFormatting sqref="M367 F367:J367 Q367">
    <cfRule type="expression" dxfId="1345" priority="1258">
      <formula>$E$7&lt;&gt;"Yes"</formula>
    </cfRule>
  </conditionalFormatting>
  <conditionalFormatting sqref="M367 F367:J367 Q367">
    <cfRule type="expression" dxfId="1344" priority="1257">
      <formula>$E367&lt;&gt;"Yes"</formula>
    </cfRule>
  </conditionalFormatting>
  <conditionalFormatting sqref="K367:L367">
    <cfRule type="expression" dxfId="1343" priority="1255">
      <formula>$E$7&lt;&gt;"Yes"</formula>
    </cfRule>
  </conditionalFormatting>
  <conditionalFormatting sqref="K367:L367">
    <cfRule type="expression" dxfId="1342" priority="1254">
      <formula>$E367&lt;&gt;"Yes"</formula>
    </cfRule>
  </conditionalFormatting>
  <conditionalFormatting sqref="W367">
    <cfRule type="expression" dxfId="1341" priority="1253">
      <formula>$E$7&lt;&gt;"Yes"</formula>
    </cfRule>
  </conditionalFormatting>
  <conditionalFormatting sqref="W367">
    <cfRule type="expression" dxfId="1340" priority="1252">
      <formula>$E367&lt;&gt;"Yes"</formula>
    </cfRule>
  </conditionalFormatting>
  <conditionalFormatting sqref="AE367">
    <cfRule type="expression" dxfId="1339" priority="1251">
      <formula>$E$7&lt;&gt;"Yes"</formula>
    </cfRule>
  </conditionalFormatting>
  <conditionalFormatting sqref="AE367">
    <cfRule type="expression" dxfId="1338" priority="1250">
      <formula>$E367&lt;&gt;"Yes"</formula>
    </cfRule>
  </conditionalFormatting>
  <conditionalFormatting sqref="N367">
    <cfRule type="expression" dxfId="1337" priority="1249">
      <formula>$E$7&lt;&gt;"Yes"</formula>
    </cfRule>
  </conditionalFormatting>
  <conditionalFormatting sqref="N367">
    <cfRule type="expression" dxfId="1336" priority="1248">
      <formula>$E367&lt;&gt;"Yes"</formula>
    </cfRule>
  </conditionalFormatting>
  <conditionalFormatting sqref="AB367">
    <cfRule type="expression" dxfId="1335" priority="1247">
      <formula>$E$7&lt;&gt;"Yes"</formula>
    </cfRule>
  </conditionalFormatting>
  <conditionalFormatting sqref="AB367">
    <cfRule type="expression" dxfId="1334" priority="1246">
      <formula>$E367&lt;&gt;"Yes"</formula>
    </cfRule>
  </conditionalFormatting>
  <conditionalFormatting sqref="AA367">
    <cfRule type="expression" dxfId="1333" priority="1245">
      <formula>$E$7&lt;&gt;"Yes"</formula>
    </cfRule>
  </conditionalFormatting>
  <conditionalFormatting sqref="AA367">
    <cfRule type="expression" dxfId="1332" priority="1244">
      <formula>$E367&lt;&gt;"Yes"</formula>
    </cfRule>
  </conditionalFormatting>
  <conditionalFormatting sqref="Y367">
    <cfRule type="expression" dxfId="1331" priority="1243">
      <formula>$E$7&lt;&gt;"Yes"</formula>
    </cfRule>
  </conditionalFormatting>
  <conditionalFormatting sqref="Y367">
    <cfRule type="expression" dxfId="1330" priority="1242">
      <formula>$E367&lt;&gt;"Yes"</formula>
    </cfRule>
  </conditionalFormatting>
  <conditionalFormatting sqref="O367:P367">
    <cfRule type="expression" dxfId="1329" priority="1241">
      <formula>$E$7&lt;&gt;"Yes"</formula>
    </cfRule>
  </conditionalFormatting>
  <conditionalFormatting sqref="O367:P367">
    <cfRule type="expression" dxfId="1328" priority="1240">
      <formula>$E367&lt;&gt;"Yes"</formula>
    </cfRule>
  </conditionalFormatting>
  <conditionalFormatting sqref="X367">
    <cfRule type="expression" dxfId="1327" priority="1239">
      <formula>$E$7&lt;&gt;"Yes"</formula>
    </cfRule>
  </conditionalFormatting>
  <conditionalFormatting sqref="X367">
    <cfRule type="expression" dxfId="1326" priority="1238">
      <formula>$E367&lt;&gt;"Yes"</formula>
    </cfRule>
  </conditionalFormatting>
  <conditionalFormatting sqref="AD367">
    <cfRule type="expression" dxfId="1325" priority="1237">
      <formula>$E$7&lt;&gt;"Yes"</formula>
    </cfRule>
  </conditionalFormatting>
  <conditionalFormatting sqref="AD367">
    <cfRule type="expression" dxfId="1324" priority="1236">
      <formula>$E367&lt;&gt;"Yes"</formula>
    </cfRule>
  </conditionalFormatting>
  <conditionalFormatting sqref="AC367">
    <cfRule type="expression" dxfId="1323" priority="1235">
      <formula>$E$7&lt;&gt;"Yes"</formula>
    </cfRule>
  </conditionalFormatting>
  <conditionalFormatting sqref="AC367">
    <cfRule type="expression" dxfId="1322" priority="1234">
      <formula>$E367&lt;&gt;"Yes"</formula>
    </cfRule>
  </conditionalFormatting>
  <conditionalFormatting sqref="R367:V367">
    <cfRule type="expression" dxfId="1321" priority="1233">
      <formula>$E$7&lt;&gt;"Yes"</formula>
    </cfRule>
  </conditionalFormatting>
  <conditionalFormatting sqref="R367:V367">
    <cfRule type="expression" dxfId="1320" priority="1232">
      <formula>$E367&lt;&gt;"Yes"</formula>
    </cfRule>
  </conditionalFormatting>
  <conditionalFormatting sqref="S367">
    <cfRule type="expression" dxfId="1319" priority="1231">
      <formula>$E$7&lt;&gt;"Yes"</formula>
    </cfRule>
  </conditionalFormatting>
  <conditionalFormatting sqref="S367">
    <cfRule type="expression" dxfId="1318" priority="1230">
      <formula>$E367&lt;&gt;"Yes"</formula>
    </cfRule>
  </conditionalFormatting>
  <conditionalFormatting sqref="T367">
    <cfRule type="expression" dxfId="1317" priority="1229">
      <formula>$E$7&lt;&gt;"Yes"</formula>
    </cfRule>
  </conditionalFormatting>
  <conditionalFormatting sqref="T367">
    <cfRule type="expression" dxfId="1316" priority="1228">
      <formula>$E367&lt;&gt;"Yes"</formula>
    </cfRule>
  </conditionalFormatting>
  <conditionalFormatting sqref="U367">
    <cfRule type="expression" dxfId="1315" priority="1227">
      <formula>$E$7&lt;&gt;"Yes"</formula>
    </cfRule>
  </conditionalFormatting>
  <conditionalFormatting sqref="U367">
    <cfRule type="expression" dxfId="1314" priority="1226">
      <formula>$E367&lt;&gt;"Yes"</formula>
    </cfRule>
  </conditionalFormatting>
  <conditionalFormatting sqref="V367">
    <cfRule type="expression" dxfId="1313" priority="1225">
      <formula>$E$7&lt;&gt;"Yes"</formula>
    </cfRule>
  </conditionalFormatting>
  <conditionalFormatting sqref="V367">
    <cfRule type="expression" dxfId="1312" priority="1224">
      <formula>$E367&lt;&gt;"Yes"</formula>
    </cfRule>
  </conditionalFormatting>
  <conditionalFormatting sqref="R367:V367">
    <cfRule type="expression" dxfId="1311" priority="1223">
      <formula>$E$7&lt;&gt;"Yes"</formula>
    </cfRule>
  </conditionalFormatting>
  <conditionalFormatting sqref="R367:V367">
    <cfRule type="expression" dxfId="1310" priority="1222">
      <formula>$E367&lt;&gt;"Yes"</formula>
    </cfRule>
  </conditionalFormatting>
  <conditionalFormatting sqref="Z367">
    <cfRule type="expression" dxfId="1309" priority="1221">
      <formula>$E$7&lt;&gt;"Yes"</formula>
    </cfRule>
  </conditionalFormatting>
  <conditionalFormatting sqref="Z367">
    <cfRule type="expression" dxfId="1308" priority="1220">
      <formula>$E367&lt;&gt;"Yes"</formula>
    </cfRule>
  </conditionalFormatting>
  <conditionalFormatting sqref="AN367:AO367">
    <cfRule type="expression" dxfId="1307" priority="1219">
      <formula>$E$7&lt;&gt;"Yes"</formula>
    </cfRule>
  </conditionalFormatting>
  <conditionalFormatting sqref="AN367:AO367">
    <cfRule type="expression" dxfId="1306" priority="1218">
      <formula>$E367&lt;&gt;"Yes"</formula>
    </cfRule>
  </conditionalFormatting>
  <conditionalFormatting sqref="AI367">
    <cfRule type="expression" dxfId="1305" priority="1217">
      <formula>$E$7&lt;&gt;"Yes"</formula>
    </cfRule>
  </conditionalFormatting>
  <conditionalFormatting sqref="AI367">
    <cfRule type="expression" dxfId="1304" priority="1216">
      <formula>$E367&lt;&gt;"Yes"</formula>
    </cfRule>
  </conditionalFormatting>
  <conditionalFormatting sqref="Q364 Y364 AF364:AH364 AJ364:AK364">
    <cfRule type="expression" dxfId="1303" priority="1215">
      <formula>$E$7&lt;&gt;"Yes"</formula>
    </cfRule>
  </conditionalFormatting>
  <conditionalFormatting sqref="Q364 Y364 AF364:AH364 AJ364:AK364">
    <cfRule type="expression" dxfId="1302" priority="1214">
      <formula>$E364&lt;&gt;"Yes"</formula>
    </cfRule>
  </conditionalFormatting>
  <conditionalFormatting sqref="G364">
    <cfRule type="expression" dxfId="1301" priority="1211">
      <formula>$E$7&lt;&gt;"Yes"</formula>
    </cfRule>
  </conditionalFormatting>
  <conditionalFormatting sqref="M364 F364:J364 Q364">
    <cfRule type="expression" dxfId="1300" priority="1213">
      <formula>$E$7&lt;&gt;"Yes"</formula>
    </cfRule>
  </conditionalFormatting>
  <conditionalFormatting sqref="M364 F364:J364 Q364">
    <cfRule type="expression" dxfId="1299" priority="1212">
      <formula>$E364&lt;&gt;"Yes"</formula>
    </cfRule>
  </conditionalFormatting>
  <conditionalFormatting sqref="K364:L364">
    <cfRule type="expression" dxfId="1298" priority="1210">
      <formula>$E$7&lt;&gt;"Yes"</formula>
    </cfRule>
  </conditionalFormatting>
  <conditionalFormatting sqref="K364:L364">
    <cfRule type="expression" dxfId="1297" priority="1209">
      <formula>$E364&lt;&gt;"Yes"</formula>
    </cfRule>
  </conditionalFormatting>
  <conditionalFormatting sqref="W364">
    <cfRule type="expression" dxfId="1296" priority="1208">
      <formula>$E$7&lt;&gt;"Yes"</formula>
    </cfRule>
  </conditionalFormatting>
  <conditionalFormatting sqref="W364">
    <cfRule type="expression" dxfId="1295" priority="1207">
      <formula>$E364&lt;&gt;"Yes"</formula>
    </cfRule>
  </conditionalFormatting>
  <conditionalFormatting sqref="AE364">
    <cfRule type="expression" dxfId="1294" priority="1206">
      <formula>$E$7&lt;&gt;"Yes"</formula>
    </cfRule>
  </conditionalFormatting>
  <conditionalFormatting sqref="AE364">
    <cfRule type="expression" dxfId="1293" priority="1205">
      <formula>$E364&lt;&gt;"Yes"</formula>
    </cfRule>
  </conditionalFormatting>
  <conditionalFormatting sqref="N364">
    <cfRule type="expression" dxfId="1292" priority="1204">
      <formula>$E$7&lt;&gt;"Yes"</formula>
    </cfRule>
  </conditionalFormatting>
  <conditionalFormatting sqref="N364">
    <cfRule type="expression" dxfId="1291" priority="1203">
      <formula>$E364&lt;&gt;"Yes"</formula>
    </cfRule>
  </conditionalFormatting>
  <conditionalFormatting sqref="AB364">
    <cfRule type="expression" dxfId="1290" priority="1202">
      <formula>$E$7&lt;&gt;"Yes"</formula>
    </cfRule>
  </conditionalFormatting>
  <conditionalFormatting sqref="AB364">
    <cfRule type="expression" dxfId="1289" priority="1201">
      <formula>$E364&lt;&gt;"Yes"</formula>
    </cfRule>
  </conditionalFormatting>
  <conditionalFormatting sqref="AA364">
    <cfRule type="expression" dxfId="1288" priority="1200">
      <formula>$E$7&lt;&gt;"Yes"</formula>
    </cfRule>
  </conditionalFormatting>
  <conditionalFormatting sqref="AA364">
    <cfRule type="expression" dxfId="1287" priority="1199">
      <formula>$E364&lt;&gt;"Yes"</formula>
    </cfRule>
  </conditionalFormatting>
  <conditionalFormatting sqref="Y364">
    <cfRule type="expression" dxfId="1286" priority="1198">
      <formula>$E$7&lt;&gt;"Yes"</formula>
    </cfRule>
  </conditionalFormatting>
  <conditionalFormatting sqref="Y364">
    <cfRule type="expression" dxfId="1285" priority="1197">
      <formula>$E364&lt;&gt;"Yes"</formula>
    </cfRule>
  </conditionalFormatting>
  <conditionalFormatting sqref="O364:P364">
    <cfRule type="expression" dxfId="1284" priority="1196">
      <formula>$E$7&lt;&gt;"Yes"</formula>
    </cfRule>
  </conditionalFormatting>
  <conditionalFormatting sqref="O364:P364">
    <cfRule type="expression" dxfId="1283" priority="1195">
      <formula>$E364&lt;&gt;"Yes"</formula>
    </cfRule>
  </conditionalFormatting>
  <conditionalFormatting sqref="X364">
    <cfRule type="expression" dxfId="1282" priority="1194">
      <formula>$E$7&lt;&gt;"Yes"</formula>
    </cfRule>
  </conditionalFormatting>
  <conditionalFormatting sqref="X364">
    <cfRule type="expression" dxfId="1281" priority="1193">
      <formula>$E364&lt;&gt;"Yes"</formula>
    </cfRule>
  </conditionalFormatting>
  <conditionalFormatting sqref="AD364">
    <cfRule type="expression" dxfId="1280" priority="1192">
      <formula>$E$7&lt;&gt;"Yes"</formula>
    </cfRule>
  </conditionalFormatting>
  <conditionalFormatting sqref="AD364">
    <cfRule type="expression" dxfId="1279" priority="1191">
      <formula>$E364&lt;&gt;"Yes"</formula>
    </cfRule>
  </conditionalFormatting>
  <conditionalFormatting sqref="AC364">
    <cfRule type="expression" dxfId="1278" priority="1190">
      <formula>$E$7&lt;&gt;"Yes"</formula>
    </cfRule>
  </conditionalFormatting>
  <conditionalFormatting sqref="AC364">
    <cfRule type="expression" dxfId="1277" priority="1189">
      <formula>$E364&lt;&gt;"Yes"</formula>
    </cfRule>
  </conditionalFormatting>
  <conditionalFormatting sqref="R364:V364">
    <cfRule type="expression" dxfId="1276" priority="1188">
      <formula>$E$7&lt;&gt;"Yes"</formula>
    </cfRule>
  </conditionalFormatting>
  <conditionalFormatting sqref="R364:V364">
    <cfRule type="expression" dxfId="1275" priority="1187">
      <formula>$E364&lt;&gt;"Yes"</formula>
    </cfRule>
  </conditionalFormatting>
  <conditionalFormatting sqref="S364">
    <cfRule type="expression" dxfId="1274" priority="1186">
      <formula>$E$7&lt;&gt;"Yes"</formula>
    </cfRule>
  </conditionalFormatting>
  <conditionalFormatting sqref="S364">
    <cfRule type="expression" dxfId="1273" priority="1185">
      <formula>$E364&lt;&gt;"Yes"</formula>
    </cfRule>
  </conditionalFormatting>
  <conditionalFormatting sqref="T364">
    <cfRule type="expression" dxfId="1272" priority="1184">
      <formula>$E$7&lt;&gt;"Yes"</formula>
    </cfRule>
  </conditionalFormatting>
  <conditionalFormatting sqref="T364">
    <cfRule type="expression" dxfId="1271" priority="1183">
      <formula>$E364&lt;&gt;"Yes"</formula>
    </cfRule>
  </conditionalFormatting>
  <conditionalFormatting sqref="U364">
    <cfRule type="expression" dxfId="1270" priority="1182">
      <formula>$E$7&lt;&gt;"Yes"</formula>
    </cfRule>
  </conditionalFormatting>
  <conditionalFormatting sqref="U364">
    <cfRule type="expression" dxfId="1269" priority="1181">
      <formula>$E364&lt;&gt;"Yes"</formula>
    </cfRule>
  </conditionalFormatting>
  <conditionalFormatting sqref="V364">
    <cfRule type="expression" dxfId="1268" priority="1180">
      <formula>$E$7&lt;&gt;"Yes"</formula>
    </cfRule>
  </conditionalFormatting>
  <conditionalFormatting sqref="V364">
    <cfRule type="expression" dxfId="1267" priority="1179">
      <formula>$E364&lt;&gt;"Yes"</formula>
    </cfRule>
  </conditionalFormatting>
  <conditionalFormatting sqref="R364:V364">
    <cfRule type="expression" dxfId="1266" priority="1178">
      <formula>$E$7&lt;&gt;"Yes"</formula>
    </cfRule>
  </conditionalFormatting>
  <conditionalFormatting sqref="R364:V364">
    <cfRule type="expression" dxfId="1265" priority="1177">
      <formula>$E364&lt;&gt;"Yes"</formula>
    </cfRule>
  </conditionalFormatting>
  <conditionalFormatting sqref="Z364">
    <cfRule type="expression" dxfId="1264" priority="1176">
      <formula>$E$7&lt;&gt;"Yes"</formula>
    </cfRule>
  </conditionalFormatting>
  <conditionalFormatting sqref="Z364">
    <cfRule type="expression" dxfId="1263" priority="1175">
      <formula>$E364&lt;&gt;"Yes"</formula>
    </cfRule>
  </conditionalFormatting>
  <conditionalFormatting sqref="AN364:AO364">
    <cfRule type="expression" dxfId="1262" priority="1174">
      <formula>$E$7&lt;&gt;"Yes"</formula>
    </cfRule>
  </conditionalFormatting>
  <conditionalFormatting sqref="AN364:AO364">
    <cfRule type="expression" dxfId="1261" priority="1173">
      <formula>$E364&lt;&gt;"Yes"</formula>
    </cfRule>
  </conditionalFormatting>
  <conditionalFormatting sqref="AI364">
    <cfRule type="expression" dxfId="1260" priority="1172">
      <formula>$E$7&lt;&gt;"Yes"</formula>
    </cfRule>
  </conditionalFormatting>
  <conditionalFormatting sqref="AI364">
    <cfRule type="expression" dxfId="1259" priority="1171">
      <formula>$E364&lt;&gt;"Yes"</formula>
    </cfRule>
  </conditionalFormatting>
  <conditionalFormatting sqref="Q332 Y332 AF332:AH332 AJ332:AK332">
    <cfRule type="expression" dxfId="1258" priority="1170">
      <formula>$E$7&lt;&gt;"Yes"</formula>
    </cfRule>
  </conditionalFormatting>
  <conditionalFormatting sqref="Q332 Y332 AF332:AH332 AJ332:AK332">
    <cfRule type="expression" dxfId="1257" priority="1169">
      <formula>$E332&lt;&gt;"Yes"</formula>
    </cfRule>
  </conditionalFormatting>
  <conditionalFormatting sqref="G332">
    <cfRule type="expression" dxfId="1256" priority="1166">
      <formula>$E$7&lt;&gt;"Yes"</formula>
    </cfRule>
  </conditionalFormatting>
  <conditionalFormatting sqref="M332 F332:J332 Q332">
    <cfRule type="expression" dxfId="1255" priority="1168">
      <formula>$E$7&lt;&gt;"Yes"</formula>
    </cfRule>
  </conditionalFormatting>
  <conditionalFormatting sqref="M332 F332:J332 Q332">
    <cfRule type="expression" dxfId="1254" priority="1167">
      <formula>$E332&lt;&gt;"Yes"</formula>
    </cfRule>
  </conditionalFormatting>
  <conditionalFormatting sqref="K332:L332">
    <cfRule type="expression" dxfId="1253" priority="1165">
      <formula>$E$7&lt;&gt;"Yes"</formula>
    </cfRule>
  </conditionalFormatting>
  <conditionalFormatting sqref="K332:L332">
    <cfRule type="expression" dxfId="1252" priority="1164">
      <formula>$E332&lt;&gt;"Yes"</formula>
    </cfRule>
  </conditionalFormatting>
  <conditionalFormatting sqref="W332">
    <cfRule type="expression" dxfId="1251" priority="1163">
      <formula>$E$7&lt;&gt;"Yes"</formula>
    </cfRule>
  </conditionalFormatting>
  <conditionalFormatting sqref="W332">
    <cfRule type="expression" dxfId="1250" priority="1162">
      <formula>$E332&lt;&gt;"Yes"</formula>
    </cfRule>
  </conditionalFormatting>
  <conditionalFormatting sqref="AE332">
    <cfRule type="expression" dxfId="1249" priority="1161">
      <formula>$E$7&lt;&gt;"Yes"</formula>
    </cfRule>
  </conditionalFormatting>
  <conditionalFormatting sqref="AE332">
    <cfRule type="expression" dxfId="1248" priority="1160">
      <formula>$E332&lt;&gt;"Yes"</formula>
    </cfRule>
  </conditionalFormatting>
  <conditionalFormatting sqref="N332">
    <cfRule type="expression" dxfId="1247" priority="1159">
      <formula>$E$7&lt;&gt;"Yes"</formula>
    </cfRule>
  </conditionalFormatting>
  <conditionalFormatting sqref="N332">
    <cfRule type="expression" dxfId="1246" priority="1158">
      <formula>$E332&lt;&gt;"Yes"</formula>
    </cfRule>
  </conditionalFormatting>
  <conditionalFormatting sqref="AB332">
    <cfRule type="expression" dxfId="1245" priority="1157">
      <formula>$E$7&lt;&gt;"Yes"</formula>
    </cfRule>
  </conditionalFormatting>
  <conditionalFormatting sqref="AB332">
    <cfRule type="expression" dxfId="1244" priority="1156">
      <formula>$E332&lt;&gt;"Yes"</formula>
    </cfRule>
  </conditionalFormatting>
  <conditionalFormatting sqref="AA332">
    <cfRule type="expression" dxfId="1243" priority="1155">
      <formula>$E$7&lt;&gt;"Yes"</formula>
    </cfRule>
  </conditionalFormatting>
  <conditionalFormatting sqref="AA332">
    <cfRule type="expression" dxfId="1242" priority="1154">
      <formula>$E332&lt;&gt;"Yes"</formula>
    </cfRule>
  </conditionalFormatting>
  <conditionalFormatting sqref="Y332">
    <cfRule type="expression" dxfId="1241" priority="1153">
      <formula>$E$7&lt;&gt;"Yes"</formula>
    </cfRule>
  </conditionalFormatting>
  <conditionalFormatting sqref="Y332">
    <cfRule type="expression" dxfId="1240" priority="1152">
      <formula>$E332&lt;&gt;"Yes"</formula>
    </cfRule>
  </conditionalFormatting>
  <conditionalFormatting sqref="O332:P332">
    <cfRule type="expression" dxfId="1239" priority="1151">
      <formula>$E$7&lt;&gt;"Yes"</formula>
    </cfRule>
  </conditionalFormatting>
  <conditionalFormatting sqref="O332:P332">
    <cfRule type="expression" dxfId="1238" priority="1150">
      <formula>$E332&lt;&gt;"Yes"</formula>
    </cfRule>
  </conditionalFormatting>
  <conditionalFormatting sqref="X332">
    <cfRule type="expression" dxfId="1237" priority="1149">
      <formula>$E$7&lt;&gt;"Yes"</formula>
    </cfRule>
  </conditionalFormatting>
  <conditionalFormatting sqref="X332">
    <cfRule type="expression" dxfId="1236" priority="1148">
      <formula>$E332&lt;&gt;"Yes"</formula>
    </cfRule>
  </conditionalFormatting>
  <conditionalFormatting sqref="AD332">
    <cfRule type="expression" dxfId="1235" priority="1147">
      <formula>$E$7&lt;&gt;"Yes"</formula>
    </cfRule>
  </conditionalFormatting>
  <conditionalFormatting sqref="AD332">
    <cfRule type="expression" dxfId="1234" priority="1146">
      <formula>$E332&lt;&gt;"Yes"</formula>
    </cfRule>
  </conditionalFormatting>
  <conditionalFormatting sqref="AC332">
    <cfRule type="expression" dxfId="1233" priority="1145">
      <formula>$E$7&lt;&gt;"Yes"</formula>
    </cfRule>
  </conditionalFormatting>
  <conditionalFormatting sqref="AC332">
    <cfRule type="expression" dxfId="1232" priority="1144">
      <formula>$E332&lt;&gt;"Yes"</formula>
    </cfRule>
  </conditionalFormatting>
  <conditionalFormatting sqref="R332:V332">
    <cfRule type="expression" dxfId="1231" priority="1143">
      <formula>$E$7&lt;&gt;"Yes"</formula>
    </cfRule>
  </conditionalFormatting>
  <conditionalFormatting sqref="R332:V332">
    <cfRule type="expression" dxfId="1230" priority="1142">
      <formula>$E332&lt;&gt;"Yes"</formula>
    </cfRule>
  </conditionalFormatting>
  <conditionalFormatting sqref="S332">
    <cfRule type="expression" dxfId="1229" priority="1141">
      <formula>$E$7&lt;&gt;"Yes"</formula>
    </cfRule>
  </conditionalFormatting>
  <conditionalFormatting sqref="S332">
    <cfRule type="expression" dxfId="1228" priority="1140">
      <formula>$E332&lt;&gt;"Yes"</formula>
    </cfRule>
  </conditionalFormatting>
  <conditionalFormatting sqref="T332">
    <cfRule type="expression" dxfId="1227" priority="1139">
      <formula>$E$7&lt;&gt;"Yes"</formula>
    </cfRule>
  </conditionalFormatting>
  <conditionalFormatting sqref="T332">
    <cfRule type="expression" dxfId="1226" priority="1138">
      <formula>$E332&lt;&gt;"Yes"</formula>
    </cfRule>
  </conditionalFormatting>
  <conditionalFormatting sqref="U332">
    <cfRule type="expression" dxfId="1225" priority="1137">
      <formula>$E$7&lt;&gt;"Yes"</formula>
    </cfRule>
  </conditionalFormatting>
  <conditionalFormatting sqref="U332">
    <cfRule type="expression" dxfId="1224" priority="1136">
      <formula>$E332&lt;&gt;"Yes"</formula>
    </cfRule>
  </conditionalFormatting>
  <conditionalFormatting sqref="V332">
    <cfRule type="expression" dxfId="1223" priority="1135">
      <formula>$E$7&lt;&gt;"Yes"</formula>
    </cfRule>
  </conditionalFormatting>
  <conditionalFormatting sqref="V332">
    <cfRule type="expression" dxfId="1222" priority="1134">
      <formula>$E332&lt;&gt;"Yes"</formula>
    </cfRule>
  </conditionalFormatting>
  <conditionalFormatting sqref="R332:V332">
    <cfRule type="expression" dxfId="1221" priority="1133">
      <formula>$E$7&lt;&gt;"Yes"</formula>
    </cfRule>
  </conditionalFormatting>
  <conditionalFormatting sqref="R332:V332">
    <cfRule type="expression" dxfId="1220" priority="1132">
      <formula>$E332&lt;&gt;"Yes"</formula>
    </cfRule>
  </conditionalFormatting>
  <conditionalFormatting sqref="Z332">
    <cfRule type="expression" dxfId="1219" priority="1131">
      <formula>$E$7&lt;&gt;"Yes"</formula>
    </cfRule>
  </conditionalFormatting>
  <conditionalFormatting sqref="Z332">
    <cfRule type="expression" dxfId="1218" priority="1130">
      <formula>$E332&lt;&gt;"Yes"</formula>
    </cfRule>
  </conditionalFormatting>
  <conditionalFormatting sqref="AN332:AO332">
    <cfRule type="expression" dxfId="1217" priority="1129">
      <formula>$E$7&lt;&gt;"Yes"</formula>
    </cfRule>
  </conditionalFormatting>
  <conditionalFormatting sqref="AN332:AO332">
    <cfRule type="expression" dxfId="1216" priority="1128">
      <formula>$E332&lt;&gt;"Yes"</formula>
    </cfRule>
  </conditionalFormatting>
  <conditionalFormatting sqref="AI332">
    <cfRule type="expression" dxfId="1215" priority="1127">
      <formula>$E$7&lt;&gt;"Yes"</formula>
    </cfRule>
  </conditionalFormatting>
  <conditionalFormatting sqref="AI332">
    <cfRule type="expression" dxfId="1214" priority="1126">
      <formula>$E332&lt;&gt;"Yes"</formula>
    </cfRule>
  </conditionalFormatting>
  <conditionalFormatting sqref="Q274 Y274 AF274:AH274 AJ274:AK274">
    <cfRule type="expression" dxfId="1213" priority="1125">
      <formula>$E$7&lt;&gt;"Yes"</formula>
    </cfRule>
  </conditionalFormatting>
  <conditionalFormatting sqref="Q274 Y274 AF274:AH274 AJ274:AK274">
    <cfRule type="expression" dxfId="1212" priority="1124">
      <formula>$E274&lt;&gt;"Yes"</formula>
    </cfRule>
  </conditionalFormatting>
  <conditionalFormatting sqref="G274">
    <cfRule type="expression" dxfId="1211" priority="1121">
      <formula>$E$7&lt;&gt;"Yes"</formula>
    </cfRule>
  </conditionalFormatting>
  <conditionalFormatting sqref="M274 F274:J274 Q274">
    <cfRule type="expression" dxfId="1210" priority="1123">
      <formula>$E$7&lt;&gt;"Yes"</formula>
    </cfRule>
  </conditionalFormatting>
  <conditionalFormatting sqref="M274 F274:J274 Q274">
    <cfRule type="expression" dxfId="1209" priority="1122">
      <formula>$E274&lt;&gt;"Yes"</formula>
    </cfRule>
  </conditionalFormatting>
  <conditionalFormatting sqref="K274:L274">
    <cfRule type="expression" dxfId="1208" priority="1120">
      <formula>$E$7&lt;&gt;"Yes"</formula>
    </cfRule>
  </conditionalFormatting>
  <conditionalFormatting sqref="K274:L274">
    <cfRule type="expression" dxfId="1207" priority="1119">
      <formula>$E274&lt;&gt;"Yes"</formula>
    </cfRule>
  </conditionalFormatting>
  <conditionalFormatting sqref="W274">
    <cfRule type="expression" dxfId="1206" priority="1118">
      <formula>$E$7&lt;&gt;"Yes"</formula>
    </cfRule>
  </conditionalFormatting>
  <conditionalFormatting sqref="W274">
    <cfRule type="expression" dxfId="1205" priority="1117">
      <formula>$E274&lt;&gt;"Yes"</formula>
    </cfRule>
  </conditionalFormatting>
  <conditionalFormatting sqref="AE274">
    <cfRule type="expression" dxfId="1204" priority="1116">
      <formula>$E$7&lt;&gt;"Yes"</formula>
    </cfRule>
  </conditionalFormatting>
  <conditionalFormatting sqref="AE274">
    <cfRule type="expression" dxfId="1203" priority="1115">
      <formula>$E274&lt;&gt;"Yes"</formula>
    </cfRule>
  </conditionalFormatting>
  <conditionalFormatting sqref="N274">
    <cfRule type="expression" dxfId="1202" priority="1114">
      <formula>$E$7&lt;&gt;"Yes"</formula>
    </cfRule>
  </conditionalFormatting>
  <conditionalFormatting sqref="N274">
    <cfRule type="expression" dxfId="1201" priority="1113">
      <formula>$E274&lt;&gt;"Yes"</formula>
    </cfRule>
  </conditionalFormatting>
  <conditionalFormatting sqref="AB274">
    <cfRule type="expression" dxfId="1200" priority="1112">
      <formula>$E$7&lt;&gt;"Yes"</formula>
    </cfRule>
  </conditionalFormatting>
  <conditionalFormatting sqref="AB274">
    <cfRule type="expression" dxfId="1199" priority="1111">
      <formula>$E274&lt;&gt;"Yes"</formula>
    </cfRule>
  </conditionalFormatting>
  <conditionalFormatting sqref="AA274">
    <cfRule type="expression" dxfId="1198" priority="1110">
      <formula>$E$7&lt;&gt;"Yes"</formula>
    </cfRule>
  </conditionalFormatting>
  <conditionalFormatting sqref="AA274">
    <cfRule type="expression" dxfId="1197" priority="1109">
      <formula>$E274&lt;&gt;"Yes"</formula>
    </cfRule>
  </conditionalFormatting>
  <conditionalFormatting sqref="Y274">
    <cfRule type="expression" dxfId="1196" priority="1108">
      <formula>$E$7&lt;&gt;"Yes"</formula>
    </cfRule>
  </conditionalFormatting>
  <conditionalFormatting sqref="Y274">
    <cfRule type="expression" dxfId="1195" priority="1107">
      <formula>$E274&lt;&gt;"Yes"</formula>
    </cfRule>
  </conditionalFormatting>
  <conditionalFormatting sqref="O274:P274">
    <cfRule type="expression" dxfId="1194" priority="1106">
      <formula>$E$7&lt;&gt;"Yes"</formula>
    </cfRule>
  </conditionalFormatting>
  <conditionalFormatting sqref="O274:P274">
    <cfRule type="expression" dxfId="1193" priority="1105">
      <formula>$E274&lt;&gt;"Yes"</formula>
    </cfRule>
  </conditionalFormatting>
  <conditionalFormatting sqref="X274">
    <cfRule type="expression" dxfId="1192" priority="1104">
      <formula>$E$7&lt;&gt;"Yes"</formula>
    </cfRule>
  </conditionalFormatting>
  <conditionalFormatting sqref="X274">
    <cfRule type="expression" dxfId="1191" priority="1103">
      <formula>$E274&lt;&gt;"Yes"</formula>
    </cfRule>
  </conditionalFormatting>
  <conditionalFormatting sqref="AD274">
    <cfRule type="expression" dxfId="1190" priority="1102">
      <formula>$E$7&lt;&gt;"Yes"</formula>
    </cfRule>
  </conditionalFormatting>
  <conditionalFormatting sqref="AD274">
    <cfRule type="expression" dxfId="1189" priority="1101">
      <formula>$E274&lt;&gt;"Yes"</formula>
    </cfRule>
  </conditionalFormatting>
  <conditionalFormatting sqref="AC274">
    <cfRule type="expression" dxfId="1188" priority="1100">
      <formula>$E$7&lt;&gt;"Yes"</formula>
    </cfRule>
  </conditionalFormatting>
  <conditionalFormatting sqref="AC274">
    <cfRule type="expression" dxfId="1187" priority="1099">
      <formula>$E274&lt;&gt;"Yes"</formula>
    </cfRule>
  </conditionalFormatting>
  <conditionalFormatting sqref="R274:V274">
    <cfRule type="expression" dxfId="1186" priority="1098">
      <formula>$E$7&lt;&gt;"Yes"</formula>
    </cfRule>
  </conditionalFormatting>
  <conditionalFormatting sqref="R274:V274">
    <cfRule type="expression" dxfId="1185" priority="1097">
      <formula>$E274&lt;&gt;"Yes"</formula>
    </cfRule>
  </conditionalFormatting>
  <conditionalFormatting sqref="S274">
    <cfRule type="expression" dxfId="1184" priority="1096">
      <formula>$E$7&lt;&gt;"Yes"</formula>
    </cfRule>
  </conditionalFormatting>
  <conditionalFormatting sqref="S274">
    <cfRule type="expression" dxfId="1183" priority="1095">
      <formula>$E274&lt;&gt;"Yes"</formula>
    </cfRule>
  </conditionalFormatting>
  <conditionalFormatting sqref="T274">
    <cfRule type="expression" dxfId="1182" priority="1094">
      <formula>$E$7&lt;&gt;"Yes"</formula>
    </cfRule>
  </conditionalFormatting>
  <conditionalFormatting sqref="T274">
    <cfRule type="expression" dxfId="1181" priority="1093">
      <formula>$E274&lt;&gt;"Yes"</formula>
    </cfRule>
  </conditionalFormatting>
  <conditionalFormatting sqref="U274">
    <cfRule type="expression" dxfId="1180" priority="1092">
      <formula>$E$7&lt;&gt;"Yes"</formula>
    </cfRule>
  </conditionalFormatting>
  <conditionalFormatting sqref="U274">
    <cfRule type="expression" dxfId="1179" priority="1091">
      <formula>$E274&lt;&gt;"Yes"</formula>
    </cfRule>
  </conditionalFormatting>
  <conditionalFormatting sqref="V274">
    <cfRule type="expression" dxfId="1178" priority="1090">
      <formula>$E$7&lt;&gt;"Yes"</formula>
    </cfRule>
  </conditionalFormatting>
  <conditionalFormatting sqref="V274">
    <cfRule type="expression" dxfId="1177" priority="1089">
      <formula>$E274&lt;&gt;"Yes"</formula>
    </cfRule>
  </conditionalFormatting>
  <conditionalFormatting sqref="R274:V274">
    <cfRule type="expression" dxfId="1176" priority="1088">
      <formula>$E$7&lt;&gt;"Yes"</formula>
    </cfRule>
  </conditionalFormatting>
  <conditionalFormatting sqref="R274:V274">
    <cfRule type="expression" dxfId="1175" priority="1087">
      <formula>$E274&lt;&gt;"Yes"</formula>
    </cfRule>
  </conditionalFormatting>
  <conditionalFormatting sqref="Z274">
    <cfRule type="expression" dxfId="1174" priority="1086">
      <formula>$E$7&lt;&gt;"Yes"</formula>
    </cfRule>
  </conditionalFormatting>
  <conditionalFormatting sqref="Z274">
    <cfRule type="expression" dxfId="1173" priority="1085">
      <formula>$E274&lt;&gt;"Yes"</formula>
    </cfRule>
  </conditionalFormatting>
  <conditionalFormatting sqref="AN274:AO274">
    <cfRule type="expression" dxfId="1172" priority="1084">
      <formula>$E$7&lt;&gt;"Yes"</formula>
    </cfRule>
  </conditionalFormatting>
  <conditionalFormatting sqref="AN274:AO274">
    <cfRule type="expression" dxfId="1171" priority="1083">
      <formula>$E274&lt;&gt;"Yes"</formula>
    </cfRule>
  </conditionalFormatting>
  <conditionalFormatting sqref="AI274">
    <cfRule type="expression" dxfId="1170" priority="1082">
      <formula>$E$7&lt;&gt;"Yes"</formula>
    </cfRule>
  </conditionalFormatting>
  <conditionalFormatting sqref="AI274">
    <cfRule type="expression" dxfId="1169" priority="1081">
      <formula>$E274&lt;&gt;"Yes"</formula>
    </cfRule>
  </conditionalFormatting>
  <conditionalFormatting sqref="Q228 Y228 AF228:AH228 AJ228:AK228">
    <cfRule type="expression" dxfId="1168" priority="1080">
      <formula>$E$7&lt;&gt;"Yes"</formula>
    </cfRule>
  </conditionalFormatting>
  <conditionalFormatting sqref="Q228 Y228 AF228:AH228 AJ228:AK228">
    <cfRule type="expression" dxfId="1167" priority="1079">
      <formula>$E228&lt;&gt;"Yes"</formula>
    </cfRule>
  </conditionalFormatting>
  <conditionalFormatting sqref="G228">
    <cfRule type="expression" dxfId="1166" priority="1076">
      <formula>$E$7&lt;&gt;"Yes"</formula>
    </cfRule>
  </conditionalFormatting>
  <conditionalFormatting sqref="M228 F228:J228 Q228">
    <cfRule type="expression" dxfId="1165" priority="1078">
      <formula>$E$7&lt;&gt;"Yes"</formula>
    </cfRule>
  </conditionalFormatting>
  <conditionalFormatting sqref="M228 F228:J228 Q228">
    <cfRule type="expression" dxfId="1164" priority="1077">
      <formula>$E228&lt;&gt;"Yes"</formula>
    </cfRule>
  </conditionalFormatting>
  <conditionalFormatting sqref="K228:L228">
    <cfRule type="expression" dxfId="1163" priority="1075">
      <formula>$E$7&lt;&gt;"Yes"</formula>
    </cfRule>
  </conditionalFormatting>
  <conditionalFormatting sqref="K228:L228">
    <cfRule type="expression" dxfId="1162" priority="1074">
      <formula>$E228&lt;&gt;"Yes"</formula>
    </cfRule>
  </conditionalFormatting>
  <conditionalFormatting sqref="W228">
    <cfRule type="expression" dxfId="1161" priority="1073">
      <formula>$E$7&lt;&gt;"Yes"</formula>
    </cfRule>
  </conditionalFormatting>
  <conditionalFormatting sqref="W228">
    <cfRule type="expression" dxfId="1160" priority="1072">
      <formula>$E228&lt;&gt;"Yes"</formula>
    </cfRule>
  </conditionalFormatting>
  <conditionalFormatting sqref="AE228">
    <cfRule type="expression" dxfId="1159" priority="1071">
      <formula>$E$7&lt;&gt;"Yes"</formula>
    </cfRule>
  </conditionalFormatting>
  <conditionalFormatting sqref="AE228">
    <cfRule type="expression" dxfId="1158" priority="1070">
      <formula>$E228&lt;&gt;"Yes"</formula>
    </cfRule>
  </conditionalFormatting>
  <conditionalFormatting sqref="N228">
    <cfRule type="expression" dxfId="1157" priority="1069">
      <formula>$E$7&lt;&gt;"Yes"</formula>
    </cfRule>
  </conditionalFormatting>
  <conditionalFormatting sqref="N228">
    <cfRule type="expression" dxfId="1156" priority="1068">
      <formula>$E228&lt;&gt;"Yes"</formula>
    </cfRule>
  </conditionalFormatting>
  <conditionalFormatting sqref="AB228">
    <cfRule type="expression" dxfId="1155" priority="1067">
      <formula>$E$7&lt;&gt;"Yes"</formula>
    </cfRule>
  </conditionalFormatting>
  <conditionalFormatting sqref="AB228">
    <cfRule type="expression" dxfId="1154" priority="1066">
      <formula>$E228&lt;&gt;"Yes"</formula>
    </cfRule>
  </conditionalFormatting>
  <conditionalFormatting sqref="AA228">
    <cfRule type="expression" dxfId="1153" priority="1065">
      <formula>$E$7&lt;&gt;"Yes"</formula>
    </cfRule>
  </conditionalFormatting>
  <conditionalFormatting sqref="AA228">
    <cfRule type="expression" dxfId="1152" priority="1064">
      <formula>$E228&lt;&gt;"Yes"</formula>
    </cfRule>
  </conditionalFormatting>
  <conditionalFormatting sqref="Y228">
    <cfRule type="expression" dxfId="1151" priority="1063">
      <formula>$E$7&lt;&gt;"Yes"</formula>
    </cfRule>
  </conditionalFormatting>
  <conditionalFormatting sqref="Y228">
    <cfRule type="expression" dxfId="1150" priority="1062">
      <formula>$E228&lt;&gt;"Yes"</formula>
    </cfRule>
  </conditionalFormatting>
  <conditionalFormatting sqref="O228:P228">
    <cfRule type="expression" dxfId="1149" priority="1061">
      <formula>$E$7&lt;&gt;"Yes"</formula>
    </cfRule>
  </conditionalFormatting>
  <conditionalFormatting sqref="O228:P228">
    <cfRule type="expression" dxfId="1148" priority="1060">
      <formula>$E228&lt;&gt;"Yes"</formula>
    </cfRule>
  </conditionalFormatting>
  <conditionalFormatting sqref="X228">
    <cfRule type="expression" dxfId="1147" priority="1059">
      <formula>$E$7&lt;&gt;"Yes"</formula>
    </cfRule>
  </conditionalFormatting>
  <conditionalFormatting sqref="X228">
    <cfRule type="expression" dxfId="1146" priority="1058">
      <formula>$E228&lt;&gt;"Yes"</formula>
    </cfRule>
  </conditionalFormatting>
  <conditionalFormatting sqref="AD228">
    <cfRule type="expression" dxfId="1145" priority="1057">
      <formula>$E$7&lt;&gt;"Yes"</formula>
    </cfRule>
  </conditionalFormatting>
  <conditionalFormatting sqref="AD228">
    <cfRule type="expression" dxfId="1144" priority="1056">
      <formula>$E228&lt;&gt;"Yes"</formula>
    </cfRule>
  </conditionalFormatting>
  <conditionalFormatting sqref="AC228">
    <cfRule type="expression" dxfId="1143" priority="1055">
      <formula>$E$7&lt;&gt;"Yes"</formula>
    </cfRule>
  </conditionalFormatting>
  <conditionalFormatting sqref="AC228">
    <cfRule type="expression" dxfId="1142" priority="1054">
      <formula>$E228&lt;&gt;"Yes"</formula>
    </cfRule>
  </conditionalFormatting>
  <conditionalFormatting sqref="R228:V228">
    <cfRule type="expression" dxfId="1141" priority="1053">
      <formula>$E$7&lt;&gt;"Yes"</formula>
    </cfRule>
  </conditionalFormatting>
  <conditionalFormatting sqref="R228:V228">
    <cfRule type="expression" dxfId="1140" priority="1052">
      <formula>$E228&lt;&gt;"Yes"</formula>
    </cfRule>
  </conditionalFormatting>
  <conditionalFormatting sqref="S228">
    <cfRule type="expression" dxfId="1139" priority="1051">
      <formula>$E$7&lt;&gt;"Yes"</formula>
    </cfRule>
  </conditionalFormatting>
  <conditionalFormatting sqref="S228">
    <cfRule type="expression" dxfId="1138" priority="1050">
      <formula>$E228&lt;&gt;"Yes"</formula>
    </cfRule>
  </conditionalFormatting>
  <conditionalFormatting sqref="T228">
    <cfRule type="expression" dxfId="1137" priority="1049">
      <formula>$E$7&lt;&gt;"Yes"</formula>
    </cfRule>
  </conditionalFormatting>
  <conditionalFormatting sqref="T228">
    <cfRule type="expression" dxfId="1136" priority="1048">
      <formula>$E228&lt;&gt;"Yes"</formula>
    </cfRule>
  </conditionalFormatting>
  <conditionalFormatting sqref="U228">
    <cfRule type="expression" dxfId="1135" priority="1047">
      <formula>$E$7&lt;&gt;"Yes"</formula>
    </cfRule>
  </conditionalFormatting>
  <conditionalFormatting sqref="U228">
    <cfRule type="expression" dxfId="1134" priority="1046">
      <formula>$E228&lt;&gt;"Yes"</formula>
    </cfRule>
  </conditionalFormatting>
  <conditionalFormatting sqref="V228">
    <cfRule type="expression" dxfId="1133" priority="1045">
      <formula>$E$7&lt;&gt;"Yes"</formula>
    </cfRule>
  </conditionalFormatting>
  <conditionalFormatting sqref="V228">
    <cfRule type="expression" dxfId="1132" priority="1044">
      <formula>$E228&lt;&gt;"Yes"</formula>
    </cfRule>
  </conditionalFormatting>
  <conditionalFormatting sqref="R228:V228">
    <cfRule type="expression" dxfId="1131" priority="1043">
      <formula>$E$7&lt;&gt;"Yes"</formula>
    </cfRule>
  </conditionalFormatting>
  <conditionalFormatting sqref="R228:V228">
    <cfRule type="expression" dxfId="1130" priority="1042">
      <formula>$E228&lt;&gt;"Yes"</formula>
    </cfRule>
  </conditionalFormatting>
  <conditionalFormatting sqref="Z228">
    <cfRule type="expression" dxfId="1129" priority="1041">
      <formula>$E$7&lt;&gt;"Yes"</formula>
    </cfRule>
  </conditionalFormatting>
  <conditionalFormatting sqref="Z228">
    <cfRule type="expression" dxfId="1128" priority="1040">
      <formula>$E228&lt;&gt;"Yes"</formula>
    </cfRule>
  </conditionalFormatting>
  <conditionalFormatting sqref="AN228:AO228">
    <cfRule type="expression" dxfId="1127" priority="1039">
      <formula>$E$7&lt;&gt;"Yes"</formula>
    </cfRule>
  </conditionalFormatting>
  <conditionalFormatting sqref="AN228:AO228">
    <cfRule type="expression" dxfId="1126" priority="1038">
      <formula>$E228&lt;&gt;"Yes"</formula>
    </cfRule>
  </conditionalFormatting>
  <conditionalFormatting sqref="AI228">
    <cfRule type="expression" dxfId="1125" priority="1037">
      <formula>$E$7&lt;&gt;"Yes"</formula>
    </cfRule>
  </conditionalFormatting>
  <conditionalFormatting sqref="AI228">
    <cfRule type="expression" dxfId="1124" priority="1036">
      <formula>$E228&lt;&gt;"Yes"</formula>
    </cfRule>
  </conditionalFormatting>
  <conditionalFormatting sqref="Q229 Y229 AF229:AH229 AJ229:AK229">
    <cfRule type="expression" dxfId="1123" priority="1035">
      <formula>$E$7&lt;&gt;"Yes"</formula>
    </cfRule>
  </conditionalFormatting>
  <conditionalFormatting sqref="Q229 Y229 AF229:AH229 AJ229:AK229">
    <cfRule type="expression" dxfId="1122" priority="1034">
      <formula>$E229&lt;&gt;"Yes"</formula>
    </cfRule>
  </conditionalFormatting>
  <conditionalFormatting sqref="G229">
    <cfRule type="expression" dxfId="1121" priority="1031">
      <formula>$E$7&lt;&gt;"Yes"</formula>
    </cfRule>
  </conditionalFormatting>
  <conditionalFormatting sqref="M229 F229:J229 Q229">
    <cfRule type="expression" dxfId="1120" priority="1033">
      <formula>$E$7&lt;&gt;"Yes"</formula>
    </cfRule>
  </conditionalFormatting>
  <conditionalFormatting sqref="M229 F229:J229 Q229">
    <cfRule type="expression" dxfId="1119" priority="1032">
      <formula>$E229&lt;&gt;"Yes"</formula>
    </cfRule>
  </conditionalFormatting>
  <conditionalFormatting sqref="K229:L229">
    <cfRule type="expression" dxfId="1118" priority="1030">
      <formula>$E$7&lt;&gt;"Yes"</formula>
    </cfRule>
  </conditionalFormatting>
  <conditionalFormatting sqref="K229:L229">
    <cfRule type="expression" dxfId="1117" priority="1029">
      <formula>$E229&lt;&gt;"Yes"</formula>
    </cfRule>
  </conditionalFormatting>
  <conditionalFormatting sqref="W229">
    <cfRule type="expression" dxfId="1116" priority="1028">
      <formula>$E$7&lt;&gt;"Yes"</formula>
    </cfRule>
  </conditionalFormatting>
  <conditionalFormatting sqref="W229">
    <cfRule type="expression" dxfId="1115" priority="1027">
      <formula>$E229&lt;&gt;"Yes"</formula>
    </cfRule>
  </conditionalFormatting>
  <conditionalFormatting sqref="AE229">
    <cfRule type="expression" dxfId="1114" priority="1026">
      <formula>$E$7&lt;&gt;"Yes"</formula>
    </cfRule>
  </conditionalFormatting>
  <conditionalFormatting sqref="AE229">
    <cfRule type="expression" dxfId="1113" priority="1025">
      <formula>$E229&lt;&gt;"Yes"</formula>
    </cfRule>
  </conditionalFormatting>
  <conditionalFormatting sqref="N229">
    <cfRule type="expression" dxfId="1112" priority="1024">
      <formula>$E$7&lt;&gt;"Yes"</formula>
    </cfRule>
  </conditionalFormatting>
  <conditionalFormatting sqref="N229">
    <cfRule type="expression" dxfId="1111" priority="1023">
      <formula>$E229&lt;&gt;"Yes"</formula>
    </cfRule>
  </conditionalFormatting>
  <conditionalFormatting sqref="AB229">
    <cfRule type="expression" dxfId="1110" priority="1022">
      <formula>$E$7&lt;&gt;"Yes"</formula>
    </cfRule>
  </conditionalFormatting>
  <conditionalFormatting sqref="AB229">
    <cfRule type="expression" dxfId="1109" priority="1021">
      <formula>$E229&lt;&gt;"Yes"</formula>
    </cfRule>
  </conditionalFormatting>
  <conditionalFormatting sqref="AA229">
    <cfRule type="expression" dxfId="1108" priority="1020">
      <formula>$E$7&lt;&gt;"Yes"</formula>
    </cfRule>
  </conditionalFormatting>
  <conditionalFormatting sqref="AA229">
    <cfRule type="expression" dxfId="1107" priority="1019">
      <formula>$E229&lt;&gt;"Yes"</formula>
    </cfRule>
  </conditionalFormatting>
  <conditionalFormatting sqref="Y229">
    <cfRule type="expression" dxfId="1106" priority="1018">
      <formula>$E$7&lt;&gt;"Yes"</formula>
    </cfRule>
  </conditionalFormatting>
  <conditionalFormatting sqref="Y229">
    <cfRule type="expression" dxfId="1105" priority="1017">
      <formula>$E229&lt;&gt;"Yes"</formula>
    </cfRule>
  </conditionalFormatting>
  <conditionalFormatting sqref="O229:P229">
    <cfRule type="expression" dxfId="1104" priority="1016">
      <formula>$E$7&lt;&gt;"Yes"</formula>
    </cfRule>
  </conditionalFormatting>
  <conditionalFormatting sqref="O229:P229">
    <cfRule type="expression" dxfId="1103" priority="1015">
      <formula>$E229&lt;&gt;"Yes"</formula>
    </cfRule>
  </conditionalFormatting>
  <conditionalFormatting sqref="X229">
    <cfRule type="expression" dxfId="1102" priority="1014">
      <formula>$E$7&lt;&gt;"Yes"</formula>
    </cfRule>
  </conditionalFormatting>
  <conditionalFormatting sqref="X229">
    <cfRule type="expression" dxfId="1101" priority="1013">
      <formula>$E229&lt;&gt;"Yes"</formula>
    </cfRule>
  </conditionalFormatting>
  <conditionalFormatting sqref="AD229">
    <cfRule type="expression" dxfId="1100" priority="1012">
      <formula>$E$7&lt;&gt;"Yes"</formula>
    </cfRule>
  </conditionalFormatting>
  <conditionalFormatting sqref="AD229">
    <cfRule type="expression" dxfId="1099" priority="1011">
      <formula>$E229&lt;&gt;"Yes"</formula>
    </cfRule>
  </conditionalFormatting>
  <conditionalFormatting sqref="AC229">
    <cfRule type="expression" dxfId="1098" priority="1010">
      <formula>$E$7&lt;&gt;"Yes"</formula>
    </cfRule>
  </conditionalFormatting>
  <conditionalFormatting sqref="AC229">
    <cfRule type="expression" dxfId="1097" priority="1009">
      <formula>$E229&lt;&gt;"Yes"</formula>
    </cfRule>
  </conditionalFormatting>
  <conditionalFormatting sqref="R229:V229">
    <cfRule type="expression" dxfId="1096" priority="1008">
      <formula>$E$7&lt;&gt;"Yes"</formula>
    </cfRule>
  </conditionalFormatting>
  <conditionalFormatting sqref="R229:V229">
    <cfRule type="expression" dxfId="1095" priority="1007">
      <formula>$E229&lt;&gt;"Yes"</formula>
    </cfRule>
  </conditionalFormatting>
  <conditionalFormatting sqref="S229">
    <cfRule type="expression" dxfId="1094" priority="1006">
      <formula>$E$7&lt;&gt;"Yes"</formula>
    </cfRule>
  </conditionalFormatting>
  <conditionalFormatting sqref="S229">
    <cfRule type="expression" dxfId="1093" priority="1005">
      <formula>$E229&lt;&gt;"Yes"</formula>
    </cfRule>
  </conditionalFormatting>
  <conditionalFormatting sqref="T229">
    <cfRule type="expression" dxfId="1092" priority="1004">
      <formula>$E$7&lt;&gt;"Yes"</formula>
    </cfRule>
  </conditionalFormatting>
  <conditionalFormatting sqref="T229">
    <cfRule type="expression" dxfId="1091" priority="1003">
      <formula>$E229&lt;&gt;"Yes"</formula>
    </cfRule>
  </conditionalFormatting>
  <conditionalFormatting sqref="U229">
    <cfRule type="expression" dxfId="1090" priority="1002">
      <formula>$E$7&lt;&gt;"Yes"</formula>
    </cfRule>
  </conditionalFormatting>
  <conditionalFormatting sqref="U229">
    <cfRule type="expression" dxfId="1089" priority="1001">
      <formula>$E229&lt;&gt;"Yes"</formula>
    </cfRule>
  </conditionalFormatting>
  <conditionalFormatting sqref="V229">
    <cfRule type="expression" dxfId="1088" priority="1000">
      <formula>$E$7&lt;&gt;"Yes"</formula>
    </cfRule>
  </conditionalFormatting>
  <conditionalFormatting sqref="V229">
    <cfRule type="expression" dxfId="1087" priority="999">
      <formula>$E229&lt;&gt;"Yes"</formula>
    </cfRule>
  </conditionalFormatting>
  <conditionalFormatting sqref="R229:V229">
    <cfRule type="expression" dxfId="1086" priority="998">
      <formula>$E$7&lt;&gt;"Yes"</formula>
    </cfRule>
  </conditionalFormatting>
  <conditionalFormatting sqref="R229:V229">
    <cfRule type="expression" dxfId="1085" priority="997">
      <formula>$E229&lt;&gt;"Yes"</formula>
    </cfRule>
  </conditionalFormatting>
  <conditionalFormatting sqref="Z229">
    <cfRule type="expression" dxfId="1084" priority="996">
      <formula>$E$7&lt;&gt;"Yes"</formula>
    </cfRule>
  </conditionalFormatting>
  <conditionalFormatting sqref="Z229">
    <cfRule type="expression" dxfId="1083" priority="995">
      <formula>$E229&lt;&gt;"Yes"</formula>
    </cfRule>
  </conditionalFormatting>
  <conditionalFormatting sqref="AN229:AO229">
    <cfRule type="expression" dxfId="1082" priority="994">
      <formula>$E$7&lt;&gt;"Yes"</formula>
    </cfRule>
  </conditionalFormatting>
  <conditionalFormatting sqref="AN229:AO229">
    <cfRule type="expression" dxfId="1081" priority="993">
      <formula>$E229&lt;&gt;"Yes"</formula>
    </cfRule>
  </conditionalFormatting>
  <conditionalFormatting sqref="AI229">
    <cfRule type="expression" dxfId="1080" priority="992">
      <formula>$E$7&lt;&gt;"Yes"</formula>
    </cfRule>
  </conditionalFormatting>
  <conditionalFormatting sqref="AI229">
    <cfRule type="expression" dxfId="1079" priority="991">
      <formula>$E229&lt;&gt;"Yes"</formula>
    </cfRule>
  </conditionalFormatting>
  <conditionalFormatting sqref="Q19 Y19 AF19:AH19 AJ19:AK19">
    <cfRule type="expression" dxfId="1078" priority="990">
      <formula>$E$7&lt;&gt;"Yes"</formula>
    </cfRule>
  </conditionalFormatting>
  <conditionalFormatting sqref="Q19 Y19 AF19:AH19 AJ19:AK19">
    <cfRule type="expression" dxfId="1077" priority="989">
      <formula>$E19&lt;&gt;"Yes"</formula>
    </cfRule>
  </conditionalFormatting>
  <conditionalFormatting sqref="G19">
    <cfRule type="expression" dxfId="1076" priority="986">
      <formula>$E$7&lt;&gt;"Yes"</formula>
    </cfRule>
  </conditionalFormatting>
  <conditionalFormatting sqref="M19 F19:J19 Q19">
    <cfRule type="expression" dxfId="1075" priority="988">
      <formula>$E$7&lt;&gt;"Yes"</formula>
    </cfRule>
  </conditionalFormatting>
  <conditionalFormatting sqref="M19 F19:J19 Q19">
    <cfRule type="expression" dxfId="1074" priority="987">
      <formula>$E19&lt;&gt;"Yes"</formula>
    </cfRule>
  </conditionalFormatting>
  <conditionalFormatting sqref="K19:L19">
    <cfRule type="expression" dxfId="1073" priority="985">
      <formula>$E$7&lt;&gt;"Yes"</formula>
    </cfRule>
  </conditionalFormatting>
  <conditionalFormatting sqref="K19:L19">
    <cfRule type="expression" dxfId="1072" priority="984">
      <formula>$E19&lt;&gt;"Yes"</formula>
    </cfRule>
  </conditionalFormatting>
  <conditionalFormatting sqref="W19">
    <cfRule type="expression" dxfId="1071" priority="983">
      <formula>$E$7&lt;&gt;"Yes"</formula>
    </cfRule>
  </conditionalFormatting>
  <conditionalFormatting sqref="W19">
    <cfRule type="expression" dxfId="1070" priority="982">
      <formula>$E19&lt;&gt;"Yes"</formula>
    </cfRule>
  </conditionalFormatting>
  <conditionalFormatting sqref="AE19">
    <cfRule type="expression" dxfId="1069" priority="981">
      <formula>$E$7&lt;&gt;"Yes"</formula>
    </cfRule>
  </conditionalFormatting>
  <conditionalFormatting sqref="AE19">
    <cfRule type="expression" dxfId="1068" priority="980">
      <formula>$E19&lt;&gt;"Yes"</formula>
    </cfRule>
  </conditionalFormatting>
  <conditionalFormatting sqref="N19">
    <cfRule type="expression" dxfId="1067" priority="979">
      <formula>$E$7&lt;&gt;"Yes"</formula>
    </cfRule>
  </conditionalFormatting>
  <conditionalFormatting sqref="N19">
    <cfRule type="expression" dxfId="1066" priority="978">
      <formula>$E19&lt;&gt;"Yes"</formula>
    </cfRule>
  </conditionalFormatting>
  <conditionalFormatting sqref="AB19">
    <cfRule type="expression" dxfId="1065" priority="977">
      <formula>$E$7&lt;&gt;"Yes"</formula>
    </cfRule>
  </conditionalFormatting>
  <conditionalFormatting sqref="AB19">
    <cfRule type="expression" dxfId="1064" priority="976">
      <formula>$E19&lt;&gt;"Yes"</formula>
    </cfRule>
  </conditionalFormatting>
  <conditionalFormatting sqref="AA19">
    <cfRule type="expression" dxfId="1063" priority="975">
      <formula>$E$7&lt;&gt;"Yes"</formula>
    </cfRule>
  </conditionalFormatting>
  <conditionalFormatting sqref="AA19">
    <cfRule type="expression" dxfId="1062" priority="974">
      <formula>$E19&lt;&gt;"Yes"</formula>
    </cfRule>
  </conditionalFormatting>
  <conditionalFormatting sqref="Y19">
    <cfRule type="expression" dxfId="1061" priority="973">
      <formula>$E$7&lt;&gt;"Yes"</formula>
    </cfRule>
  </conditionalFormatting>
  <conditionalFormatting sqref="Y19">
    <cfRule type="expression" dxfId="1060" priority="972">
      <formula>$E19&lt;&gt;"Yes"</formula>
    </cfRule>
  </conditionalFormatting>
  <conditionalFormatting sqref="O19:P19">
    <cfRule type="expression" dxfId="1059" priority="971">
      <formula>$E$7&lt;&gt;"Yes"</formula>
    </cfRule>
  </conditionalFormatting>
  <conditionalFormatting sqref="O19:P19">
    <cfRule type="expression" dxfId="1058" priority="970">
      <formula>$E19&lt;&gt;"Yes"</formula>
    </cfRule>
  </conditionalFormatting>
  <conditionalFormatting sqref="X19">
    <cfRule type="expression" dxfId="1057" priority="969">
      <formula>$E$7&lt;&gt;"Yes"</formula>
    </cfRule>
  </conditionalFormatting>
  <conditionalFormatting sqref="X19">
    <cfRule type="expression" dxfId="1056" priority="968">
      <formula>$E19&lt;&gt;"Yes"</formula>
    </cfRule>
  </conditionalFormatting>
  <conditionalFormatting sqref="AD19">
    <cfRule type="expression" dxfId="1055" priority="967">
      <formula>$E$7&lt;&gt;"Yes"</formula>
    </cfRule>
  </conditionalFormatting>
  <conditionalFormatting sqref="AD19">
    <cfRule type="expression" dxfId="1054" priority="966">
      <formula>$E19&lt;&gt;"Yes"</formula>
    </cfRule>
  </conditionalFormatting>
  <conditionalFormatting sqref="AC19">
    <cfRule type="expression" dxfId="1053" priority="965">
      <formula>$E$7&lt;&gt;"Yes"</formula>
    </cfRule>
  </conditionalFormatting>
  <conditionalFormatting sqref="AC19">
    <cfRule type="expression" dxfId="1052" priority="964">
      <formula>$E19&lt;&gt;"Yes"</formula>
    </cfRule>
  </conditionalFormatting>
  <conditionalFormatting sqref="R19:V19">
    <cfRule type="expression" dxfId="1051" priority="963">
      <formula>$E$7&lt;&gt;"Yes"</formula>
    </cfRule>
  </conditionalFormatting>
  <conditionalFormatting sqref="R19:V19">
    <cfRule type="expression" dxfId="1050" priority="962">
      <formula>$E19&lt;&gt;"Yes"</formula>
    </cfRule>
  </conditionalFormatting>
  <conditionalFormatting sqref="S19">
    <cfRule type="expression" dxfId="1049" priority="961">
      <formula>$E$7&lt;&gt;"Yes"</formula>
    </cfRule>
  </conditionalFormatting>
  <conditionalFormatting sqref="S19">
    <cfRule type="expression" dxfId="1048" priority="960">
      <formula>$E19&lt;&gt;"Yes"</formula>
    </cfRule>
  </conditionalFormatting>
  <conditionalFormatting sqref="T19">
    <cfRule type="expression" dxfId="1047" priority="959">
      <formula>$E$7&lt;&gt;"Yes"</formula>
    </cfRule>
  </conditionalFormatting>
  <conditionalFormatting sqref="T19">
    <cfRule type="expression" dxfId="1046" priority="958">
      <formula>$E19&lt;&gt;"Yes"</formula>
    </cfRule>
  </conditionalFormatting>
  <conditionalFormatting sqref="U19">
    <cfRule type="expression" dxfId="1045" priority="957">
      <formula>$E$7&lt;&gt;"Yes"</formula>
    </cfRule>
  </conditionalFormatting>
  <conditionalFormatting sqref="U19">
    <cfRule type="expression" dxfId="1044" priority="956">
      <formula>$E19&lt;&gt;"Yes"</formula>
    </cfRule>
  </conditionalFormatting>
  <conditionalFormatting sqref="V19">
    <cfRule type="expression" dxfId="1043" priority="955">
      <formula>$E$7&lt;&gt;"Yes"</formula>
    </cfRule>
  </conditionalFormatting>
  <conditionalFormatting sqref="V19">
    <cfRule type="expression" dxfId="1042" priority="954">
      <formula>$E19&lt;&gt;"Yes"</formula>
    </cfRule>
  </conditionalFormatting>
  <conditionalFormatting sqref="R19:V19">
    <cfRule type="expression" dxfId="1041" priority="953">
      <formula>$E$7&lt;&gt;"Yes"</formula>
    </cfRule>
  </conditionalFormatting>
  <conditionalFormatting sqref="R19:V19">
    <cfRule type="expression" dxfId="1040" priority="952">
      <formula>$E19&lt;&gt;"Yes"</formula>
    </cfRule>
  </conditionalFormatting>
  <conditionalFormatting sqref="Z19">
    <cfRule type="expression" dxfId="1039" priority="951">
      <formula>$E$7&lt;&gt;"Yes"</formula>
    </cfRule>
  </conditionalFormatting>
  <conditionalFormatting sqref="Z19">
    <cfRule type="expression" dxfId="1038" priority="950">
      <formula>$E19&lt;&gt;"Yes"</formula>
    </cfRule>
  </conditionalFormatting>
  <conditionalFormatting sqref="AN19:AO19">
    <cfRule type="expression" dxfId="1037" priority="949">
      <formula>$E$7&lt;&gt;"Yes"</formula>
    </cfRule>
  </conditionalFormatting>
  <conditionalFormatting sqref="AN19:AO19">
    <cfRule type="expression" dxfId="1036" priority="948">
      <formula>$E19&lt;&gt;"Yes"</formula>
    </cfRule>
  </conditionalFormatting>
  <conditionalFormatting sqref="AI19">
    <cfRule type="expression" dxfId="1035" priority="947">
      <formula>$E$7&lt;&gt;"Yes"</formula>
    </cfRule>
  </conditionalFormatting>
  <conditionalFormatting sqref="AI19">
    <cfRule type="expression" dxfId="1034" priority="946">
      <formula>$E19&lt;&gt;"Yes"</formula>
    </cfRule>
  </conditionalFormatting>
  <conditionalFormatting sqref="Q20 Y20 AF20:AH20 AJ20:AK20">
    <cfRule type="expression" dxfId="1033" priority="945">
      <formula>$E$7&lt;&gt;"Yes"</formula>
    </cfRule>
  </conditionalFormatting>
  <conditionalFormatting sqref="Q20 Y20 AF20:AH20 AJ20:AK20">
    <cfRule type="expression" dxfId="1032" priority="944">
      <formula>$E20&lt;&gt;"Yes"</formula>
    </cfRule>
  </conditionalFormatting>
  <conditionalFormatting sqref="G20">
    <cfRule type="expression" dxfId="1031" priority="941">
      <formula>$E$7&lt;&gt;"Yes"</formula>
    </cfRule>
  </conditionalFormatting>
  <conditionalFormatting sqref="M20 F20:J20 Q20">
    <cfRule type="expression" dxfId="1030" priority="943">
      <formula>$E$7&lt;&gt;"Yes"</formula>
    </cfRule>
  </conditionalFormatting>
  <conditionalFormatting sqref="M20 F20:J20 Q20">
    <cfRule type="expression" dxfId="1029" priority="942">
      <formula>$E20&lt;&gt;"Yes"</formula>
    </cfRule>
  </conditionalFormatting>
  <conditionalFormatting sqref="K20:L20">
    <cfRule type="expression" dxfId="1028" priority="940">
      <formula>$E$7&lt;&gt;"Yes"</formula>
    </cfRule>
  </conditionalFormatting>
  <conditionalFormatting sqref="K20:L20">
    <cfRule type="expression" dxfId="1027" priority="939">
      <formula>$E20&lt;&gt;"Yes"</formula>
    </cfRule>
  </conditionalFormatting>
  <conditionalFormatting sqref="W20">
    <cfRule type="expression" dxfId="1026" priority="938">
      <formula>$E$7&lt;&gt;"Yes"</formula>
    </cfRule>
  </conditionalFormatting>
  <conditionalFormatting sqref="W20">
    <cfRule type="expression" dxfId="1025" priority="937">
      <formula>$E20&lt;&gt;"Yes"</formula>
    </cfRule>
  </conditionalFormatting>
  <conditionalFormatting sqref="AE20">
    <cfRule type="expression" dxfId="1024" priority="936">
      <formula>$E$7&lt;&gt;"Yes"</formula>
    </cfRule>
  </conditionalFormatting>
  <conditionalFormatting sqref="AE20">
    <cfRule type="expression" dxfId="1023" priority="935">
      <formula>$E20&lt;&gt;"Yes"</formula>
    </cfRule>
  </conditionalFormatting>
  <conditionalFormatting sqref="N20">
    <cfRule type="expression" dxfId="1022" priority="934">
      <formula>$E$7&lt;&gt;"Yes"</formula>
    </cfRule>
  </conditionalFormatting>
  <conditionalFormatting sqref="N20">
    <cfRule type="expression" dxfId="1021" priority="933">
      <formula>$E20&lt;&gt;"Yes"</formula>
    </cfRule>
  </conditionalFormatting>
  <conditionalFormatting sqref="AB20">
    <cfRule type="expression" dxfId="1020" priority="932">
      <formula>$E$7&lt;&gt;"Yes"</formula>
    </cfRule>
  </conditionalFormatting>
  <conditionalFormatting sqref="AB20">
    <cfRule type="expression" dxfId="1019" priority="931">
      <formula>$E20&lt;&gt;"Yes"</formula>
    </cfRule>
  </conditionalFormatting>
  <conditionalFormatting sqref="AA20">
    <cfRule type="expression" dxfId="1018" priority="930">
      <formula>$E$7&lt;&gt;"Yes"</formula>
    </cfRule>
  </conditionalFormatting>
  <conditionalFormatting sqref="AA20">
    <cfRule type="expression" dxfId="1017" priority="929">
      <formula>$E20&lt;&gt;"Yes"</formula>
    </cfRule>
  </conditionalFormatting>
  <conditionalFormatting sqref="Y20">
    <cfRule type="expression" dxfId="1016" priority="928">
      <formula>$E$7&lt;&gt;"Yes"</formula>
    </cfRule>
  </conditionalFormatting>
  <conditionalFormatting sqref="Y20">
    <cfRule type="expression" dxfId="1015" priority="927">
      <formula>$E20&lt;&gt;"Yes"</formula>
    </cfRule>
  </conditionalFormatting>
  <conditionalFormatting sqref="O20:P20">
    <cfRule type="expression" dxfId="1014" priority="926">
      <formula>$E$7&lt;&gt;"Yes"</formula>
    </cfRule>
  </conditionalFormatting>
  <conditionalFormatting sqref="O20:P20">
    <cfRule type="expression" dxfId="1013" priority="925">
      <formula>$E20&lt;&gt;"Yes"</formula>
    </cfRule>
  </conditionalFormatting>
  <conditionalFormatting sqref="X20">
    <cfRule type="expression" dxfId="1012" priority="924">
      <formula>$E$7&lt;&gt;"Yes"</formula>
    </cfRule>
  </conditionalFormatting>
  <conditionalFormatting sqref="X20">
    <cfRule type="expression" dxfId="1011" priority="923">
      <formula>$E20&lt;&gt;"Yes"</formula>
    </cfRule>
  </conditionalFormatting>
  <conditionalFormatting sqref="AD20">
    <cfRule type="expression" dxfId="1010" priority="922">
      <formula>$E$7&lt;&gt;"Yes"</formula>
    </cfRule>
  </conditionalFormatting>
  <conditionalFormatting sqref="AD20">
    <cfRule type="expression" dxfId="1009" priority="921">
      <formula>$E20&lt;&gt;"Yes"</formula>
    </cfRule>
  </conditionalFormatting>
  <conditionalFormatting sqref="AC20">
    <cfRule type="expression" dxfId="1008" priority="920">
      <formula>$E$7&lt;&gt;"Yes"</formula>
    </cfRule>
  </conditionalFormatting>
  <conditionalFormatting sqref="AC20">
    <cfRule type="expression" dxfId="1007" priority="919">
      <formula>$E20&lt;&gt;"Yes"</formula>
    </cfRule>
  </conditionalFormatting>
  <conditionalFormatting sqref="R20:V20">
    <cfRule type="expression" dxfId="1006" priority="918">
      <formula>$E$7&lt;&gt;"Yes"</formula>
    </cfRule>
  </conditionalFormatting>
  <conditionalFormatting sqref="R20:V20">
    <cfRule type="expression" dxfId="1005" priority="917">
      <formula>$E20&lt;&gt;"Yes"</formula>
    </cfRule>
  </conditionalFormatting>
  <conditionalFormatting sqref="S20">
    <cfRule type="expression" dxfId="1004" priority="916">
      <formula>$E$7&lt;&gt;"Yes"</formula>
    </cfRule>
  </conditionalFormatting>
  <conditionalFormatting sqref="S20">
    <cfRule type="expression" dxfId="1003" priority="915">
      <formula>$E20&lt;&gt;"Yes"</formula>
    </cfRule>
  </conditionalFormatting>
  <conditionalFormatting sqref="T20">
    <cfRule type="expression" dxfId="1002" priority="914">
      <formula>$E$7&lt;&gt;"Yes"</formula>
    </cfRule>
  </conditionalFormatting>
  <conditionalFormatting sqref="T20">
    <cfRule type="expression" dxfId="1001" priority="913">
      <formula>$E20&lt;&gt;"Yes"</formula>
    </cfRule>
  </conditionalFormatting>
  <conditionalFormatting sqref="U20">
    <cfRule type="expression" dxfId="1000" priority="912">
      <formula>$E$7&lt;&gt;"Yes"</formula>
    </cfRule>
  </conditionalFormatting>
  <conditionalFormatting sqref="U20">
    <cfRule type="expression" dxfId="999" priority="911">
      <formula>$E20&lt;&gt;"Yes"</formula>
    </cfRule>
  </conditionalFormatting>
  <conditionalFormatting sqref="V20">
    <cfRule type="expression" dxfId="998" priority="910">
      <formula>$E$7&lt;&gt;"Yes"</formula>
    </cfRule>
  </conditionalFormatting>
  <conditionalFormatting sqref="V20">
    <cfRule type="expression" dxfId="997" priority="909">
      <formula>$E20&lt;&gt;"Yes"</formula>
    </cfRule>
  </conditionalFormatting>
  <conditionalFormatting sqref="R20:V20">
    <cfRule type="expression" dxfId="996" priority="908">
      <formula>$E$7&lt;&gt;"Yes"</formula>
    </cfRule>
  </conditionalFormatting>
  <conditionalFormatting sqref="R20:V20">
    <cfRule type="expression" dxfId="995" priority="907">
      <formula>$E20&lt;&gt;"Yes"</formula>
    </cfRule>
  </conditionalFormatting>
  <conditionalFormatting sqref="Z20">
    <cfRule type="expression" dxfId="994" priority="906">
      <formula>$E$7&lt;&gt;"Yes"</formula>
    </cfRule>
  </conditionalFormatting>
  <conditionalFormatting sqref="Z20">
    <cfRule type="expression" dxfId="993" priority="905">
      <formula>$E20&lt;&gt;"Yes"</formula>
    </cfRule>
  </conditionalFormatting>
  <conditionalFormatting sqref="AN20:AO20">
    <cfRule type="expression" dxfId="992" priority="904">
      <formula>$E$7&lt;&gt;"Yes"</formula>
    </cfRule>
  </conditionalFormatting>
  <conditionalFormatting sqref="AN20:AO20">
    <cfRule type="expression" dxfId="991" priority="903">
      <formula>$E20&lt;&gt;"Yes"</formula>
    </cfRule>
  </conditionalFormatting>
  <conditionalFormatting sqref="AI20">
    <cfRule type="expression" dxfId="990" priority="902">
      <formula>$E$7&lt;&gt;"Yes"</formula>
    </cfRule>
  </conditionalFormatting>
  <conditionalFormatting sqref="AI20">
    <cfRule type="expression" dxfId="989" priority="901">
      <formula>$E20&lt;&gt;"Yes"</formula>
    </cfRule>
  </conditionalFormatting>
  <conditionalFormatting sqref="Q21 Y21 AF21:AH21 AJ21:AK21">
    <cfRule type="expression" dxfId="988" priority="900">
      <formula>$E$7&lt;&gt;"Yes"</formula>
    </cfRule>
  </conditionalFormatting>
  <conditionalFormatting sqref="Q21 Y21 AF21:AH21 AJ21:AK21">
    <cfRule type="expression" dxfId="987" priority="899">
      <formula>$E21&lt;&gt;"Yes"</formula>
    </cfRule>
  </conditionalFormatting>
  <conditionalFormatting sqref="G21">
    <cfRule type="expression" dxfId="986" priority="896">
      <formula>$E$7&lt;&gt;"Yes"</formula>
    </cfRule>
  </conditionalFormatting>
  <conditionalFormatting sqref="M21 F21:J21 Q21">
    <cfRule type="expression" dxfId="985" priority="898">
      <formula>$E$7&lt;&gt;"Yes"</formula>
    </cfRule>
  </conditionalFormatting>
  <conditionalFormatting sqref="M21 F21:J21 Q21">
    <cfRule type="expression" dxfId="984" priority="897">
      <formula>$E21&lt;&gt;"Yes"</formula>
    </cfRule>
  </conditionalFormatting>
  <conditionalFormatting sqref="K21:L21">
    <cfRule type="expression" dxfId="983" priority="895">
      <formula>$E$7&lt;&gt;"Yes"</formula>
    </cfRule>
  </conditionalFormatting>
  <conditionalFormatting sqref="K21:L21">
    <cfRule type="expression" dxfId="982" priority="894">
      <formula>$E21&lt;&gt;"Yes"</formula>
    </cfRule>
  </conditionalFormatting>
  <conditionalFormatting sqref="W21">
    <cfRule type="expression" dxfId="981" priority="893">
      <formula>$E$7&lt;&gt;"Yes"</formula>
    </cfRule>
  </conditionalFormatting>
  <conditionalFormatting sqref="W21">
    <cfRule type="expression" dxfId="980" priority="892">
      <formula>$E21&lt;&gt;"Yes"</formula>
    </cfRule>
  </conditionalFormatting>
  <conditionalFormatting sqref="AE21">
    <cfRule type="expression" dxfId="979" priority="891">
      <formula>$E$7&lt;&gt;"Yes"</formula>
    </cfRule>
  </conditionalFormatting>
  <conditionalFormatting sqref="AE21">
    <cfRule type="expression" dxfId="978" priority="890">
      <formula>$E21&lt;&gt;"Yes"</formula>
    </cfRule>
  </conditionalFormatting>
  <conditionalFormatting sqref="N21">
    <cfRule type="expression" dxfId="977" priority="889">
      <formula>$E$7&lt;&gt;"Yes"</formula>
    </cfRule>
  </conditionalFormatting>
  <conditionalFormatting sqref="N21">
    <cfRule type="expression" dxfId="976" priority="888">
      <formula>$E21&lt;&gt;"Yes"</formula>
    </cfRule>
  </conditionalFormatting>
  <conditionalFormatting sqref="AB21">
    <cfRule type="expression" dxfId="975" priority="887">
      <formula>$E$7&lt;&gt;"Yes"</formula>
    </cfRule>
  </conditionalFormatting>
  <conditionalFormatting sqref="AB21">
    <cfRule type="expression" dxfId="974" priority="886">
      <formula>$E21&lt;&gt;"Yes"</formula>
    </cfRule>
  </conditionalFormatting>
  <conditionalFormatting sqref="AA21">
    <cfRule type="expression" dxfId="973" priority="885">
      <formula>$E$7&lt;&gt;"Yes"</formula>
    </cfRule>
  </conditionalFormatting>
  <conditionalFormatting sqref="AA21">
    <cfRule type="expression" dxfId="972" priority="884">
      <formula>$E21&lt;&gt;"Yes"</formula>
    </cfRule>
  </conditionalFormatting>
  <conditionalFormatting sqref="Y21">
    <cfRule type="expression" dxfId="971" priority="883">
      <formula>$E$7&lt;&gt;"Yes"</formula>
    </cfRule>
  </conditionalFormatting>
  <conditionalFormatting sqref="Y21">
    <cfRule type="expression" dxfId="970" priority="882">
      <formula>$E21&lt;&gt;"Yes"</formula>
    </cfRule>
  </conditionalFormatting>
  <conditionalFormatting sqref="O21:P21">
    <cfRule type="expression" dxfId="969" priority="881">
      <formula>$E$7&lt;&gt;"Yes"</formula>
    </cfRule>
  </conditionalFormatting>
  <conditionalFormatting sqref="O21:P21">
    <cfRule type="expression" dxfId="968" priority="880">
      <formula>$E21&lt;&gt;"Yes"</formula>
    </cfRule>
  </conditionalFormatting>
  <conditionalFormatting sqref="X21">
    <cfRule type="expression" dxfId="967" priority="879">
      <formula>$E$7&lt;&gt;"Yes"</formula>
    </cfRule>
  </conditionalFormatting>
  <conditionalFormatting sqref="X21">
    <cfRule type="expression" dxfId="966" priority="878">
      <formula>$E21&lt;&gt;"Yes"</formula>
    </cfRule>
  </conditionalFormatting>
  <conditionalFormatting sqref="AD21">
    <cfRule type="expression" dxfId="965" priority="877">
      <formula>$E$7&lt;&gt;"Yes"</formula>
    </cfRule>
  </conditionalFormatting>
  <conditionalFormatting sqref="AD21">
    <cfRule type="expression" dxfId="964" priority="876">
      <formula>$E21&lt;&gt;"Yes"</formula>
    </cfRule>
  </conditionalFormatting>
  <conditionalFormatting sqref="AC21">
    <cfRule type="expression" dxfId="963" priority="875">
      <formula>$E$7&lt;&gt;"Yes"</formula>
    </cfRule>
  </conditionalFormatting>
  <conditionalFormatting sqref="AC21">
    <cfRule type="expression" dxfId="962" priority="874">
      <formula>$E21&lt;&gt;"Yes"</formula>
    </cfRule>
  </conditionalFormatting>
  <conditionalFormatting sqref="R21:V21">
    <cfRule type="expression" dxfId="961" priority="873">
      <formula>$E$7&lt;&gt;"Yes"</formula>
    </cfRule>
  </conditionalFormatting>
  <conditionalFormatting sqref="R21:V21">
    <cfRule type="expression" dxfId="960" priority="872">
      <formula>$E21&lt;&gt;"Yes"</formula>
    </cfRule>
  </conditionalFormatting>
  <conditionalFormatting sqref="S21">
    <cfRule type="expression" dxfId="959" priority="871">
      <formula>$E$7&lt;&gt;"Yes"</formula>
    </cfRule>
  </conditionalFormatting>
  <conditionalFormatting sqref="S21">
    <cfRule type="expression" dxfId="958" priority="870">
      <formula>$E21&lt;&gt;"Yes"</formula>
    </cfRule>
  </conditionalFormatting>
  <conditionalFormatting sqref="T21">
    <cfRule type="expression" dxfId="957" priority="869">
      <formula>$E$7&lt;&gt;"Yes"</formula>
    </cfRule>
  </conditionalFormatting>
  <conditionalFormatting sqref="T21">
    <cfRule type="expression" dxfId="956" priority="868">
      <formula>$E21&lt;&gt;"Yes"</formula>
    </cfRule>
  </conditionalFormatting>
  <conditionalFormatting sqref="U21">
    <cfRule type="expression" dxfId="955" priority="867">
      <formula>$E$7&lt;&gt;"Yes"</formula>
    </cfRule>
  </conditionalFormatting>
  <conditionalFormatting sqref="U21">
    <cfRule type="expression" dxfId="954" priority="866">
      <formula>$E21&lt;&gt;"Yes"</formula>
    </cfRule>
  </conditionalFormatting>
  <conditionalFormatting sqref="V21">
    <cfRule type="expression" dxfId="953" priority="865">
      <formula>$E$7&lt;&gt;"Yes"</formula>
    </cfRule>
  </conditionalFormatting>
  <conditionalFormatting sqref="V21">
    <cfRule type="expression" dxfId="952" priority="864">
      <formula>$E21&lt;&gt;"Yes"</formula>
    </cfRule>
  </conditionalFormatting>
  <conditionalFormatting sqref="R21:V21">
    <cfRule type="expression" dxfId="951" priority="863">
      <formula>$E$7&lt;&gt;"Yes"</formula>
    </cfRule>
  </conditionalFormatting>
  <conditionalFormatting sqref="R21:V21">
    <cfRule type="expression" dxfId="950" priority="862">
      <formula>$E21&lt;&gt;"Yes"</formula>
    </cfRule>
  </conditionalFormatting>
  <conditionalFormatting sqref="Z21">
    <cfRule type="expression" dxfId="949" priority="861">
      <formula>$E$7&lt;&gt;"Yes"</formula>
    </cfRule>
  </conditionalFormatting>
  <conditionalFormatting sqref="Z21">
    <cfRule type="expression" dxfId="948" priority="860">
      <formula>$E21&lt;&gt;"Yes"</formula>
    </cfRule>
  </conditionalFormatting>
  <conditionalFormatting sqref="AN21:AO21">
    <cfRule type="expression" dxfId="947" priority="859">
      <formula>$E$7&lt;&gt;"Yes"</formula>
    </cfRule>
  </conditionalFormatting>
  <conditionalFormatting sqref="AN21:AO21">
    <cfRule type="expression" dxfId="946" priority="858">
      <formula>$E21&lt;&gt;"Yes"</formula>
    </cfRule>
  </conditionalFormatting>
  <conditionalFormatting sqref="AI21">
    <cfRule type="expression" dxfId="945" priority="857">
      <formula>$E$7&lt;&gt;"Yes"</formula>
    </cfRule>
  </conditionalFormatting>
  <conditionalFormatting sqref="AI21">
    <cfRule type="expression" dxfId="944" priority="856">
      <formula>$E21&lt;&gt;"Yes"</formula>
    </cfRule>
  </conditionalFormatting>
  <conditionalFormatting sqref="Q376 Y376 AF376:AH376 AJ376:AK376">
    <cfRule type="expression" dxfId="943" priority="765">
      <formula>$E$7&lt;&gt;"Yes"</formula>
    </cfRule>
  </conditionalFormatting>
  <conditionalFormatting sqref="Q376 Y376 AF376:AH376 AJ376:AK376">
    <cfRule type="expression" dxfId="942" priority="764">
      <formula>$E376&lt;&gt;"Yes"</formula>
    </cfRule>
  </conditionalFormatting>
  <conditionalFormatting sqref="G376">
    <cfRule type="expression" dxfId="941" priority="761">
      <formula>$E$7&lt;&gt;"Yes"</formula>
    </cfRule>
  </conditionalFormatting>
  <conditionalFormatting sqref="M376 F376:J376 Q376">
    <cfRule type="expression" dxfId="940" priority="763">
      <formula>$E$7&lt;&gt;"Yes"</formula>
    </cfRule>
  </conditionalFormatting>
  <conditionalFormatting sqref="M376 F376:J376 Q376">
    <cfRule type="expression" dxfId="939" priority="762">
      <formula>$E376&lt;&gt;"Yes"</formula>
    </cfRule>
  </conditionalFormatting>
  <conditionalFormatting sqref="K376:L376">
    <cfRule type="expression" dxfId="938" priority="760">
      <formula>$E$7&lt;&gt;"Yes"</formula>
    </cfRule>
  </conditionalFormatting>
  <conditionalFormatting sqref="K376:L376">
    <cfRule type="expression" dxfId="937" priority="759">
      <formula>$E376&lt;&gt;"Yes"</formula>
    </cfRule>
  </conditionalFormatting>
  <conditionalFormatting sqref="W376">
    <cfRule type="expression" dxfId="936" priority="758">
      <formula>$E$7&lt;&gt;"Yes"</formula>
    </cfRule>
  </conditionalFormatting>
  <conditionalFormatting sqref="W376">
    <cfRule type="expression" dxfId="935" priority="757">
      <formula>$E376&lt;&gt;"Yes"</formula>
    </cfRule>
  </conditionalFormatting>
  <conditionalFormatting sqref="AE376">
    <cfRule type="expression" dxfId="934" priority="756">
      <formula>$E$7&lt;&gt;"Yes"</formula>
    </cfRule>
  </conditionalFormatting>
  <conditionalFormatting sqref="AE376">
    <cfRule type="expression" dxfId="933" priority="755">
      <formula>$E376&lt;&gt;"Yes"</formula>
    </cfRule>
  </conditionalFormatting>
  <conditionalFormatting sqref="N376">
    <cfRule type="expression" dxfId="932" priority="754">
      <formula>$E$7&lt;&gt;"Yes"</formula>
    </cfRule>
  </conditionalFormatting>
  <conditionalFormatting sqref="N376">
    <cfRule type="expression" dxfId="931" priority="753">
      <formula>$E376&lt;&gt;"Yes"</formula>
    </cfRule>
  </conditionalFormatting>
  <conditionalFormatting sqref="AB376">
    <cfRule type="expression" dxfId="930" priority="752">
      <formula>$E$7&lt;&gt;"Yes"</formula>
    </cfRule>
  </conditionalFormatting>
  <conditionalFormatting sqref="AB376">
    <cfRule type="expression" dxfId="929" priority="751">
      <formula>$E376&lt;&gt;"Yes"</formula>
    </cfRule>
  </conditionalFormatting>
  <conditionalFormatting sqref="AA376">
    <cfRule type="expression" dxfId="928" priority="750">
      <formula>$E$7&lt;&gt;"Yes"</formula>
    </cfRule>
  </conditionalFormatting>
  <conditionalFormatting sqref="AA376">
    <cfRule type="expression" dxfId="927" priority="749">
      <formula>$E376&lt;&gt;"Yes"</formula>
    </cfRule>
  </conditionalFormatting>
  <conditionalFormatting sqref="Y376">
    <cfRule type="expression" dxfId="926" priority="748">
      <formula>$E$7&lt;&gt;"Yes"</formula>
    </cfRule>
  </conditionalFormatting>
  <conditionalFormatting sqref="Y376">
    <cfRule type="expression" dxfId="925" priority="747">
      <formula>$E376&lt;&gt;"Yes"</formula>
    </cfRule>
  </conditionalFormatting>
  <conditionalFormatting sqref="O376:P376">
    <cfRule type="expression" dxfId="924" priority="746">
      <formula>$E$7&lt;&gt;"Yes"</formula>
    </cfRule>
  </conditionalFormatting>
  <conditionalFormatting sqref="O376:P376">
    <cfRule type="expression" dxfId="923" priority="745">
      <formula>$E376&lt;&gt;"Yes"</formula>
    </cfRule>
  </conditionalFormatting>
  <conditionalFormatting sqref="X376">
    <cfRule type="expression" dxfId="922" priority="744">
      <formula>$E$7&lt;&gt;"Yes"</formula>
    </cfRule>
  </conditionalFormatting>
  <conditionalFormatting sqref="X376">
    <cfRule type="expression" dxfId="921" priority="743">
      <formula>$E376&lt;&gt;"Yes"</formula>
    </cfRule>
  </conditionalFormatting>
  <conditionalFormatting sqref="AD376">
    <cfRule type="expression" dxfId="920" priority="742">
      <formula>$E$7&lt;&gt;"Yes"</formula>
    </cfRule>
  </conditionalFormatting>
  <conditionalFormatting sqref="AD376">
    <cfRule type="expression" dxfId="919" priority="741">
      <formula>$E376&lt;&gt;"Yes"</formula>
    </cfRule>
  </conditionalFormatting>
  <conditionalFormatting sqref="AC376">
    <cfRule type="expression" dxfId="918" priority="740">
      <formula>$E$7&lt;&gt;"Yes"</formula>
    </cfRule>
  </conditionalFormatting>
  <conditionalFormatting sqref="AC376">
    <cfRule type="expression" dxfId="917" priority="739">
      <formula>$E376&lt;&gt;"Yes"</formula>
    </cfRule>
  </conditionalFormatting>
  <conditionalFormatting sqref="R376:V376">
    <cfRule type="expression" dxfId="916" priority="738">
      <formula>$E$7&lt;&gt;"Yes"</formula>
    </cfRule>
  </conditionalFormatting>
  <conditionalFormatting sqref="R376:V376">
    <cfRule type="expression" dxfId="915" priority="737">
      <formula>$E376&lt;&gt;"Yes"</formula>
    </cfRule>
  </conditionalFormatting>
  <conditionalFormatting sqref="S376">
    <cfRule type="expression" dxfId="914" priority="736">
      <formula>$E$7&lt;&gt;"Yes"</formula>
    </cfRule>
  </conditionalFormatting>
  <conditionalFormatting sqref="S376">
    <cfRule type="expression" dxfId="913" priority="735">
      <formula>$E376&lt;&gt;"Yes"</formula>
    </cfRule>
  </conditionalFormatting>
  <conditionalFormatting sqref="T376">
    <cfRule type="expression" dxfId="912" priority="734">
      <formula>$E$7&lt;&gt;"Yes"</formula>
    </cfRule>
  </conditionalFormatting>
  <conditionalFormatting sqref="T376">
    <cfRule type="expression" dxfId="911" priority="733">
      <formula>$E376&lt;&gt;"Yes"</formula>
    </cfRule>
  </conditionalFormatting>
  <conditionalFormatting sqref="U376">
    <cfRule type="expression" dxfId="910" priority="732">
      <formula>$E$7&lt;&gt;"Yes"</formula>
    </cfRule>
  </conditionalFormatting>
  <conditionalFormatting sqref="U376">
    <cfRule type="expression" dxfId="909" priority="731">
      <formula>$E376&lt;&gt;"Yes"</formula>
    </cfRule>
  </conditionalFormatting>
  <conditionalFormatting sqref="V376">
    <cfRule type="expression" dxfId="908" priority="730">
      <formula>$E$7&lt;&gt;"Yes"</formula>
    </cfRule>
  </conditionalFormatting>
  <conditionalFormatting sqref="V376">
    <cfRule type="expression" dxfId="907" priority="729">
      <formula>$E376&lt;&gt;"Yes"</formula>
    </cfRule>
  </conditionalFormatting>
  <conditionalFormatting sqref="R376:V376">
    <cfRule type="expression" dxfId="906" priority="728">
      <formula>$E$7&lt;&gt;"Yes"</formula>
    </cfRule>
  </conditionalFormatting>
  <conditionalFormatting sqref="R376:V376">
    <cfRule type="expression" dxfId="905" priority="727">
      <formula>$E376&lt;&gt;"Yes"</formula>
    </cfRule>
  </conditionalFormatting>
  <conditionalFormatting sqref="Z376">
    <cfRule type="expression" dxfId="904" priority="726">
      <formula>$E$7&lt;&gt;"Yes"</formula>
    </cfRule>
  </conditionalFormatting>
  <conditionalFormatting sqref="Z376">
    <cfRule type="expression" dxfId="903" priority="725">
      <formula>$E376&lt;&gt;"Yes"</formula>
    </cfRule>
  </conditionalFormatting>
  <conditionalFormatting sqref="AN376:AO376">
    <cfRule type="expression" dxfId="902" priority="724">
      <formula>$E$7&lt;&gt;"Yes"</formula>
    </cfRule>
  </conditionalFormatting>
  <conditionalFormatting sqref="AN376:AO376">
    <cfRule type="expression" dxfId="901" priority="723">
      <formula>$E376&lt;&gt;"Yes"</formula>
    </cfRule>
  </conditionalFormatting>
  <conditionalFormatting sqref="AI376">
    <cfRule type="expression" dxfId="900" priority="722">
      <formula>$E$7&lt;&gt;"Yes"</formula>
    </cfRule>
  </conditionalFormatting>
  <conditionalFormatting sqref="AI376">
    <cfRule type="expression" dxfId="899" priority="721">
      <formula>$E376&lt;&gt;"Yes"</formula>
    </cfRule>
  </conditionalFormatting>
  <conditionalFormatting sqref="Q377 Y377 AF377:AH377 AJ377:AK377">
    <cfRule type="expression" dxfId="898" priority="810">
      <formula>$E$7&lt;&gt;"Yes"</formula>
    </cfRule>
  </conditionalFormatting>
  <conditionalFormatting sqref="Q377 Y377 AF377:AH377 AJ377:AK377">
    <cfRule type="expression" dxfId="897" priority="809">
      <formula>$E377&lt;&gt;"Yes"</formula>
    </cfRule>
  </conditionalFormatting>
  <conditionalFormatting sqref="G377">
    <cfRule type="expression" dxfId="896" priority="806">
      <formula>$E$7&lt;&gt;"Yes"</formula>
    </cfRule>
  </conditionalFormatting>
  <conditionalFormatting sqref="M377 F377:J377 Q377">
    <cfRule type="expression" dxfId="895" priority="808">
      <formula>$E$7&lt;&gt;"Yes"</formula>
    </cfRule>
  </conditionalFormatting>
  <conditionalFormatting sqref="M377 F377:J377 Q377">
    <cfRule type="expression" dxfId="894" priority="807">
      <formula>$E377&lt;&gt;"Yes"</formula>
    </cfRule>
  </conditionalFormatting>
  <conditionalFormatting sqref="K377:L377">
    <cfRule type="expression" dxfId="893" priority="805">
      <formula>$E$7&lt;&gt;"Yes"</formula>
    </cfRule>
  </conditionalFormatting>
  <conditionalFormatting sqref="K377:L377">
    <cfRule type="expression" dxfId="892" priority="804">
      <formula>$E377&lt;&gt;"Yes"</formula>
    </cfRule>
  </conditionalFormatting>
  <conditionalFormatting sqref="W377">
    <cfRule type="expression" dxfId="891" priority="803">
      <formula>$E$7&lt;&gt;"Yes"</formula>
    </cfRule>
  </conditionalFormatting>
  <conditionalFormatting sqref="W377">
    <cfRule type="expression" dxfId="890" priority="802">
      <formula>$E377&lt;&gt;"Yes"</formula>
    </cfRule>
  </conditionalFormatting>
  <conditionalFormatting sqref="AE377">
    <cfRule type="expression" dxfId="889" priority="801">
      <formula>$E$7&lt;&gt;"Yes"</formula>
    </cfRule>
  </conditionalFormatting>
  <conditionalFormatting sqref="AE377">
    <cfRule type="expression" dxfId="888" priority="800">
      <formula>$E377&lt;&gt;"Yes"</formula>
    </cfRule>
  </conditionalFormatting>
  <conditionalFormatting sqref="N377">
    <cfRule type="expression" dxfId="887" priority="799">
      <formula>$E$7&lt;&gt;"Yes"</formula>
    </cfRule>
  </conditionalFormatting>
  <conditionalFormatting sqref="N377">
    <cfRule type="expression" dxfId="886" priority="798">
      <formula>$E377&lt;&gt;"Yes"</formula>
    </cfRule>
  </conditionalFormatting>
  <conditionalFormatting sqref="AB377">
    <cfRule type="expression" dxfId="885" priority="797">
      <formula>$E$7&lt;&gt;"Yes"</formula>
    </cfRule>
  </conditionalFormatting>
  <conditionalFormatting sqref="AB377">
    <cfRule type="expression" dxfId="884" priority="796">
      <formula>$E377&lt;&gt;"Yes"</formula>
    </cfRule>
  </conditionalFormatting>
  <conditionalFormatting sqref="AA377">
    <cfRule type="expression" dxfId="883" priority="795">
      <formula>$E$7&lt;&gt;"Yes"</formula>
    </cfRule>
  </conditionalFormatting>
  <conditionalFormatting sqref="AA377">
    <cfRule type="expression" dxfId="882" priority="794">
      <formula>$E377&lt;&gt;"Yes"</formula>
    </cfRule>
  </conditionalFormatting>
  <conditionalFormatting sqref="Y377">
    <cfRule type="expression" dxfId="881" priority="793">
      <formula>$E$7&lt;&gt;"Yes"</formula>
    </cfRule>
  </conditionalFormatting>
  <conditionalFormatting sqref="Y377">
    <cfRule type="expression" dxfId="880" priority="792">
      <formula>$E377&lt;&gt;"Yes"</formula>
    </cfRule>
  </conditionalFormatting>
  <conditionalFormatting sqref="O377:P377">
    <cfRule type="expression" dxfId="879" priority="791">
      <formula>$E$7&lt;&gt;"Yes"</formula>
    </cfRule>
  </conditionalFormatting>
  <conditionalFormatting sqref="O377:P377">
    <cfRule type="expression" dxfId="878" priority="790">
      <formula>$E377&lt;&gt;"Yes"</formula>
    </cfRule>
  </conditionalFormatting>
  <conditionalFormatting sqref="X377">
    <cfRule type="expression" dxfId="877" priority="789">
      <formula>$E$7&lt;&gt;"Yes"</formula>
    </cfRule>
  </conditionalFormatting>
  <conditionalFormatting sqref="X377">
    <cfRule type="expression" dxfId="876" priority="788">
      <formula>$E377&lt;&gt;"Yes"</formula>
    </cfRule>
  </conditionalFormatting>
  <conditionalFormatting sqref="AD377">
    <cfRule type="expression" dxfId="875" priority="787">
      <formula>$E$7&lt;&gt;"Yes"</formula>
    </cfRule>
  </conditionalFormatting>
  <conditionalFormatting sqref="AD377">
    <cfRule type="expression" dxfId="874" priority="786">
      <formula>$E377&lt;&gt;"Yes"</formula>
    </cfRule>
  </conditionalFormatting>
  <conditionalFormatting sqref="AC377">
    <cfRule type="expression" dxfId="873" priority="785">
      <formula>$E$7&lt;&gt;"Yes"</formula>
    </cfRule>
  </conditionalFormatting>
  <conditionalFormatting sqref="AC377">
    <cfRule type="expression" dxfId="872" priority="784">
      <formula>$E377&lt;&gt;"Yes"</formula>
    </cfRule>
  </conditionalFormatting>
  <conditionalFormatting sqref="R377:V377">
    <cfRule type="expression" dxfId="871" priority="783">
      <formula>$E$7&lt;&gt;"Yes"</formula>
    </cfRule>
  </conditionalFormatting>
  <conditionalFormatting sqref="R377:V377">
    <cfRule type="expression" dxfId="870" priority="782">
      <formula>$E377&lt;&gt;"Yes"</formula>
    </cfRule>
  </conditionalFormatting>
  <conditionalFormatting sqref="S377">
    <cfRule type="expression" dxfId="869" priority="781">
      <formula>$E$7&lt;&gt;"Yes"</formula>
    </cfRule>
  </conditionalFormatting>
  <conditionalFormatting sqref="S377">
    <cfRule type="expression" dxfId="868" priority="780">
      <formula>$E377&lt;&gt;"Yes"</formula>
    </cfRule>
  </conditionalFormatting>
  <conditionalFormatting sqref="T377">
    <cfRule type="expression" dxfId="867" priority="779">
      <formula>$E$7&lt;&gt;"Yes"</formula>
    </cfRule>
  </conditionalFormatting>
  <conditionalFormatting sqref="T377">
    <cfRule type="expression" dxfId="866" priority="778">
      <formula>$E377&lt;&gt;"Yes"</formula>
    </cfRule>
  </conditionalFormatting>
  <conditionalFormatting sqref="U377">
    <cfRule type="expression" dxfId="865" priority="777">
      <formula>$E$7&lt;&gt;"Yes"</formula>
    </cfRule>
  </conditionalFormatting>
  <conditionalFormatting sqref="U377">
    <cfRule type="expression" dxfId="864" priority="776">
      <formula>$E377&lt;&gt;"Yes"</formula>
    </cfRule>
  </conditionalFormatting>
  <conditionalFormatting sqref="V377">
    <cfRule type="expression" dxfId="863" priority="775">
      <formula>$E$7&lt;&gt;"Yes"</formula>
    </cfRule>
  </conditionalFormatting>
  <conditionalFormatting sqref="V377">
    <cfRule type="expression" dxfId="862" priority="774">
      <formula>$E377&lt;&gt;"Yes"</formula>
    </cfRule>
  </conditionalFormatting>
  <conditionalFormatting sqref="R377:V377">
    <cfRule type="expression" dxfId="861" priority="773">
      <formula>$E$7&lt;&gt;"Yes"</formula>
    </cfRule>
  </conditionalFormatting>
  <conditionalFormatting sqref="R377:V377">
    <cfRule type="expression" dxfId="860" priority="772">
      <formula>$E377&lt;&gt;"Yes"</formula>
    </cfRule>
  </conditionalFormatting>
  <conditionalFormatting sqref="Z377">
    <cfRule type="expression" dxfId="859" priority="771">
      <formula>$E$7&lt;&gt;"Yes"</formula>
    </cfRule>
  </conditionalFormatting>
  <conditionalFormatting sqref="Z377">
    <cfRule type="expression" dxfId="858" priority="770">
      <formula>$E377&lt;&gt;"Yes"</formula>
    </cfRule>
  </conditionalFormatting>
  <conditionalFormatting sqref="AN377:AO377">
    <cfRule type="expression" dxfId="857" priority="769">
      <formula>$E$7&lt;&gt;"Yes"</formula>
    </cfRule>
  </conditionalFormatting>
  <conditionalFormatting sqref="AN377:AO377">
    <cfRule type="expression" dxfId="856" priority="768">
      <formula>$E377&lt;&gt;"Yes"</formula>
    </cfRule>
  </conditionalFormatting>
  <conditionalFormatting sqref="AI377">
    <cfRule type="expression" dxfId="855" priority="767">
      <formula>$E$7&lt;&gt;"Yes"</formula>
    </cfRule>
  </conditionalFormatting>
  <conditionalFormatting sqref="AI377">
    <cfRule type="expression" dxfId="854" priority="766">
      <formula>$E377&lt;&gt;"Yes"</formula>
    </cfRule>
  </conditionalFormatting>
  <conditionalFormatting sqref="Q375 Y375 AF375:AH375 AJ375:AK375">
    <cfRule type="expression" dxfId="853" priority="720">
      <formula>$E$7&lt;&gt;"Yes"</formula>
    </cfRule>
  </conditionalFormatting>
  <conditionalFormatting sqref="Q375 Y375 AF375:AH375 AJ375:AK375">
    <cfRule type="expression" dxfId="852" priority="719">
      <formula>$E375&lt;&gt;"Yes"</formula>
    </cfRule>
  </conditionalFormatting>
  <conditionalFormatting sqref="G375">
    <cfRule type="expression" dxfId="851" priority="716">
      <formula>$E$7&lt;&gt;"Yes"</formula>
    </cfRule>
  </conditionalFormatting>
  <conditionalFormatting sqref="M375 F375:J375 Q375">
    <cfRule type="expression" dxfId="850" priority="718">
      <formula>$E$7&lt;&gt;"Yes"</formula>
    </cfRule>
  </conditionalFormatting>
  <conditionalFormatting sqref="M375 F375:J375 Q375">
    <cfRule type="expression" dxfId="849" priority="717">
      <formula>$E375&lt;&gt;"Yes"</formula>
    </cfRule>
  </conditionalFormatting>
  <conditionalFormatting sqref="K375:L375">
    <cfRule type="expression" dxfId="848" priority="715">
      <formula>$E$7&lt;&gt;"Yes"</formula>
    </cfRule>
  </conditionalFormatting>
  <conditionalFormatting sqref="K375:L375">
    <cfRule type="expression" dxfId="847" priority="714">
      <formula>$E375&lt;&gt;"Yes"</formula>
    </cfRule>
  </conditionalFormatting>
  <conditionalFormatting sqref="W375">
    <cfRule type="expression" dxfId="846" priority="713">
      <formula>$E$7&lt;&gt;"Yes"</formula>
    </cfRule>
  </conditionalFormatting>
  <conditionalFormatting sqref="W375">
    <cfRule type="expression" dxfId="845" priority="712">
      <formula>$E375&lt;&gt;"Yes"</formula>
    </cfRule>
  </conditionalFormatting>
  <conditionalFormatting sqref="AE375">
    <cfRule type="expression" dxfId="844" priority="711">
      <formula>$E$7&lt;&gt;"Yes"</formula>
    </cfRule>
  </conditionalFormatting>
  <conditionalFormatting sqref="AE375">
    <cfRule type="expression" dxfId="843" priority="710">
      <formula>$E375&lt;&gt;"Yes"</formula>
    </cfRule>
  </conditionalFormatting>
  <conditionalFormatting sqref="N375">
    <cfRule type="expression" dxfId="842" priority="709">
      <formula>$E$7&lt;&gt;"Yes"</formula>
    </cfRule>
  </conditionalFormatting>
  <conditionalFormatting sqref="N375">
    <cfRule type="expression" dxfId="841" priority="708">
      <formula>$E375&lt;&gt;"Yes"</formula>
    </cfRule>
  </conditionalFormatting>
  <conditionalFormatting sqref="AB375">
    <cfRule type="expression" dxfId="840" priority="707">
      <formula>$E$7&lt;&gt;"Yes"</formula>
    </cfRule>
  </conditionalFormatting>
  <conditionalFormatting sqref="AB375">
    <cfRule type="expression" dxfId="839" priority="706">
      <formula>$E375&lt;&gt;"Yes"</formula>
    </cfRule>
  </conditionalFormatting>
  <conditionalFormatting sqref="AA375">
    <cfRule type="expression" dxfId="838" priority="705">
      <formula>$E$7&lt;&gt;"Yes"</formula>
    </cfRule>
  </conditionalFormatting>
  <conditionalFormatting sqref="AA375">
    <cfRule type="expression" dxfId="837" priority="704">
      <formula>$E375&lt;&gt;"Yes"</formula>
    </cfRule>
  </conditionalFormatting>
  <conditionalFormatting sqref="Y375">
    <cfRule type="expression" dxfId="836" priority="703">
      <formula>$E$7&lt;&gt;"Yes"</formula>
    </cfRule>
  </conditionalFormatting>
  <conditionalFormatting sqref="Y375">
    <cfRule type="expression" dxfId="835" priority="702">
      <formula>$E375&lt;&gt;"Yes"</formula>
    </cfRule>
  </conditionalFormatting>
  <conditionalFormatting sqref="O375:P375">
    <cfRule type="expression" dxfId="834" priority="701">
      <formula>$E$7&lt;&gt;"Yes"</formula>
    </cfRule>
  </conditionalFormatting>
  <conditionalFormatting sqref="O375:P375">
    <cfRule type="expression" dxfId="833" priority="700">
      <formula>$E375&lt;&gt;"Yes"</formula>
    </cfRule>
  </conditionalFormatting>
  <conditionalFormatting sqref="X375">
    <cfRule type="expression" dxfId="832" priority="699">
      <formula>$E$7&lt;&gt;"Yes"</formula>
    </cfRule>
  </conditionalFormatting>
  <conditionalFormatting sqref="X375">
    <cfRule type="expression" dxfId="831" priority="698">
      <formula>$E375&lt;&gt;"Yes"</formula>
    </cfRule>
  </conditionalFormatting>
  <conditionalFormatting sqref="AD375">
    <cfRule type="expression" dxfId="830" priority="697">
      <formula>$E$7&lt;&gt;"Yes"</formula>
    </cfRule>
  </conditionalFormatting>
  <conditionalFormatting sqref="AD375">
    <cfRule type="expression" dxfId="829" priority="696">
      <formula>$E375&lt;&gt;"Yes"</formula>
    </cfRule>
  </conditionalFormatting>
  <conditionalFormatting sqref="AC375">
    <cfRule type="expression" dxfId="828" priority="695">
      <formula>$E$7&lt;&gt;"Yes"</formula>
    </cfRule>
  </conditionalFormatting>
  <conditionalFormatting sqref="AC375">
    <cfRule type="expression" dxfId="827" priority="694">
      <formula>$E375&lt;&gt;"Yes"</formula>
    </cfRule>
  </conditionalFormatting>
  <conditionalFormatting sqref="R375:V375">
    <cfRule type="expression" dxfId="826" priority="693">
      <formula>$E$7&lt;&gt;"Yes"</formula>
    </cfRule>
  </conditionalFormatting>
  <conditionalFormatting sqref="R375:V375">
    <cfRule type="expression" dxfId="825" priority="692">
      <formula>$E375&lt;&gt;"Yes"</formula>
    </cfRule>
  </conditionalFormatting>
  <conditionalFormatting sqref="S375">
    <cfRule type="expression" dxfId="824" priority="691">
      <formula>$E$7&lt;&gt;"Yes"</formula>
    </cfRule>
  </conditionalFormatting>
  <conditionalFormatting sqref="S375">
    <cfRule type="expression" dxfId="823" priority="690">
      <formula>$E375&lt;&gt;"Yes"</formula>
    </cfRule>
  </conditionalFormatting>
  <conditionalFormatting sqref="T375">
    <cfRule type="expression" dxfId="822" priority="689">
      <formula>$E$7&lt;&gt;"Yes"</formula>
    </cfRule>
  </conditionalFormatting>
  <conditionalFormatting sqref="T375">
    <cfRule type="expression" dxfId="821" priority="688">
      <formula>$E375&lt;&gt;"Yes"</formula>
    </cfRule>
  </conditionalFormatting>
  <conditionalFormatting sqref="U375">
    <cfRule type="expression" dxfId="820" priority="687">
      <formula>$E$7&lt;&gt;"Yes"</formula>
    </cfRule>
  </conditionalFormatting>
  <conditionalFormatting sqref="U375">
    <cfRule type="expression" dxfId="819" priority="686">
      <formula>$E375&lt;&gt;"Yes"</formula>
    </cfRule>
  </conditionalFormatting>
  <conditionalFormatting sqref="V375">
    <cfRule type="expression" dxfId="818" priority="685">
      <formula>$E$7&lt;&gt;"Yes"</formula>
    </cfRule>
  </conditionalFormatting>
  <conditionalFormatting sqref="V375">
    <cfRule type="expression" dxfId="817" priority="684">
      <formula>$E375&lt;&gt;"Yes"</formula>
    </cfRule>
  </conditionalFormatting>
  <conditionalFormatting sqref="R375:V375">
    <cfRule type="expression" dxfId="816" priority="683">
      <formula>$E$7&lt;&gt;"Yes"</formula>
    </cfRule>
  </conditionalFormatting>
  <conditionalFormatting sqref="R375:V375">
    <cfRule type="expression" dxfId="815" priority="682">
      <formula>$E375&lt;&gt;"Yes"</formula>
    </cfRule>
  </conditionalFormatting>
  <conditionalFormatting sqref="Z375">
    <cfRule type="expression" dxfId="814" priority="681">
      <formula>$E$7&lt;&gt;"Yes"</formula>
    </cfRule>
  </conditionalFormatting>
  <conditionalFormatting sqref="Z375">
    <cfRule type="expression" dxfId="813" priority="680">
      <formula>$E375&lt;&gt;"Yes"</formula>
    </cfRule>
  </conditionalFormatting>
  <conditionalFormatting sqref="AN375:AO375">
    <cfRule type="expression" dxfId="812" priority="679">
      <formula>$E$7&lt;&gt;"Yes"</formula>
    </cfRule>
  </conditionalFormatting>
  <conditionalFormatting sqref="AN375:AO375">
    <cfRule type="expression" dxfId="811" priority="678">
      <formula>$E375&lt;&gt;"Yes"</formula>
    </cfRule>
  </conditionalFormatting>
  <conditionalFormatting sqref="AI375">
    <cfRule type="expression" dxfId="810" priority="677">
      <formula>$E$7&lt;&gt;"Yes"</formula>
    </cfRule>
  </conditionalFormatting>
  <conditionalFormatting sqref="AI375">
    <cfRule type="expression" dxfId="809" priority="676">
      <formula>$E375&lt;&gt;"Yes"</formula>
    </cfRule>
  </conditionalFormatting>
  <conditionalFormatting sqref="Q276 Y276 AF276:AH276 AJ276:AK276">
    <cfRule type="expression" dxfId="808" priority="630">
      <formula>$E$7&lt;&gt;"Yes"</formula>
    </cfRule>
  </conditionalFormatting>
  <conditionalFormatting sqref="Q276 Y276 AF276:AH276 AJ276:AK276">
    <cfRule type="expression" dxfId="807" priority="629">
      <formula>$E276&lt;&gt;"Yes"</formula>
    </cfRule>
  </conditionalFormatting>
  <conditionalFormatting sqref="G276">
    <cfRule type="expression" dxfId="806" priority="626">
      <formula>$E$7&lt;&gt;"Yes"</formula>
    </cfRule>
  </conditionalFormatting>
  <conditionalFormatting sqref="M276 F276:J276 Q276">
    <cfRule type="expression" dxfId="805" priority="628">
      <formula>$E$7&lt;&gt;"Yes"</formula>
    </cfRule>
  </conditionalFormatting>
  <conditionalFormatting sqref="M276 F276:J276 Q276">
    <cfRule type="expression" dxfId="804" priority="627">
      <formula>$E276&lt;&gt;"Yes"</formula>
    </cfRule>
  </conditionalFormatting>
  <conditionalFormatting sqref="K276:L276">
    <cfRule type="expression" dxfId="803" priority="625">
      <formula>$E$7&lt;&gt;"Yes"</formula>
    </cfRule>
  </conditionalFormatting>
  <conditionalFormatting sqref="K276:L276">
    <cfRule type="expression" dxfId="802" priority="624">
      <formula>$E276&lt;&gt;"Yes"</formula>
    </cfRule>
  </conditionalFormatting>
  <conditionalFormatting sqref="W276">
    <cfRule type="expression" dxfId="801" priority="623">
      <formula>$E$7&lt;&gt;"Yes"</formula>
    </cfRule>
  </conditionalFormatting>
  <conditionalFormatting sqref="W276">
    <cfRule type="expression" dxfId="800" priority="622">
      <formula>$E276&lt;&gt;"Yes"</formula>
    </cfRule>
  </conditionalFormatting>
  <conditionalFormatting sqref="AE276">
    <cfRule type="expression" dxfId="799" priority="621">
      <formula>$E$7&lt;&gt;"Yes"</formula>
    </cfRule>
  </conditionalFormatting>
  <conditionalFormatting sqref="AE276">
    <cfRule type="expression" dxfId="798" priority="620">
      <formula>$E276&lt;&gt;"Yes"</formula>
    </cfRule>
  </conditionalFormatting>
  <conditionalFormatting sqref="N276">
    <cfRule type="expression" dxfId="797" priority="619">
      <formula>$E$7&lt;&gt;"Yes"</formula>
    </cfRule>
  </conditionalFormatting>
  <conditionalFormatting sqref="N276">
    <cfRule type="expression" dxfId="796" priority="618">
      <formula>$E276&lt;&gt;"Yes"</formula>
    </cfRule>
  </conditionalFormatting>
  <conditionalFormatting sqref="AB276">
    <cfRule type="expression" dxfId="795" priority="617">
      <formula>$E$7&lt;&gt;"Yes"</formula>
    </cfRule>
  </conditionalFormatting>
  <conditionalFormatting sqref="AB276">
    <cfRule type="expression" dxfId="794" priority="616">
      <formula>$E276&lt;&gt;"Yes"</formula>
    </cfRule>
  </conditionalFormatting>
  <conditionalFormatting sqref="AA276">
    <cfRule type="expression" dxfId="793" priority="615">
      <formula>$E$7&lt;&gt;"Yes"</formula>
    </cfRule>
  </conditionalFormatting>
  <conditionalFormatting sqref="AA276">
    <cfRule type="expression" dxfId="792" priority="614">
      <formula>$E276&lt;&gt;"Yes"</formula>
    </cfRule>
  </conditionalFormatting>
  <conditionalFormatting sqref="Y276">
    <cfRule type="expression" dxfId="791" priority="613">
      <formula>$E$7&lt;&gt;"Yes"</formula>
    </cfRule>
  </conditionalFormatting>
  <conditionalFormatting sqref="Y276">
    <cfRule type="expression" dxfId="790" priority="612">
      <formula>$E276&lt;&gt;"Yes"</formula>
    </cfRule>
  </conditionalFormatting>
  <conditionalFormatting sqref="O276:P276">
    <cfRule type="expression" dxfId="789" priority="611">
      <formula>$E$7&lt;&gt;"Yes"</formula>
    </cfRule>
  </conditionalFormatting>
  <conditionalFormatting sqref="O276:P276">
    <cfRule type="expression" dxfId="788" priority="610">
      <formula>$E276&lt;&gt;"Yes"</formula>
    </cfRule>
  </conditionalFormatting>
  <conditionalFormatting sqref="X276">
    <cfRule type="expression" dxfId="787" priority="609">
      <formula>$E$7&lt;&gt;"Yes"</formula>
    </cfRule>
  </conditionalFormatting>
  <conditionalFormatting sqref="X276">
    <cfRule type="expression" dxfId="786" priority="608">
      <formula>$E276&lt;&gt;"Yes"</formula>
    </cfRule>
  </conditionalFormatting>
  <conditionalFormatting sqref="AD276">
    <cfRule type="expression" dxfId="785" priority="607">
      <formula>$E$7&lt;&gt;"Yes"</formula>
    </cfRule>
  </conditionalFormatting>
  <conditionalFormatting sqref="AD276">
    <cfRule type="expression" dxfId="784" priority="606">
      <formula>$E276&lt;&gt;"Yes"</formula>
    </cfRule>
  </conditionalFormatting>
  <conditionalFormatting sqref="AC276">
    <cfRule type="expression" dxfId="783" priority="605">
      <formula>$E$7&lt;&gt;"Yes"</formula>
    </cfRule>
  </conditionalFormatting>
  <conditionalFormatting sqref="AC276">
    <cfRule type="expression" dxfId="782" priority="604">
      <formula>$E276&lt;&gt;"Yes"</formula>
    </cfRule>
  </conditionalFormatting>
  <conditionalFormatting sqref="R276:V276">
    <cfRule type="expression" dxfId="781" priority="603">
      <formula>$E$7&lt;&gt;"Yes"</formula>
    </cfRule>
  </conditionalFormatting>
  <conditionalFormatting sqref="R276:V276">
    <cfRule type="expression" dxfId="780" priority="602">
      <formula>$E276&lt;&gt;"Yes"</formula>
    </cfRule>
  </conditionalFormatting>
  <conditionalFormatting sqref="S276">
    <cfRule type="expression" dxfId="779" priority="601">
      <formula>$E$7&lt;&gt;"Yes"</formula>
    </cfRule>
  </conditionalFormatting>
  <conditionalFormatting sqref="S276">
    <cfRule type="expression" dxfId="778" priority="600">
      <formula>$E276&lt;&gt;"Yes"</formula>
    </cfRule>
  </conditionalFormatting>
  <conditionalFormatting sqref="T276">
    <cfRule type="expression" dxfId="777" priority="599">
      <formula>$E$7&lt;&gt;"Yes"</formula>
    </cfRule>
  </conditionalFormatting>
  <conditionalFormatting sqref="T276">
    <cfRule type="expression" dxfId="776" priority="598">
      <formula>$E276&lt;&gt;"Yes"</formula>
    </cfRule>
  </conditionalFormatting>
  <conditionalFormatting sqref="U276">
    <cfRule type="expression" dxfId="775" priority="597">
      <formula>$E$7&lt;&gt;"Yes"</formula>
    </cfRule>
  </conditionalFormatting>
  <conditionalFormatting sqref="U276">
    <cfRule type="expression" dxfId="774" priority="596">
      <formula>$E276&lt;&gt;"Yes"</formula>
    </cfRule>
  </conditionalFormatting>
  <conditionalFormatting sqref="V276">
    <cfRule type="expression" dxfId="773" priority="595">
      <formula>$E$7&lt;&gt;"Yes"</formula>
    </cfRule>
  </conditionalFormatting>
  <conditionalFormatting sqref="V276">
    <cfRule type="expression" dxfId="772" priority="594">
      <formula>$E276&lt;&gt;"Yes"</formula>
    </cfRule>
  </conditionalFormatting>
  <conditionalFormatting sqref="R276:V276">
    <cfRule type="expression" dxfId="771" priority="593">
      <formula>$E$7&lt;&gt;"Yes"</formula>
    </cfRule>
  </conditionalFormatting>
  <conditionalFormatting sqref="R276:V276">
    <cfRule type="expression" dxfId="770" priority="592">
      <formula>$E276&lt;&gt;"Yes"</formula>
    </cfRule>
  </conditionalFormatting>
  <conditionalFormatting sqref="Z276">
    <cfRule type="expression" dxfId="769" priority="591">
      <formula>$E$7&lt;&gt;"Yes"</formula>
    </cfRule>
  </conditionalFormatting>
  <conditionalFormatting sqref="Z276">
    <cfRule type="expression" dxfId="768" priority="590">
      <formula>$E276&lt;&gt;"Yes"</formula>
    </cfRule>
  </conditionalFormatting>
  <conditionalFormatting sqref="AN276:AO276">
    <cfRule type="expression" dxfId="767" priority="589">
      <formula>$E$7&lt;&gt;"Yes"</formula>
    </cfRule>
  </conditionalFormatting>
  <conditionalFormatting sqref="AN276:AO276">
    <cfRule type="expression" dxfId="766" priority="588">
      <formula>$E276&lt;&gt;"Yes"</formula>
    </cfRule>
  </conditionalFormatting>
  <conditionalFormatting sqref="AI276">
    <cfRule type="expression" dxfId="765" priority="587">
      <formula>$E$7&lt;&gt;"Yes"</formula>
    </cfRule>
  </conditionalFormatting>
  <conditionalFormatting sqref="AI276">
    <cfRule type="expression" dxfId="764" priority="586">
      <formula>$E276&lt;&gt;"Yes"</formula>
    </cfRule>
  </conditionalFormatting>
  <conditionalFormatting sqref="Q275 Y275 AF275:AH275 AJ275:AK275">
    <cfRule type="expression" dxfId="763" priority="675">
      <formula>$E$7&lt;&gt;"Yes"</formula>
    </cfRule>
  </conditionalFormatting>
  <conditionalFormatting sqref="Q275 Y275 AF275:AH275 AJ275:AK275">
    <cfRule type="expression" dxfId="762" priority="674">
      <formula>$E275&lt;&gt;"Yes"</formula>
    </cfRule>
  </conditionalFormatting>
  <conditionalFormatting sqref="G275">
    <cfRule type="expression" dxfId="761" priority="671">
      <formula>$E$7&lt;&gt;"Yes"</formula>
    </cfRule>
  </conditionalFormatting>
  <conditionalFormatting sqref="M275 F275:J275 Q275">
    <cfRule type="expression" dxfId="760" priority="673">
      <formula>$E$7&lt;&gt;"Yes"</formula>
    </cfRule>
  </conditionalFormatting>
  <conditionalFormatting sqref="M275 F275:J275 Q275">
    <cfRule type="expression" dxfId="759" priority="672">
      <formula>$E275&lt;&gt;"Yes"</formula>
    </cfRule>
  </conditionalFormatting>
  <conditionalFormatting sqref="K275:L275">
    <cfRule type="expression" dxfId="758" priority="670">
      <formula>$E$7&lt;&gt;"Yes"</formula>
    </cfRule>
  </conditionalFormatting>
  <conditionalFormatting sqref="K275:L275">
    <cfRule type="expression" dxfId="757" priority="669">
      <formula>$E275&lt;&gt;"Yes"</formula>
    </cfRule>
  </conditionalFormatting>
  <conditionalFormatting sqref="W275">
    <cfRule type="expression" dxfId="756" priority="668">
      <formula>$E$7&lt;&gt;"Yes"</formula>
    </cfRule>
  </conditionalFormatting>
  <conditionalFormatting sqref="W275">
    <cfRule type="expression" dxfId="755" priority="667">
      <formula>$E275&lt;&gt;"Yes"</formula>
    </cfRule>
  </conditionalFormatting>
  <conditionalFormatting sqref="AE275">
    <cfRule type="expression" dxfId="754" priority="666">
      <formula>$E$7&lt;&gt;"Yes"</formula>
    </cfRule>
  </conditionalFormatting>
  <conditionalFormatting sqref="AE275">
    <cfRule type="expression" dxfId="753" priority="665">
      <formula>$E275&lt;&gt;"Yes"</formula>
    </cfRule>
  </conditionalFormatting>
  <conditionalFormatting sqref="N275">
    <cfRule type="expression" dxfId="752" priority="664">
      <formula>$E$7&lt;&gt;"Yes"</formula>
    </cfRule>
  </conditionalFormatting>
  <conditionalFormatting sqref="N275">
    <cfRule type="expression" dxfId="751" priority="663">
      <formula>$E275&lt;&gt;"Yes"</formula>
    </cfRule>
  </conditionalFormatting>
  <conditionalFormatting sqref="AB275">
    <cfRule type="expression" dxfId="750" priority="662">
      <formula>$E$7&lt;&gt;"Yes"</formula>
    </cfRule>
  </conditionalFormatting>
  <conditionalFormatting sqref="AB275">
    <cfRule type="expression" dxfId="749" priority="661">
      <formula>$E275&lt;&gt;"Yes"</formula>
    </cfRule>
  </conditionalFormatting>
  <conditionalFormatting sqref="AA275">
    <cfRule type="expression" dxfId="748" priority="660">
      <formula>$E$7&lt;&gt;"Yes"</formula>
    </cfRule>
  </conditionalFormatting>
  <conditionalFormatting sqref="AA275">
    <cfRule type="expression" dxfId="747" priority="659">
      <formula>$E275&lt;&gt;"Yes"</formula>
    </cfRule>
  </conditionalFormatting>
  <conditionalFormatting sqref="Y275">
    <cfRule type="expression" dxfId="746" priority="658">
      <formula>$E$7&lt;&gt;"Yes"</formula>
    </cfRule>
  </conditionalFormatting>
  <conditionalFormatting sqref="Y275">
    <cfRule type="expression" dxfId="745" priority="657">
      <formula>$E275&lt;&gt;"Yes"</formula>
    </cfRule>
  </conditionalFormatting>
  <conditionalFormatting sqref="O275:P275">
    <cfRule type="expression" dxfId="744" priority="656">
      <formula>$E$7&lt;&gt;"Yes"</formula>
    </cfRule>
  </conditionalFormatting>
  <conditionalFormatting sqref="O275:P275">
    <cfRule type="expression" dxfId="743" priority="655">
      <formula>$E275&lt;&gt;"Yes"</formula>
    </cfRule>
  </conditionalFormatting>
  <conditionalFormatting sqref="X275">
    <cfRule type="expression" dxfId="742" priority="654">
      <formula>$E$7&lt;&gt;"Yes"</formula>
    </cfRule>
  </conditionalFormatting>
  <conditionalFormatting sqref="X275">
    <cfRule type="expression" dxfId="741" priority="653">
      <formula>$E275&lt;&gt;"Yes"</formula>
    </cfRule>
  </conditionalFormatting>
  <conditionalFormatting sqref="AD275">
    <cfRule type="expression" dxfId="740" priority="652">
      <formula>$E$7&lt;&gt;"Yes"</formula>
    </cfRule>
  </conditionalFormatting>
  <conditionalFormatting sqref="AD275">
    <cfRule type="expression" dxfId="739" priority="651">
      <formula>$E275&lt;&gt;"Yes"</formula>
    </cfRule>
  </conditionalFormatting>
  <conditionalFormatting sqref="AC275">
    <cfRule type="expression" dxfId="738" priority="650">
      <formula>$E$7&lt;&gt;"Yes"</formula>
    </cfRule>
  </conditionalFormatting>
  <conditionalFormatting sqref="AC275">
    <cfRule type="expression" dxfId="737" priority="649">
      <formula>$E275&lt;&gt;"Yes"</formula>
    </cfRule>
  </conditionalFormatting>
  <conditionalFormatting sqref="R275:V275">
    <cfRule type="expression" dxfId="736" priority="648">
      <formula>$E$7&lt;&gt;"Yes"</formula>
    </cfRule>
  </conditionalFormatting>
  <conditionalFormatting sqref="R275:V275">
    <cfRule type="expression" dxfId="735" priority="647">
      <formula>$E275&lt;&gt;"Yes"</formula>
    </cfRule>
  </conditionalFormatting>
  <conditionalFormatting sqref="S275">
    <cfRule type="expression" dxfId="734" priority="646">
      <formula>$E$7&lt;&gt;"Yes"</formula>
    </cfRule>
  </conditionalFormatting>
  <conditionalFormatting sqref="S275">
    <cfRule type="expression" dxfId="733" priority="645">
      <formula>$E275&lt;&gt;"Yes"</formula>
    </cfRule>
  </conditionalFormatting>
  <conditionalFormatting sqref="T275">
    <cfRule type="expression" dxfId="732" priority="644">
      <formula>$E$7&lt;&gt;"Yes"</formula>
    </cfRule>
  </conditionalFormatting>
  <conditionalFormatting sqref="T275">
    <cfRule type="expression" dxfId="731" priority="643">
      <formula>$E275&lt;&gt;"Yes"</formula>
    </cfRule>
  </conditionalFormatting>
  <conditionalFormatting sqref="U275">
    <cfRule type="expression" dxfId="730" priority="642">
      <formula>$E$7&lt;&gt;"Yes"</formula>
    </cfRule>
  </conditionalFormatting>
  <conditionalFormatting sqref="U275">
    <cfRule type="expression" dxfId="729" priority="641">
      <formula>$E275&lt;&gt;"Yes"</formula>
    </cfRule>
  </conditionalFormatting>
  <conditionalFormatting sqref="V275">
    <cfRule type="expression" dxfId="728" priority="640">
      <formula>$E$7&lt;&gt;"Yes"</formula>
    </cfRule>
  </conditionalFormatting>
  <conditionalFormatting sqref="V275">
    <cfRule type="expression" dxfId="727" priority="639">
      <formula>$E275&lt;&gt;"Yes"</formula>
    </cfRule>
  </conditionalFormatting>
  <conditionalFormatting sqref="R275:V275">
    <cfRule type="expression" dxfId="726" priority="638">
      <formula>$E$7&lt;&gt;"Yes"</formula>
    </cfRule>
  </conditionalFormatting>
  <conditionalFormatting sqref="R275:V275">
    <cfRule type="expression" dxfId="725" priority="637">
      <formula>$E275&lt;&gt;"Yes"</formula>
    </cfRule>
  </conditionalFormatting>
  <conditionalFormatting sqref="Z275">
    <cfRule type="expression" dxfId="724" priority="636">
      <formula>$E$7&lt;&gt;"Yes"</formula>
    </cfRule>
  </conditionalFormatting>
  <conditionalFormatting sqref="Z275">
    <cfRule type="expression" dxfId="723" priority="635">
      <formula>$E275&lt;&gt;"Yes"</formula>
    </cfRule>
  </conditionalFormatting>
  <conditionalFormatting sqref="AN275:AO275">
    <cfRule type="expression" dxfId="722" priority="634">
      <formula>$E$7&lt;&gt;"Yes"</formula>
    </cfRule>
  </conditionalFormatting>
  <conditionalFormatting sqref="AN275:AO275">
    <cfRule type="expression" dxfId="721" priority="633">
      <formula>$E275&lt;&gt;"Yes"</formula>
    </cfRule>
  </conditionalFormatting>
  <conditionalFormatting sqref="AI275">
    <cfRule type="expression" dxfId="720" priority="632">
      <formula>$E$7&lt;&gt;"Yes"</formula>
    </cfRule>
  </conditionalFormatting>
  <conditionalFormatting sqref="AI275">
    <cfRule type="expression" dxfId="719" priority="631">
      <formula>$E275&lt;&gt;"Yes"</formula>
    </cfRule>
  </conditionalFormatting>
  <conditionalFormatting sqref="Q278 Y278 AF278:AH278 AJ278:AK278">
    <cfRule type="expression" dxfId="718" priority="540">
      <formula>$E$7&lt;&gt;"Yes"</formula>
    </cfRule>
  </conditionalFormatting>
  <conditionalFormatting sqref="Q278 Y278 AF278:AH278 AJ278:AK278">
    <cfRule type="expression" dxfId="717" priority="539">
      <formula>$E278&lt;&gt;"Yes"</formula>
    </cfRule>
  </conditionalFormatting>
  <conditionalFormatting sqref="G278">
    <cfRule type="expression" dxfId="716" priority="536">
      <formula>$E$7&lt;&gt;"Yes"</formula>
    </cfRule>
  </conditionalFormatting>
  <conditionalFormatting sqref="M278 F278:J278 Q278">
    <cfRule type="expression" dxfId="715" priority="538">
      <formula>$E$7&lt;&gt;"Yes"</formula>
    </cfRule>
  </conditionalFormatting>
  <conditionalFormatting sqref="M278 F278:J278 Q278">
    <cfRule type="expression" dxfId="714" priority="537">
      <formula>$E278&lt;&gt;"Yes"</formula>
    </cfRule>
  </conditionalFormatting>
  <conditionalFormatting sqref="K278:L278">
    <cfRule type="expression" dxfId="713" priority="535">
      <formula>$E$7&lt;&gt;"Yes"</formula>
    </cfRule>
  </conditionalFormatting>
  <conditionalFormatting sqref="K278:L278">
    <cfRule type="expression" dxfId="712" priority="534">
      <formula>$E278&lt;&gt;"Yes"</formula>
    </cfRule>
  </conditionalFormatting>
  <conditionalFormatting sqref="W278">
    <cfRule type="expression" dxfId="711" priority="533">
      <formula>$E$7&lt;&gt;"Yes"</formula>
    </cfRule>
  </conditionalFormatting>
  <conditionalFormatting sqref="W278">
    <cfRule type="expression" dxfId="710" priority="532">
      <formula>$E278&lt;&gt;"Yes"</formula>
    </cfRule>
  </conditionalFormatting>
  <conditionalFormatting sqref="AE278">
    <cfRule type="expression" dxfId="709" priority="531">
      <formula>$E$7&lt;&gt;"Yes"</formula>
    </cfRule>
  </conditionalFormatting>
  <conditionalFormatting sqref="AE278">
    <cfRule type="expression" dxfId="708" priority="530">
      <formula>$E278&lt;&gt;"Yes"</formula>
    </cfRule>
  </conditionalFormatting>
  <conditionalFormatting sqref="N278">
    <cfRule type="expression" dxfId="707" priority="529">
      <formula>$E$7&lt;&gt;"Yes"</formula>
    </cfRule>
  </conditionalFormatting>
  <conditionalFormatting sqref="N278">
    <cfRule type="expression" dxfId="706" priority="528">
      <formula>$E278&lt;&gt;"Yes"</formula>
    </cfRule>
  </conditionalFormatting>
  <conditionalFormatting sqref="AB278">
    <cfRule type="expression" dxfId="705" priority="527">
      <formula>$E$7&lt;&gt;"Yes"</formula>
    </cfRule>
  </conditionalFormatting>
  <conditionalFormatting sqref="AB278">
    <cfRule type="expression" dxfId="704" priority="526">
      <formula>$E278&lt;&gt;"Yes"</formula>
    </cfRule>
  </conditionalFormatting>
  <conditionalFormatting sqref="AA278">
    <cfRule type="expression" dxfId="703" priority="525">
      <formula>$E$7&lt;&gt;"Yes"</formula>
    </cfRule>
  </conditionalFormatting>
  <conditionalFormatting sqref="AA278">
    <cfRule type="expression" dxfId="702" priority="524">
      <formula>$E278&lt;&gt;"Yes"</formula>
    </cfRule>
  </conditionalFormatting>
  <conditionalFormatting sqref="Y278">
    <cfRule type="expression" dxfId="701" priority="523">
      <formula>$E$7&lt;&gt;"Yes"</formula>
    </cfRule>
  </conditionalFormatting>
  <conditionalFormatting sqref="Y278">
    <cfRule type="expression" dxfId="700" priority="522">
      <formula>$E278&lt;&gt;"Yes"</formula>
    </cfRule>
  </conditionalFormatting>
  <conditionalFormatting sqref="O278:P278">
    <cfRule type="expression" dxfId="699" priority="521">
      <formula>$E$7&lt;&gt;"Yes"</formula>
    </cfRule>
  </conditionalFormatting>
  <conditionalFormatting sqref="O278:P278">
    <cfRule type="expression" dxfId="698" priority="520">
      <formula>$E278&lt;&gt;"Yes"</formula>
    </cfRule>
  </conditionalFormatting>
  <conditionalFormatting sqref="X278">
    <cfRule type="expression" dxfId="697" priority="519">
      <formula>$E$7&lt;&gt;"Yes"</formula>
    </cfRule>
  </conditionalFormatting>
  <conditionalFormatting sqref="X278">
    <cfRule type="expression" dxfId="696" priority="518">
      <formula>$E278&lt;&gt;"Yes"</formula>
    </cfRule>
  </conditionalFormatting>
  <conditionalFormatting sqref="AD278">
    <cfRule type="expression" dxfId="695" priority="517">
      <formula>$E$7&lt;&gt;"Yes"</formula>
    </cfRule>
  </conditionalFormatting>
  <conditionalFormatting sqref="AD278">
    <cfRule type="expression" dxfId="694" priority="516">
      <formula>$E278&lt;&gt;"Yes"</formula>
    </cfRule>
  </conditionalFormatting>
  <conditionalFormatting sqref="AC278">
    <cfRule type="expression" dxfId="693" priority="515">
      <formula>$E$7&lt;&gt;"Yes"</formula>
    </cfRule>
  </conditionalFormatting>
  <conditionalFormatting sqref="AC278">
    <cfRule type="expression" dxfId="692" priority="514">
      <formula>$E278&lt;&gt;"Yes"</formula>
    </cfRule>
  </conditionalFormatting>
  <conditionalFormatting sqref="R278:V278">
    <cfRule type="expression" dxfId="691" priority="513">
      <formula>$E$7&lt;&gt;"Yes"</formula>
    </cfRule>
  </conditionalFormatting>
  <conditionalFormatting sqref="R278:V278">
    <cfRule type="expression" dxfId="690" priority="512">
      <formula>$E278&lt;&gt;"Yes"</formula>
    </cfRule>
  </conditionalFormatting>
  <conditionalFormatting sqref="S278">
    <cfRule type="expression" dxfId="689" priority="511">
      <formula>$E$7&lt;&gt;"Yes"</formula>
    </cfRule>
  </conditionalFormatting>
  <conditionalFormatting sqref="S278">
    <cfRule type="expression" dxfId="688" priority="510">
      <formula>$E278&lt;&gt;"Yes"</formula>
    </cfRule>
  </conditionalFormatting>
  <conditionalFormatting sqref="T278">
    <cfRule type="expression" dxfId="687" priority="509">
      <formula>$E$7&lt;&gt;"Yes"</formula>
    </cfRule>
  </conditionalFormatting>
  <conditionalFormatting sqref="T278">
    <cfRule type="expression" dxfId="686" priority="508">
      <formula>$E278&lt;&gt;"Yes"</formula>
    </cfRule>
  </conditionalFormatting>
  <conditionalFormatting sqref="U278">
    <cfRule type="expression" dxfId="685" priority="507">
      <formula>$E$7&lt;&gt;"Yes"</formula>
    </cfRule>
  </conditionalFormatting>
  <conditionalFormatting sqref="U278">
    <cfRule type="expression" dxfId="684" priority="506">
      <formula>$E278&lt;&gt;"Yes"</formula>
    </cfRule>
  </conditionalFormatting>
  <conditionalFormatting sqref="V278">
    <cfRule type="expression" dxfId="683" priority="505">
      <formula>$E$7&lt;&gt;"Yes"</formula>
    </cfRule>
  </conditionalFormatting>
  <conditionalFormatting sqref="V278">
    <cfRule type="expression" dxfId="682" priority="504">
      <formula>$E278&lt;&gt;"Yes"</formula>
    </cfRule>
  </conditionalFormatting>
  <conditionalFormatting sqref="R278:V278">
    <cfRule type="expression" dxfId="681" priority="503">
      <formula>$E$7&lt;&gt;"Yes"</formula>
    </cfRule>
  </conditionalFormatting>
  <conditionalFormatting sqref="R278:V278">
    <cfRule type="expression" dxfId="680" priority="502">
      <formula>$E278&lt;&gt;"Yes"</formula>
    </cfRule>
  </conditionalFormatting>
  <conditionalFormatting sqref="Z278">
    <cfRule type="expression" dxfId="679" priority="501">
      <formula>$E$7&lt;&gt;"Yes"</formula>
    </cfRule>
  </conditionalFormatting>
  <conditionalFormatting sqref="Z278">
    <cfRule type="expression" dxfId="678" priority="500">
      <formula>$E278&lt;&gt;"Yes"</formula>
    </cfRule>
  </conditionalFormatting>
  <conditionalFormatting sqref="AN278:AO278">
    <cfRule type="expression" dxfId="677" priority="499">
      <formula>$E$7&lt;&gt;"Yes"</formula>
    </cfRule>
  </conditionalFormatting>
  <conditionalFormatting sqref="AN278:AO278">
    <cfRule type="expression" dxfId="676" priority="498">
      <formula>$E278&lt;&gt;"Yes"</formula>
    </cfRule>
  </conditionalFormatting>
  <conditionalFormatting sqref="AI278">
    <cfRule type="expression" dxfId="675" priority="497">
      <formula>$E$7&lt;&gt;"Yes"</formula>
    </cfRule>
  </conditionalFormatting>
  <conditionalFormatting sqref="AI278">
    <cfRule type="expression" dxfId="674" priority="496">
      <formula>$E278&lt;&gt;"Yes"</formula>
    </cfRule>
  </conditionalFormatting>
  <conditionalFormatting sqref="Q402 Y402 AF402:AH402 AJ402:AK402">
    <cfRule type="expression" dxfId="673" priority="495">
      <formula>$E$7&lt;&gt;"Yes"</formula>
    </cfRule>
  </conditionalFormatting>
  <conditionalFormatting sqref="Q402 Y402 AF402:AH402 AJ402:AK402">
    <cfRule type="expression" dxfId="672" priority="494">
      <formula>$E402&lt;&gt;"Yes"</formula>
    </cfRule>
  </conditionalFormatting>
  <conditionalFormatting sqref="G402">
    <cfRule type="expression" dxfId="671" priority="491">
      <formula>$E$7&lt;&gt;"Yes"</formula>
    </cfRule>
  </conditionalFormatting>
  <conditionalFormatting sqref="M402 F402:J402 Q402">
    <cfRule type="expression" dxfId="670" priority="493">
      <formula>$E$7&lt;&gt;"Yes"</formula>
    </cfRule>
  </conditionalFormatting>
  <conditionalFormatting sqref="M402 F402:J402 Q402">
    <cfRule type="expression" dxfId="669" priority="492">
      <formula>$E402&lt;&gt;"Yes"</formula>
    </cfRule>
  </conditionalFormatting>
  <conditionalFormatting sqref="K402:L402">
    <cfRule type="expression" dxfId="668" priority="490">
      <formula>$E$7&lt;&gt;"Yes"</formula>
    </cfRule>
  </conditionalFormatting>
  <conditionalFormatting sqref="K402:L402">
    <cfRule type="expression" dxfId="667" priority="489">
      <formula>$E402&lt;&gt;"Yes"</formula>
    </cfRule>
  </conditionalFormatting>
  <conditionalFormatting sqref="W402">
    <cfRule type="expression" dxfId="666" priority="488">
      <formula>$E$7&lt;&gt;"Yes"</formula>
    </cfRule>
  </conditionalFormatting>
  <conditionalFormatting sqref="W402">
    <cfRule type="expression" dxfId="665" priority="487">
      <formula>$E402&lt;&gt;"Yes"</formula>
    </cfRule>
  </conditionalFormatting>
  <conditionalFormatting sqref="AE402">
    <cfRule type="expression" dxfId="664" priority="486">
      <formula>$E$7&lt;&gt;"Yes"</formula>
    </cfRule>
  </conditionalFormatting>
  <conditionalFormatting sqref="AE402">
    <cfRule type="expression" dxfId="663" priority="485">
      <formula>$E402&lt;&gt;"Yes"</formula>
    </cfRule>
  </conditionalFormatting>
  <conditionalFormatting sqref="N402">
    <cfRule type="expression" dxfId="662" priority="484">
      <formula>$E$7&lt;&gt;"Yes"</formula>
    </cfRule>
  </conditionalFormatting>
  <conditionalFormatting sqref="N402">
    <cfRule type="expression" dxfId="661" priority="483">
      <formula>$E402&lt;&gt;"Yes"</formula>
    </cfRule>
  </conditionalFormatting>
  <conditionalFormatting sqref="AB402">
    <cfRule type="expression" dxfId="660" priority="482">
      <formula>$E$7&lt;&gt;"Yes"</formula>
    </cfRule>
  </conditionalFormatting>
  <conditionalFormatting sqref="AB402">
    <cfRule type="expression" dxfId="659" priority="481">
      <formula>$E402&lt;&gt;"Yes"</formula>
    </cfRule>
  </conditionalFormatting>
  <conditionalFormatting sqref="AA402">
    <cfRule type="expression" dxfId="658" priority="480">
      <formula>$E$7&lt;&gt;"Yes"</formula>
    </cfRule>
  </conditionalFormatting>
  <conditionalFormatting sqref="AA402">
    <cfRule type="expression" dxfId="657" priority="479">
      <formula>$E402&lt;&gt;"Yes"</formula>
    </cfRule>
  </conditionalFormatting>
  <conditionalFormatting sqref="Y402">
    <cfRule type="expression" dxfId="656" priority="478">
      <formula>$E$7&lt;&gt;"Yes"</formula>
    </cfRule>
  </conditionalFormatting>
  <conditionalFormatting sqref="Y402">
    <cfRule type="expression" dxfId="655" priority="477">
      <formula>$E402&lt;&gt;"Yes"</formula>
    </cfRule>
  </conditionalFormatting>
  <conditionalFormatting sqref="O402:P402">
    <cfRule type="expression" dxfId="654" priority="476">
      <formula>$E$7&lt;&gt;"Yes"</formula>
    </cfRule>
  </conditionalFormatting>
  <conditionalFormatting sqref="O402:P402">
    <cfRule type="expression" dxfId="653" priority="475">
      <formula>$E402&lt;&gt;"Yes"</formula>
    </cfRule>
  </conditionalFormatting>
  <conditionalFormatting sqref="X402">
    <cfRule type="expression" dxfId="652" priority="474">
      <formula>$E$7&lt;&gt;"Yes"</formula>
    </cfRule>
  </conditionalFormatting>
  <conditionalFormatting sqref="X402">
    <cfRule type="expression" dxfId="651" priority="473">
      <formula>$E402&lt;&gt;"Yes"</formula>
    </cfRule>
  </conditionalFormatting>
  <conditionalFormatting sqref="AD402">
    <cfRule type="expression" dxfId="650" priority="472">
      <formula>$E$7&lt;&gt;"Yes"</formula>
    </cfRule>
  </conditionalFormatting>
  <conditionalFormatting sqref="AD402">
    <cfRule type="expression" dxfId="649" priority="471">
      <formula>$E402&lt;&gt;"Yes"</formula>
    </cfRule>
  </conditionalFormatting>
  <conditionalFormatting sqref="AC402">
    <cfRule type="expression" dxfId="648" priority="470">
      <formula>$E$7&lt;&gt;"Yes"</formula>
    </cfRule>
  </conditionalFormatting>
  <conditionalFormatting sqref="AC402">
    <cfRule type="expression" dxfId="647" priority="469">
      <formula>$E402&lt;&gt;"Yes"</formula>
    </cfRule>
  </conditionalFormatting>
  <conditionalFormatting sqref="R402:V402">
    <cfRule type="expression" dxfId="646" priority="468">
      <formula>$E$7&lt;&gt;"Yes"</formula>
    </cfRule>
  </conditionalFormatting>
  <conditionalFormatting sqref="R402:V402">
    <cfRule type="expression" dxfId="645" priority="467">
      <formula>$E402&lt;&gt;"Yes"</formula>
    </cfRule>
  </conditionalFormatting>
  <conditionalFormatting sqref="S402">
    <cfRule type="expression" dxfId="644" priority="466">
      <formula>$E$7&lt;&gt;"Yes"</formula>
    </cfRule>
  </conditionalFormatting>
  <conditionalFormatting sqref="S402">
    <cfRule type="expression" dxfId="643" priority="465">
      <formula>$E402&lt;&gt;"Yes"</formula>
    </cfRule>
  </conditionalFormatting>
  <conditionalFormatting sqref="T402">
    <cfRule type="expression" dxfId="642" priority="464">
      <formula>$E$7&lt;&gt;"Yes"</formula>
    </cfRule>
  </conditionalFormatting>
  <conditionalFormatting sqref="T402">
    <cfRule type="expression" dxfId="641" priority="463">
      <formula>$E402&lt;&gt;"Yes"</formula>
    </cfRule>
  </conditionalFormatting>
  <conditionalFormatting sqref="U402">
    <cfRule type="expression" dxfId="640" priority="462">
      <formula>$E$7&lt;&gt;"Yes"</formula>
    </cfRule>
  </conditionalFormatting>
  <conditionalFormatting sqref="U402">
    <cfRule type="expression" dxfId="639" priority="461">
      <formula>$E402&lt;&gt;"Yes"</formula>
    </cfRule>
  </conditionalFormatting>
  <conditionalFormatting sqref="V402">
    <cfRule type="expression" dxfId="638" priority="460">
      <formula>$E$7&lt;&gt;"Yes"</formula>
    </cfRule>
  </conditionalFormatting>
  <conditionalFormatting sqref="V402">
    <cfRule type="expression" dxfId="637" priority="459">
      <formula>$E402&lt;&gt;"Yes"</formula>
    </cfRule>
  </conditionalFormatting>
  <conditionalFormatting sqref="R402:V402">
    <cfRule type="expression" dxfId="636" priority="458">
      <formula>$E$7&lt;&gt;"Yes"</formula>
    </cfRule>
  </conditionalFormatting>
  <conditionalFormatting sqref="R402:V402">
    <cfRule type="expression" dxfId="635" priority="457">
      <formula>$E402&lt;&gt;"Yes"</formula>
    </cfRule>
  </conditionalFormatting>
  <conditionalFormatting sqref="Z402">
    <cfRule type="expression" dxfId="634" priority="456">
      <formula>$E$7&lt;&gt;"Yes"</formula>
    </cfRule>
  </conditionalFormatting>
  <conditionalFormatting sqref="Z402">
    <cfRule type="expression" dxfId="633" priority="455">
      <formula>$E402&lt;&gt;"Yes"</formula>
    </cfRule>
  </conditionalFormatting>
  <conditionalFormatting sqref="AN402:AO402">
    <cfRule type="expression" dxfId="632" priority="454">
      <formula>$E$7&lt;&gt;"Yes"</formula>
    </cfRule>
  </conditionalFormatting>
  <conditionalFormatting sqref="AN402:AO402">
    <cfRule type="expression" dxfId="631" priority="453">
      <formula>$E402&lt;&gt;"Yes"</formula>
    </cfRule>
  </conditionalFormatting>
  <conditionalFormatting sqref="AI402">
    <cfRule type="expression" dxfId="630" priority="452">
      <formula>$E$7&lt;&gt;"Yes"</formula>
    </cfRule>
  </conditionalFormatting>
  <conditionalFormatting sqref="AI402">
    <cfRule type="expression" dxfId="629" priority="451">
      <formula>$E402&lt;&gt;"Yes"</formula>
    </cfRule>
  </conditionalFormatting>
  <conditionalFormatting sqref="Q277 Y277 AF277:AH277 AJ277:AK277">
    <cfRule type="expression" dxfId="628" priority="585">
      <formula>$E$7&lt;&gt;"Yes"</formula>
    </cfRule>
  </conditionalFormatting>
  <conditionalFormatting sqref="Q277 Y277 AF277:AH277 AJ277:AK277">
    <cfRule type="expression" dxfId="627" priority="584">
      <formula>$E277&lt;&gt;"Yes"</formula>
    </cfRule>
  </conditionalFormatting>
  <conditionalFormatting sqref="G277">
    <cfRule type="expression" dxfId="626" priority="581">
      <formula>$E$7&lt;&gt;"Yes"</formula>
    </cfRule>
  </conditionalFormatting>
  <conditionalFormatting sqref="M277 F277:J277 Q277">
    <cfRule type="expression" dxfId="625" priority="583">
      <formula>$E$7&lt;&gt;"Yes"</formula>
    </cfRule>
  </conditionalFormatting>
  <conditionalFormatting sqref="M277 F277:J277 Q277">
    <cfRule type="expression" dxfId="624" priority="582">
      <formula>$E277&lt;&gt;"Yes"</formula>
    </cfRule>
  </conditionalFormatting>
  <conditionalFormatting sqref="K277:L277">
    <cfRule type="expression" dxfId="623" priority="580">
      <formula>$E$7&lt;&gt;"Yes"</formula>
    </cfRule>
  </conditionalFormatting>
  <conditionalFormatting sqref="K277:L277">
    <cfRule type="expression" dxfId="622" priority="579">
      <formula>$E277&lt;&gt;"Yes"</formula>
    </cfRule>
  </conditionalFormatting>
  <conditionalFormatting sqref="W277">
    <cfRule type="expression" dxfId="621" priority="578">
      <formula>$E$7&lt;&gt;"Yes"</formula>
    </cfRule>
  </conditionalFormatting>
  <conditionalFormatting sqref="W277">
    <cfRule type="expression" dxfId="620" priority="577">
      <formula>$E277&lt;&gt;"Yes"</formula>
    </cfRule>
  </conditionalFormatting>
  <conditionalFormatting sqref="AE277">
    <cfRule type="expression" dxfId="619" priority="576">
      <formula>$E$7&lt;&gt;"Yes"</formula>
    </cfRule>
  </conditionalFormatting>
  <conditionalFormatting sqref="AE277">
    <cfRule type="expression" dxfId="618" priority="575">
      <formula>$E277&lt;&gt;"Yes"</formula>
    </cfRule>
  </conditionalFormatting>
  <conditionalFormatting sqref="N277">
    <cfRule type="expression" dxfId="617" priority="574">
      <formula>$E$7&lt;&gt;"Yes"</formula>
    </cfRule>
  </conditionalFormatting>
  <conditionalFormatting sqref="N277">
    <cfRule type="expression" dxfId="616" priority="573">
      <formula>$E277&lt;&gt;"Yes"</formula>
    </cfRule>
  </conditionalFormatting>
  <conditionalFormatting sqref="AB277">
    <cfRule type="expression" dxfId="615" priority="572">
      <formula>$E$7&lt;&gt;"Yes"</formula>
    </cfRule>
  </conditionalFormatting>
  <conditionalFormatting sqref="AB277">
    <cfRule type="expression" dxfId="614" priority="571">
      <formula>$E277&lt;&gt;"Yes"</formula>
    </cfRule>
  </conditionalFormatting>
  <conditionalFormatting sqref="AA277">
    <cfRule type="expression" dxfId="613" priority="570">
      <formula>$E$7&lt;&gt;"Yes"</formula>
    </cfRule>
  </conditionalFormatting>
  <conditionalFormatting sqref="AA277">
    <cfRule type="expression" dxfId="612" priority="569">
      <formula>$E277&lt;&gt;"Yes"</formula>
    </cfRule>
  </conditionalFormatting>
  <conditionalFormatting sqref="Y277">
    <cfRule type="expression" dxfId="611" priority="568">
      <formula>$E$7&lt;&gt;"Yes"</formula>
    </cfRule>
  </conditionalFormatting>
  <conditionalFormatting sqref="Y277">
    <cfRule type="expression" dxfId="610" priority="567">
      <formula>$E277&lt;&gt;"Yes"</formula>
    </cfRule>
  </conditionalFormatting>
  <conditionalFormatting sqref="O277:P277">
    <cfRule type="expression" dxfId="609" priority="566">
      <formula>$E$7&lt;&gt;"Yes"</formula>
    </cfRule>
  </conditionalFormatting>
  <conditionalFormatting sqref="O277:P277">
    <cfRule type="expression" dxfId="608" priority="565">
      <formula>$E277&lt;&gt;"Yes"</formula>
    </cfRule>
  </conditionalFormatting>
  <conditionalFormatting sqref="X277">
    <cfRule type="expression" dxfId="607" priority="564">
      <formula>$E$7&lt;&gt;"Yes"</formula>
    </cfRule>
  </conditionalFormatting>
  <conditionalFormatting sqref="X277">
    <cfRule type="expression" dxfId="606" priority="563">
      <formula>$E277&lt;&gt;"Yes"</formula>
    </cfRule>
  </conditionalFormatting>
  <conditionalFormatting sqref="AD277">
    <cfRule type="expression" dxfId="605" priority="562">
      <formula>$E$7&lt;&gt;"Yes"</formula>
    </cfRule>
  </conditionalFormatting>
  <conditionalFormatting sqref="AD277">
    <cfRule type="expression" dxfId="604" priority="561">
      <formula>$E277&lt;&gt;"Yes"</formula>
    </cfRule>
  </conditionalFormatting>
  <conditionalFormatting sqref="AC277">
    <cfRule type="expression" dxfId="603" priority="560">
      <formula>$E$7&lt;&gt;"Yes"</formula>
    </cfRule>
  </conditionalFormatting>
  <conditionalFormatting sqref="AC277">
    <cfRule type="expression" dxfId="602" priority="559">
      <formula>$E277&lt;&gt;"Yes"</formula>
    </cfRule>
  </conditionalFormatting>
  <conditionalFormatting sqref="R277:V277">
    <cfRule type="expression" dxfId="601" priority="558">
      <formula>$E$7&lt;&gt;"Yes"</formula>
    </cfRule>
  </conditionalFormatting>
  <conditionalFormatting sqref="R277:V277">
    <cfRule type="expression" dxfId="600" priority="557">
      <formula>$E277&lt;&gt;"Yes"</formula>
    </cfRule>
  </conditionalFormatting>
  <conditionalFormatting sqref="S277">
    <cfRule type="expression" dxfId="599" priority="556">
      <formula>$E$7&lt;&gt;"Yes"</formula>
    </cfRule>
  </conditionalFormatting>
  <conditionalFormatting sqref="S277">
    <cfRule type="expression" dxfId="598" priority="555">
      <formula>$E277&lt;&gt;"Yes"</formula>
    </cfRule>
  </conditionalFormatting>
  <conditionalFormatting sqref="T277">
    <cfRule type="expression" dxfId="597" priority="554">
      <formula>$E$7&lt;&gt;"Yes"</formula>
    </cfRule>
  </conditionalFormatting>
  <conditionalFormatting sqref="T277">
    <cfRule type="expression" dxfId="596" priority="553">
      <formula>$E277&lt;&gt;"Yes"</formula>
    </cfRule>
  </conditionalFormatting>
  <conditionalFormatting sqref="U277">
    <cfRule type="expression" dxfId="595" priority="552">
      <formula>$E$7&lt;&gt;"Yes"</formula>
    </cfRule>
  </conditionalFormatting>
  <conditionalFormatting sqref="U277">
    <cfRule type="expression" dxfId="594" priority="551">
      <formula>$E277&lt;&gt;"Yes"</formula>
    </cfRule>
  </conditionalFormatting>
  <conditionalFormatting sqref="V277">
    <cfRule type="expression" dxfId="593" priority="550">
      <formula>$E$7&lt;&gt;"Yes"</formula>
    </cfRule>
  </conditionalFormatting>
  <conditionalFormatting sqref="V277">
    <cfRule type="expression" dxfId="592" priority="549">
      <formula>$E277&lt;&gt;"Yes"</formula>
    </cfRule>
  </conditionalFormatting>
  <conditionalFormatting sqref="R277:V277">
    <cfRule type="expression" dxfId="591" priority="548">
      <formula>$E$7&lt;&gt;"Yes"</formula>
    </cfRule>
  </conditionalFormatting>
  <conditionalFormatting sqref="R277:V277">
    <cfRule type="expression" dxfId="590" priority="547">
      <formula>$E277&lt;&gt;"Yes"</formula>
    </cfRule>
  </conditionalFormatting>
  <conditionalFormatting sqref="Z277">
    <cfRule type="expression" dxfId="589" priority="546">
      <formula>$E$7&lt;&gt;"Yes"</formula>
    </cfRule>
  </conditionalFormatting>
  <conditionalFormatting sqref="Z277">
    <cfRule type="expression" dxfId="588" priority="545">
      <formula>$E277&lt;&gt;"Yes"</formula>
    </cfRule>
  </conditionalFormatting>
  <conditionalFormatting sqref="AN277:AO277">
    <cfRule type="expression" dxfId="587" priority="544">
      <formula>$E$7&lt;&gt;"Yes"</formula>
    </cfRule>
  </conditionalFormatting>
  <conditionalFormatting sqref="AN277:AO277">
    <cfRule type="expression" dxfId="586" priority="543">
      <formula>$E277&lt;&gt;"Yes"</formula>
    </cfRule>
  </conditionalFormatting>
  <conditionalFormatting sqref="AI277">
    <cfRule type="expression" dxfId="585" priority="542">
      <formula>$E$7&lt;&gt;"Yes"</formula>
    </cfRule>
  </conditionalFormatting>
  <conditionalFormatting sqref="AI277">
    <cfRule type="expression" dxfId="584" priority="541">
      <formula>$E277&lt;&gt;"Yes"</formula>
    </cfRule>
  </conditionalFormatting>
  <conditionalFormatting sqref="Q403 Y403 AF403:AH403 AJ403:AK403">
    <cfRule type="expression" dxfId="583" priority="450">
      <formula>$E$7&lt;&gt;"Yes"</formula>
    </cfRule>
  </conditionalFormatting>
  <conditionalFormatting sqref="Q403 Y403 AF403:AH403 AJ403:AK403">
    <cfRule type="expression" dxfId="582" priority="449">
      <formula>$E403&lt;&gt;"Yes"</formula>
    </cfRule>
  </conditionalFormatting>
  <conditionalFormatting sqref="G403">
    <cfRule type="expression" dxfId="581" priority="446">
      <formula>$E$7&lt;&gt;"Yes"</formula>
    </cfRule>
  </conditionalFormatting>
  <conditionalFormatting sqref="M403 F403:J403 Q403">
    <cfRule type="expression" dxfId="580" priority="448">
      <formula>$E$7&lt;&gt;"Yes"</formula>
    </cfRule>
  </conditionalFormatting>
  <conditionalFormatting sqref="M403 F403:J403 Q403">
    <cfRule type="expression" dxfId="579" priority="447">
      <formula>$E403&lt;&gt;"Yes"</formula>
    </cfRule>
  </conditionalFormatting>
  <conditionalFormatting sqref="K403:L403">
    <cfRule type="expression" dxfId="578" priority="445">
      <formula>$E$7&lt;&gt;"Yes"</formula>
    </cfRule>
  </conditionalFormatting>
  <conditionalFormatting sqref="K403:L403">
    <cfRule type="expression" dxfId="577" priority="444">
      <formula>$E403&lt;&gt;"Yes"</formula>
    </cfRule>
  </conditionalFormatting>
  <conditionalFormatting sqref="W403">
    <cfRule type="expression" dxfId="576" priority="443">
      <formula>$E$7&lt;&gt;"Yes"</formula>
    </cfRule>
  </conditionalFormatting>
  <conditionalFormatting sqref="W403">
    <cfRule type="expression" dxfId="575" priority="442">
      <formula>$E403&lt;&gt;"Yes"</formula>
    </cfRule>
  </conditionalFormatting>
  <conditionalFormatting sqref="AE403">
    <cfRule type="expression" dxfId="574" priority="441">
      <formula>$E$7&lt;&gt;"Yes"</formula>
    </cfRule>
  </conditionalFormatting>
  <conditionalFormatting sqref="AE403">
    <cfRule type="expression" dxfId="573" priority="440">
      <formula>$E403&lt;&gt;"Yes"</formula>
    </cfRule>
  </conditionalFormatting>
  <conditionalFormatting sqref="N403">
    <cfRule type="expression" dxfId="572" priority="439">
      <formula>$E$7&lt;&gt;"Yes"</formula>
    </cfRule>
  </conditionalFormatting>
  <conditionalFormatting sqref="N403">
    <cfRule type="expression" dxfId="571" priority="438">
      <formula>$E403&lt;&gt;"Yes"</formula>
    </cfRule>
  </conditionalFormatting>
  <conditionalFormatting sqref="AB403">
    <cfRule type="expression" dxfId="570" priority="437">
      <formula>$E$7&lt;&gt;"Yes"</formula>
    </cfRule>
  </conditionalFormatting>
  <conditionalFormatting sqref="AB403">
    <cfRule type="expression" dxfId="569" priority="436">
      <formula>$E403&lt;&gt;"Yes"</formula>
    </cfRule>
  </conditionalFormatting>
  <conditionalFormatting sqref="AA403">
    <cfRule type="expression" dxfId="568" priority="435">
      <formula>$E$7&lt;&gt;"Yes"</formula>
    </cfRule>
  </conditionalFormatting>
  <conditionalFormatting sqref="AA403">
    <cfRule type="expression" dxfId="567" priority="434">
      <formula>$E403&lt;&gt;"Yes"</formula>
    </cfRule>
  </conditionalFormatting>
  <conditionalFormatting sqref="Y403">
    <cfRule type="expression" dxfId="566" priority="433">
      <formula>$E$7&lt;&gt;"Yes"</formula>
    </cfRule>
  </conditionalFormatting>
  <conditionalFormatting sqref="Y403">
    <cfRule type="expression" dxfId="565" priority="432">
      <formula>$E403&lt;&gt;"Yes"</formula>
    </cfRule>
  </conditionalFormatting>
  <conditionalFormatting sqref="O403:P403">
    <cfRule type="expression" dxfId="564" priority="431">
      <formula>$E$7&lt;&gt;"Yes"</formula>
    </cfRule>
  </conditionalFormatting>
  <conditionalFormatting sqref="O403:P403">
    <cfRule type="expression" dxfId="563" priority="430">
      <formula>$E403&lt;&gt;"Yes"</formula>
    </cfRule>
  </conditionalFormatting>
  <conditionalFormatting sqref="X403">
    <cfRule type="expression" dxfId="562" priority="429">
      <formula>$E$7&lt;&gt;"Yes"</formula>
    </cfRule>
  </conditionalFormatting>
  <conditionalFormatting sqref="X403">
    <cfRule type="expression" dxfId="561" priority="428">
      <formula>$E403&lt;&gt;"Yes"</formula>
    </cfRule>
  </conditionalFormatting>
  <conditionalFormatting sqref="AD403">
    <cfRule type="expression" dxfId="560" priority="427">
      <formula>$E$7&lt;&gt;"Yes"</formula>
    </cfRule>
  </conditionalFormatting>
  <conditionalFormatting sqref="AD403">
    <cfRule type="expression" dxfId="559" priority="426">
      <formula>$E403&lt;&gt;"Yes"</formula>
    </cfRule>
  </conditionalFormatting>
  <conditionalFormatting sqref="AC403">
    <cfRule type="expression" dxfId="558" priority="425">
      <formula>$E$7&lt;&gt;"Yes"</formula>
    </cfRule>
  </conditionalFormatting>
  <conditionalFormatting sqref="AC403">
    <cfRule type="expression" dxfId="557" priority="424">
      <formula>$E403&lt;&gt;"Yes"</formula>
    </cfRule>
  </conditionalFormatting>
  <conditionalFormatting sqref="R403:V403">
    <cfRule type="expression" dxfId="556" priority="423">
      <formula>$E$7&lt;&gt;"Yes"</formula>
    </cfRule>
  </conditionalFormatting>
  <conditionalFormatting sqref="R403:V403">
    <cfRule type="expression" dxfId="555" priority="422">
      <formula>$E403&lt;&gt;"Yes"</formula>
    </cfRule>
  </conditionalFormatting>
  <conditionalFormatting sqref="S403">
    <cfRule type="expression" dxfId="554" priority="421">
      <formula>$E$7&lt;&gt;"Yes"</formula>
    </cfRule>
  </conditionalFormatting>
  <conditionalFormatting sqref="S403">
    <cfRule type="expression" dxfId="553" priority="420">
      <formula>$E403&lt;&gt;"Yes"</formula>
    </cfRule>
  </conditionalFormatting>
  <conditionalFormatting sqref="T403">
    <cfRule type="expression" dxfId="552" priority="419">
      <formula>$E$7&lt;&gt;"Yes"</formula>
    </cfRule>
  </conditionalFormatting>
  <conditionalFormatting sqref="T403">
    <cfRule type="expression" dxfId="551" priority="418">
      <formula>$E403&lt;&gt;"Yes"</formula>
    </cfRule>
  </conditionalFormatting>
  <conditionalFormatting sqref="U403">
    <cfRule type="expression" dxfId="550" priority="417">
      <formula>$E$7&lt;&gt;"Yes"</formula>
    </cfRule>
  </conditionalFormatting>
  <conditionalFormatting sqref="U403">
    <cfRule type="expression" dxfId="549" priority="416">
      <formula>$E403&lt;&gt;"Yes"</formula>
    </cfRule>
  </conditionalFormatting>
  <conditionalFormatting sqref="V403">
    <cfRule type="expression" dxfId="548" priority="415">
      <formula>$E$7&lt;&gt;"Yes"</formula>
    </cfRule>
  </conditionalFormatting>
  <conditionalFormatting sqref="V403">
    <cfRule type="expression" dxfId="547" priority="414">
      <formula>$E403&lt;&gt;"Yes"</formula>
    </cfRule>
  </conditionalFormatting>
  <conditionalFormatting sqref="R403:V403">
    <cfRule type="expression" dxfId="546" priority="413">
      <formula>$E$7&lt;&gt;"Yes"</formula>
    </cfRule>
  </conditionalFormatting>
  <conditionalFormatting sqref="R403:V403">
    <cfRule type="expression" dxfId="545" priority="412">
      <formula>$E403&lt;&gt;"Yes"</formula>
    </cfRule>
  </conditionalFormatting>
  <conditionalFormatting sqref="Z403">
    <cfRule type="expression" dxfId="544" priority="411">
      <formula>$E$7&lt;&gt;"Yes"</formula>
    </cfRule>
  </conditionalFormatting>
  <conditionalFormatting sqref="Z403">
    <cfRule type="expression" dxfId="543" priority="410">
      <formula>$E403&lt;&gt;"Yes"</formula>
    </cfRule>
  </conditionalFormatting>
  <conditionalFormatting sqref="AN403:AO403">
    <cfRule type="expression" dxfId="542" priority="409">
      <formula>$E$7&lt;&gt;"Yes"</formula>
    </cfRule>
  </conditionalFormatting>
  <conditionalFormatting sqref="AN403:AO403">
    <cfRule type="expression" dxfId="541" priority="408">
      <formula>$E403&lt;&gt;"Yes"</formula>
    </cfRule>
  </conditionalFormatting>
  <conditionalFormatting sqref="AI403">
    <cfRule type="expression" dxfId="540" priority="407">
      <formula>$E$7&lt;&gt;"Yes"</formula>
    </cfRule>
  </conditionalFormatting>
  <conditionalFormatting sqref="AI403">
    <cfRule type="expression" dxfId="539" priority="406">
      <formula>$E403&lt;&gt;"Yes"</formula>
    </cfRule>
  </conditionalFormatting>
  <conditionalFormatting sqref="Q404 Y404 AF404:AH404 AJ404:AK404">
    <cfRule type="expression" dxfId="538" priority="405">
      <formula>$E$7&lt;&gt;"Yes"</formula>
    </cfRule>
  </conditionalFormatting>
  <conditionalFormatting sqref="Q404 Y404 AF404:AH404 AJ404:AK404">
    <cfRule type="expression" dxfId="537" priority="404">
      <formula>$E404&lt;&gt;"Yes"</formula>
    </cfRule>
  </conditionalFormatting>
  <conditionalFormatting sqref="G404">
    <cfRule type="expression" dxfId="536" priority="401">
      <formula>$E$7&lt;&gt;"Yes"</formula>
    </cfRule>
  </conditionalFormatting>
  <conditionalFormatting sqref="M404 F404:J404 Q404">
    <cfRule type="expression" dxfId="535" priority="403">
      <formula>$E$7&lt;&gt;"Yes"</formula>
    </cfRule>
  </conditionalFormatting>
  <conditionalFormatting sqref="M404 F404:J404 Q404">
    <cfRule type="expression" dxfId="534" priority="402">
      <formula>$E404&lt;&gt;"Yes"</formula>
    </cfRule>
  </conditionalFormatting>
  <conditionalFormatting sqref="K404:L404">
    <cfRule type="expression" dxfId="533" priority="400">
      <formula>$E$7&lt;&gt;"Yes"</formula>
    </cfRule>
  </conditionalFormatting>
  <conditionalFormatting sqref="K404:L404">
    <cfRule type="expression" dxfId="532" priority="399">
      <formula>$E404&lt;&gt;"Yes"</formula>
    </cfRule>
  </conditionalFormatting>
  <conditionalFormatting sqref="W404">
    <cfRule type="expression" dxfId="531" priority="398">
      <formula>$E$7&lt;&gt;"Yes"</formula>
    </cfRule>
  </conditionalFormatting>
  <conditionalFormatting sqref="W404">
    <cfRule type="expression" dxfId="530" priority="397">
      <formula>$E404&lt;&gt;"Yes"</formula>
    </cfRule>
  </conditionalFormatting>
  <conditionalFormatting sqref="AE404">
    <cfRule type="expression" dxfId="529" priority="396">
      <formula>$E$7&lt;&gt;"Yes"</formula>
    </cfRule>
  </conditionalFormatting>
  <conditionalFormatting sqref="AE404">
    <cfRule type="expression" dxfId="528" priority="395">
      <formula>$E404&lt;&gt;"Yes"</formula>
    </cfRule>
  </conditionalFormatting>
  <conditionalFormatting sqref="N404">
    <cfRule type="expression" dxfId="527" priority="394">
      <formula>$E$7&lt;&gt;"Yes"</formula>
    </cfRule>
  </conditionalFormatting>
  <conditionalFormatting sqref="N404">
    <cfRule type="expression" dxfId="526" priority="393">
      <formula>$E404&lt;&gt;"Yes"</formula>
    </cfRule>
  </conditionalFormatting>
  <conditionalFormatting sqref="AB404">
    <cfRule type="expression" dxfId="525" priority="392">
      <formula>$E$7&lt;&gt;"Yes"</formula>
    </cfRule>
  </conditionalFormatting>
  <conditionalFormatting sqref="AB404">
    <cfRule type="expression" dxfId="524" priority="391">
      <formula>$E404&lt;&gt;"Yes"</formula>
    </cfRule>
  </conditionalFormatting>
  <conditionalFormatting sqref="AA404">
    <cfRule type="expression" dxfId="523" priority="390">
      <formula>$E$7&lt;&gt;"Yes"</formula>
    </cfRule>
  </conditionalFormatting>
  <conditionalFormatting sqref="AA404">
    <cfRule type="expression" dxfId="522" priority="389">
      <formula>$E404&lt;&gt;"Yes"</formula>
    </cfRule>
  </conditionalFormatting>
  <conditionalFormatting sqref="Y404">
    <cfRule type="expression" dxfId="521" priority="388">
      <formula>$E$7&lt;&gt;"Yes"</formula>
    </cfRule>
  </conditionalFormatting>
  <conditionalFormatting sqref="Y404">
    <cfRule type="expression" dxfId="520" priority="387">
      <formula>$E404&lt;&gt;"Yes"</formula>
    </cfRule>
  </conditionalFormatting>
  <conditionalFormatting sqref="O404:P404">
    <cfRule type="expression" dxfId="519" priority="386">
      <formula>$E$7&lt;&gt;"Yes"</formula>
    </cfRule>
  </conditionalFormatting>
  <conditionalFormatting sqref="O404:P404">
    <cfRule type="expression" dxfId="518" priority="385">
      <formula>$E404&lt;&gt;"Yes"</formula>
    </cfRule>
  </conditionalFormatting>
  <conditionalFormatting sqref="X404">
    <cfRule type="expression" dxfId="517" priority="384">
      <formula>$E$7&lt;&gt;"Yes"</formula>
    </cfRule>
  </conditionalFormatting>
  <conditionalFormatting sqref="X404">
    <cfRule type="expression" dxfId="516" priority="383">
      <formula>$E404&lt;&gt;"Yes"</formula>
    </cfRule>
  </conditionalFormatting>
  <conditionalFormatting sqref="AD404">
    <cfRule type="expression" dxfId="515" priority="382">
      <formula>$E$7&lt;&gt;"Yes"</formula>
    </cfRule>
  </conditionalFormatting>
  <conditionalFormatting sqref="AD404">
    <cfRule type="expression" dxfId="514" priority="381">
      <formula>$E404&lt;&gt;"Yes"</formula>
    </cfRule>
  </conditionalFormatting>
  <conditionalFormatting sqref="AC404">
    <cfRule type="expression" dxfId="513" priority="380">
      <formula>$E$7&lt;&gt;"Yes"</formula>
    </cfRule>
  </conditionalFormatting>
  <conditionalFormatting sqref="AC404">
    <cfRule type="expression" dxfId="512" priority="379">
      <formula>$E404&lt;&gt;"Yes"</formula>
    </cfRule>
  </conditionalFormatting>
  <conditionalFormatting sqref="R404:V404">
    <cfRule type="expression" dxfId="511" priority="378">
      <formula>$E$7&lt;&gt;"Yes"</formula>
    </cfRule>
  </conditionalFormatting>
  <conditionalFormatting sqref="R404:V404">
    <cfRule type="expression" dxfId="510" priority="377">
      <formula>$E404&lt;&gt;"Yes"</formula>
    </cfRule>
  </conditionalFormatting>
  <conditionalFormatting sqref="S404">
    <cfRule type="expression" dxfId="509" priority="376">
      <formula>$E$7&lt;&gt;"Yes"</formula>
    </cfRule>
  </conditionalFormatting>
  <conditionalFormatting sqref="S404">
    <cfRule type="expression" dxfId="508" priority="375">
      <formula>$E404&lt;&gt;"Yes"</formula>
    </cfRule>
  </conditionalFormatting>
  <conditionalFormatting sqref="T404">
    <cfRule type="expression" dxfId="507" priority="374">
      <formula>$E$7&lt;&gt;"Yes"</formula>
    </cfRule>
  </conditionalFormatting>
  <conditionalFormatting sqref="T404">
    <cfRule type="expression" dxfId="506" priority="373">
      <formula>$E404&lt;&gt;"Yes"</formula>
    </cfRule>
  </conditionalFormatting>
  <conditionalFormatting sqref="U404">
    <cfRule type="expression" dxfId="505" priority="372">
      <formula>$E$7&lt;&gt;"Yes"</formula>
    </cfRule>
  </conditionalFormatting>
  <conditionalFormatting sqref="U404">
    <cfRule type="expression" dxfId="504" priority="371">
      <formula>$E404&lt;&gt;"Yes"</formula>
    </cfRule>
  </conditionalFormatting>
  <conditionalFormatting sqref="V404">
    <cfRule type="expression" dxfId="503" priority="370">
      <formula>$E$7&lt;&gt;"Yes"</formula>
    </cfRule>
  </conditionalFormatting>
  <conditionalFormatting sqref="V404">
    <cfRule type="expression" dxfId="502" priority="369">
      <formula>$E404&lt;&gt;"Yes"</formula>
    </cfRule>
  </conditionalFormatting>
  <conditionalFormatting sqref="R404:V404">
    <cfRule type="expression" dxfId="501" priority="368">
      <formula>$E$7&lt;&gt;"Yes"</formula>
    </cfRule>
  </conditionalFormatting>
  <conditionalFormatting sqref="R404:V404">
    <cfRule type="expression" dxfId="500" priority="367">
      <formula>$E404&lt;&gt;"Yes"</formula>
    </cfRule>
  </conditionalFormatting>
  <conditionalFormatting sqref="Z404">
    <cfRule type="expression" dxfId="499" priority="366">
      <formula>$E$7&lt;&gt;"Yes"</formula>
    </cfRule>
  </conditionalFormatting>
  <conditionalFormatting sqref="Z404">
    <cfRule type="expression" dxfId="498" priority="365">
      <formula>$E404&lt;&gt;"Yes"</formula>
    </cfRule>
  </conditionalFormatting>
  <conditionalFormatting sqref="AN404:AO404">
    <cfRule type="expression" dxfId="497" priority="364">
      <formula>$E$7&lt;&gt;"Yes"</formula>
    </cfRule>
  </conditionalFormatting>
  <conditionalFormatting sqref="AN404:AO404">
    <cfRule type="expression" dxfId="496" priority="363">
      <formula>$E404&lt;&gt;"Yes"</formula>
    </cfRule>
  </conditionalFormatting>
  <conditionalFormatting sqref="AI404">
    <cfRule type="expression" dxfId="495" priority="362">
      <formula>$E$7&lt;&gt;"Yes"</formula>
    </cfRule>
  </conditionalFormatting>
  <conditionalFormatting sqref="AI404">
    <cfRule type="expression" dxfId="494" priority="361">
      <formula>$E404&lt;&gt;"Yes"</formula>
    </cfRule>
  </conditionalFormatting>
  <conditionalFormatting sqref="Q459 Y459 AF459:AH459 AJ459:AK459">
    <cfRule type="expression" dxfId="493" priority="270">
      <formula>$E$7&lt;&gt;"Yes"</formula>
    </cfRule>
  </conditionalFormatting>
  <conditionalFormatting sqref="G459">
    <cfRule type="expression" dxfId="492" priority="266">
      <formula>$E$7&lt;&gt;"Yes"</formula>
    </cfRule>
  </conditionalFormatting>
  <conditionalFormatting sqref="M459 F459:J459 Q459">
    <cfRule type="expression" dxfId="491" priority="268">
      <formula>$E$7&lt;&gt;"Yes"</formula>
    </cfRule>
  </conditionalFormatting>
  <conditionalFormatting sqref="K459:L459">
    <cfRule type="expression" dxfId="490" priority="265">
      <formula>$E$7&lt;&gt;"Yes"</formula>
    </cfRule>
  </conditionalFormatting>
  <conditionalFormatting sqref="W459">
    <cfRule type="expression" dxfId="489" priority="263">
      <formula>$E$7&lt;&gt;"Yes"</formula>
    </cfRule>
  </conditionalFormatting>
  <conditionalFormatting sqref="AE459">
    <cfRule type="expression" dxfId="488" priority="261">
      <formula>$E$7&lt;&gt;"Yes"</formula>
    </cfRule>
  </conditionalFormatting>
  <conditionalFormatting sqref="N459">
    <cfRule type="expression" dxfId="487" priority="259">
      <formula>$E$7&lt;&gt;"Yes"</formula>
    </cfRule>
  </conditionalFormatting>
  <conditionalFormatting sqref="AB459">
    <cfRule type="expression" dxfId="486" priority="257">
      <formula>$E$7&lt;&gt;"Yes"</formula>
    </cfRule>
  </conditionalFormatting>
  <conditionalFormatting sqref="AA459">
    <cfRule type="expression" dxfId="485" priority="255">
      <formula>$E$7&lt;&gt;"Yes"</formula>
    </cfRule>
  </conditionalFormatting>
  <conditionalFormatting sqref="Y459">
    <cfRule type="expression" dxfId="484" priority="253">
      <formula>$E$7&lt;&gt;"Yes"</formula>
    </cfRule>
  </conditionalFormatting>
  <conditionalFormatting sqref="O459:P459">
    <cfRule type="expression" dxfId="483" priority="251">
      <formula>$E$7&lt;&gt;"Yes"</formula>
    </cfRule>
  </conditionalFormatting>
  <conditionalFormatting sqref="X459">
    <cfRule type="expression" dxfId="482" priority="249">
      <formula>$E$7&lt;&gt;"Yes"</formula>
    </cfRule>
  </conditionalFormatting>
  <conditionalFormatting sqref="AD459">
    <cfRule type="expression" dxfId="481" priority="247">
      <formula>$E$7&lt;&gt;"Yes"</formula>
    </cfRule>
  </conditionalFormatting>
  <conditionalFormatting sqref="AC459">
    <cfRule type="expression" dxfId="480" priority="245">
      <formula>$E$7&lt;&gt;"Yes"</formula>
    </cfRule>
  </conditionalFormatting>
  <conditionalFormatting sqref="R459:V459">
    <cfRule type="expression" dxfId="479" priority="243">
      <formula>$E$7&lt;&gt;"Yes"</formula>
    </cfRule>
  </conditionalFormatting>
  <conditionalFormatting sqref="S459">
    <cfRule type="expression" dxfId="478" priority="241">
      <formula>$E$7&lt;&gt;"Yes"</formula>
    </cfRule>
  </conditionalFormatting>
  <conditionalFormatting sqref="T459">
    <cfRule type="expression" dxfId="477" priority="239">
      <formula>$E$7&lt;&gt;"Yes"</formula>
    </cfRule>
  </conditionalFormatting>
  <conditionalFormatting sqref="U459">
    <cfRule type="expression" dxfId="476" priority="237">
      <formula>$E$7&lt;&gt;"Yes"</formula>
    </cfRule>
  </conditionalFormatting>
  <conditionalFormatting sqref="V459">
    <cfRule type="expression" dxfId="475" priority="235">
      <formula>$E$7&lt;&gt;"Yes"</formula>
    </cfRule>
  </conditionalFormatting>
  <conditionalFormatting sqref="R459:V459">
    <cfRule type="expression" dxfId="474" priority="233">
      <formula>$E$7&lt;&gt;"Yes"</formula>
    </cfRule>
  </conditionalFormatting>
  <conditionalFormatting sqref="Z459">
    <cfRule type="expression" dxfId="473" priority="231">
      <formula>$E$7&lt;&gt;"Yes"</formula>
    </cfRule>
  </conditionalFormatting>
  <conditionalFormatting sqref="AN459:AO459">
    <cfRule type="expression" dxfId="472" priority="229">
      <formula>$E$7&lt;&gt;"Yes"</formula>
    </cfRule>
  </conditionalFormatting>
  <conditionalFormatting sqref="AI459">
    <cfRule type="expression" dxfId="471" priority="227">
      <formula>$E$7&lt;&gt;"Yes"</formula>
    </cfRule>
  </conditionalFormatting>
  <conditionalFormatting sqref="Q457 Y457 AF457:AH457 AJ457:AK457">
    <cfRule type="expression" dxfId="470" priority="360">
      <formula>$E$7&lt;&gt;"Yes"</formula>
    </cfRule>
  </conditionalFormatting>
  <conditionalFormatting sqref="G457">
    <cfRule type="expression" dxfId="469" priority="356">
      <formula>$E$7&lt;&gt;"Yes"</formula>
    </cfRule>
  </conditionalFormatting>
  <conditionalFormatting sqref="M457 F457:J457 Q457">
    <cfRule type="expression" dxfId="468" priority="358">
      <formula>$E$7&lt;&gt;"Yes"</formula>
    </cfRule>
  </conditionalFormatting>
  <conditionalFormatting sqref="K457:L457">
    <cfRule type="expression" dxfId="467" priority="355">
      <formula>$E$7&lt;&gt;"Yes"</formula>
    </cfRule>
  </conditionalFormatting>
  <conditionalFormatting sqref="W457">
    <cfRule type="expression" dxfId="466" priority="353">
      <formula>$E$7&lt;&gt;"Yes"</formula>
    </cfRule>
  </conditionalFormatting>
  <conditionalFormatting sqref="AE457">
    <cfRule type="expression" dxfId="465" priority="351">
      <formula>$E$7&lt;&gt;"Yes"</formula>
    </cfRule>
  </conditionalFormatting>
  <conditionalFormatting sqref="N457">
    <cfRule type="expression" dxfId="464" priority="349">
      <formula>$E$7&lt;&gt;"Yes"</formula>
    </cfRule>
  </conditionalFormatting>
  <conditionalFormatting sqref="AB457">
    <cfRule type="expression" dxfId="463" priority="347">
      <formula>$E$7&lt;&gt;"Yes"</formula>
    </cfRule>
  </conditionalFormatting>
  <conditionalFormatting sqref="AA457">
    <cfRule type="expression" dxfId="462" priority="345">
      <formula>$E$7&lt;&gt;"Yes"</formula>
    </cfRule>
  </conditionalFormatting>
  <conditionalFormatting sqref="Y457">
    <cfRule type="expression" dxfId="461" priority="343">
      <formula>$E$7&lt;&gt;"Yes"</formula>
    </cfRule>
  </conditionalFormatting>
  <conditionalFormatting sqref="O457:P457">
    <cfRule type="expression" dxfId="460" priority="341">
      <formula>$E$7&lt;&gt;"Yes"</formula>
    </cfRule>
  </conditionalFormatting>
  <conditionalFormatting sqref="X457">
    <cfRule type="expression" dxfId="459" priority="339">
      <formula>$E$7&lt;&gt;"Yes"</formula>
    </cfRule>
  </conditionalFormatting>
  <conditionalFormatting sqref="AD457">
    <cfRule type="expression" dxfId="458" priority="337">
      <formula>$E$7&lt;&gt;"Yes"</formula>
    </cfRule>
  </conditionalFormatting>
  <conditionalFormatting sqref="AC457">
    <cfRule type="expression" dxfId="457" priority="335">
      <formula>$E$7&lt;&gt;"Yes"</formula>
    </cfRule>
  </conditionalFormatting>
  <conditionalFormatting sqref="R457:V457">
    <cfRule type="expression" dxfId="456" priority="333">
      <formula>$E$7&lt;&gt;"Yes"</formula>
    </cfRule>
  </conditionalFormatting>
  <conditionalFormatting sqref="S457">
    <cfRule type="expression" dxfId="455" priority="331">
      <formula>$E$7&lt;&gt;"Yes"</formula>
    </cfRule>
  </conditionalFormatting>
  <conditionalFormatting sqref="T457">
    <cfRule type="expression" dxfId="454" priority="329">
      <formula>$E$7&lt;&gt;"Yes"</formula>
    </cfRule>
  </conditionalFormatting>
  <conditionalFormatting sqref="U457">
    <cfRule type="expression" dxfId="453" priority="327">
      <formula>$E$7&lt;&gt;"Yes"</formula>
    </cfRule>
  </conditionalFormatting>
  <conditionalFormatting sqref="V457">
    <cfRule type="expression" dxfId="452" priority="325">
      <formula>$E$7&lt;&gt;"Yes"</formula>
    </cfRule>
  </conditionalFormatting>
  <conditionalFormatting sqref="R457:V457">
    <cfRule type="expression" dxfId="451" priority="323">
      <formula>$E$7&lt;&gt;"Yes"</formula>
    </cfRule>
  </conditionalFormatting>
  <conditionalFormatting sqref="Z457">
    <cfRule type="expression" dxfId="450" priority="321">
      <formula>$E$7&lt;&gt;"Yes"</formula>
    </cfRule>
  </conditionalFormatting>
  <conditionalFormatting sqref="AN457:AO457">
    <cfRule type="expression" dxfId="449" priority="319">
      <formula>$E$7&lt;&gt;"Yes"</formula>
    </cfRule>
  </conditionalFormatting>
  <conditionalFormatting sqref="AI457">
    <cfRule type="expression" dxfId="448" priority="317">
      <formula>$E$7&lt;&gt;"Yes"</formula>
    </cfRule>
  </conditionalFormatting>
  <conditionalFormatting sqref="Q458 Y458 AF458:AH458 AJ458:AK458">
    <cfRule type="expression" dxfId="447" priority="315">
      <formula>$E$7&lt;&gt;"Yes"</formula>
    </cfRule>
  </conditionalFormatting>
  <conditionalFormatting sqref="G458">
    <cfRule type="expression" dxfId="446" priority="311">
      <formula>$E$7&lt;&gt;"Yes"</formula>
    </cfRule>
  </conditionalFormatting>
  <conditionalFormatting sqref="M458 F458:J458 Q458">
    <cfRule type="expression" dxfId="445" priority="313">
      <formula>$E$7&lt;&gt;"Yes"</formula>
    </cfRule>
  </conditionalFormatting>
  <conditionalFormatting sqref="K458:L458">
    <cfRule type="expression" dxfId="444" priority="310">
      <formula>$E$7&lt;&gt;"Yes"</formula>
    </cfRule>
  </conditionalFormatting>
  <conditionalFormatting sqref="W458">
    <cfRule type="expression" dxfId="443" priority="308">
      <formula>$E$7&lt;&gt;"Yes"</formula>
    </cfRule>
  </conditionalFormatting>
  <conditionalFormatting sqref="AE458">
    <cfRule type="expression" dxfId="442" priority="306">
      <formula>$E$7&lt;&gt;"Yes"</formula>
    </cfRule>
  </conditionalFormatting>
  <conditionalFormatting sqref="N458">
    <cfRule type="expression" dxfId="441" priority="304">
      <formula>$E$7&lt;&gt;"Yes"</formula>
    </cfRule>
  </conditionalFormatting>
  <conditionalFormatting sqref="AB458">
    <cfRule type="expression" dxfId="440" priority="302">
      <formula>$E$7&lt;&gt;"Yes"</formula>
    </cfRule>
  </conditionalFormatting>
  <conditionalFormatting sqref="AA458">
    <cfRule type="expression" dxfId="439" priority="300">
      <formula>$E$7&lt;&gt;"Yes"</formula>
    </cfRule>
  </conditionalFormatting>
  <conditionalFormatting sqref="Y458">
    <cfRule type="expression" dxfId="438" priority="298">
      <formula>$E$7&lt;&gt;"Yes"</formula>
    </cfRule>
  </conditionalFormatting>
  <conditionalFormatting sqref="O458:P458">
    <cfRule type="expression" dxfId="437" priority="296">
      <formula>$E$7&lt;&gt;"Yes"</formula>
    </cfRule>
  </conditionalFormatting>
  <conditionalFormatting sqref="X458">
    <cfRule type="expression" dxfId="436" priority="294">
      <formula>$E$7&lt;&gt;"Yes"</formula>
    </cfRule>
  </conditionalFormatting>
  <conditionalFormatting sqref="AD458">
    <cfRule type="expression" dxfId="435" priority="292">
      <formula>$E$7&lt;&gt;"Yes"</formula>
    </cfRule>
  </conditionalFormatting>
  <conditionalFormatting sqref="AC458">
    <cfRule type="expression" dxfId="434" priority="290">
      <formula>$E$7&lt;&gt;"Yes"</formula>
    </cfRule>
  </conditionalFormatting>
  <conditionalFormatting sqref="R458:V458">
    <cfRule type="expression" dxfId="433" priority="288">
      <formula>$E$7&lt;&gt;"Yes"</formula>
    </cfRule>
  </conditionalFormatting>
  <conditionalFormatting sqref="S458">
    <cfRule type="expression" dxfId="432" priority="286">
      <formula>$E$7&lt;&gt;"Yes"</formula>
    </cfRule>
  </conditionalFormatting>
  <conditionalFormatting sqref="T458">
    <cfRule type="expression" dxfId="431" priority="284">
      <formula>$E$7&lt;&gt;"Yes"</formula>
    </cfRule>
  </conditionalFormatting>
  <conditionalFormatting sqref="U458">
    <cfRule type="expression" dxfId="430" priority="282">
      <formula>$E$7&lt;&gt;"Yes"</formula>
    </cfRule>
  </conditionalFormatting>
  <conditionalFormatting sqref="V458">
    <cfRule type="expression" dxfId="429" priority="280">
      <formula>$E$7&lt;&gt;"Yes"</formula>
    </cfRule>
  </conditionalFormatting>
  <conditionalFormatting sqref="R458:V458">
    <cfRule type="expression" dxfId="428" priority="278">
      <formula>$E$7&lt;&gt;"Yes"</formula>
    </cfRule>
  </conditionalFormatting>
  <conditionalFormatting sqref="Z458">
    <cfRule type="expression" dxfId="427" priority="276">
      <formula>$E$7&lt;&gt;"Yes"</formula>
    </cfRule>
  </conditionalFormatting>
  <conditionalFormatting sqref="AN458:AO458">
    <cfRule type="expression" dxfId="426" priority="274">
      <formula>$E$7&lt;&gt;"Yes"</formula>
    </cfRule>
  </conditionalFormatting>
  <conditionalFormatting sqref="AI458">
    <cfRule type="expression" dxfId="425" priority="272">
      <formula>$E$7&lt;&gt;"Yes"</formula>
    </cfRule>
  </conditionalFormatting>
  <conditionalFormatting sqref="Q261 Y261 AF261:AH261 AJ261:AK261">
    <cfRule type="expression" dxfId="424" priority="225">
      <formula>$E$7&lt;&gt;"Yes"</formula>
    </cfRule>
  </conditionalFormatting>
  <conditionalFormatting sqref="Q261 Y261 AF261:AH261 AJ261:AK261">
    <cfRule type="expression" dxfId="423" priority="224">
      <formula>$E261&lt;&gt;"Yes"</formula>
    </cfRule>
  </conditionalFormatting>
  <conditionalFormatting sqref="G261">
    <cfRule type="expression" dxfId="422" priority="221">
      <formula>$E$7&lt;&gt;"Yes"</formula>
    </cfRule>
  </conditionalFormatting>
  <conditionalFormatting sqref="M261 F261:J261 Q261">
    <cfRule type="expression" dxfId="421" priority="223">
      <formula>$E$7&lt;&gt;"Yes"</formula>
    </cfRule>
  </conditionalFormatting>
  <conditionalFormatting sqref="M261 F261:J261 Q261">
    <cfRule type="expression" dxfId="420" priority="222">
      <formula>$E261&lt;&gt;"Yes"</formula>
    </cfRule>
  </conditionalFormatting>
  <conditionalFormatting sqref="K261:L261">
    <cfRule type="expression" dxfId="419" priority="220">
      <formula>$E$7&lt;&gt;"Yes"</formula>
    </cfRule>
  </conditionalFormatting>
  <conditionalFormatting sqref="K261:L261">
    <cfRule type="expression" dxfId="418" priority="219">
      <formula>$E261&lt;&gt;"Yes"</formula>
    </cfRule>
  </conditionalFormatting>
  <conditionalFormatting sqref="W261">
    <cfRule type="expression" dxfId="417" priority="218">
      <formula>$E$7&lt;&gt;"Yes"</formula>
    </cfRule>
  </conditionalFormatting>
  <conditionalFormatting sqref="W261">
    <cfRule type="expression" dxfId="416" priority="217">
      <formula>$E261&lt;&gt;"Yes"</formula>
    </cfRule>
  </conditionalFormatting>
  <conditionalFormatting sqref="AE261">
    <cfRule type="expression" dxfId="415" priority="216">
      <formula>$E$7&lt;&gt;"Yes"</formula>
    </cfRule>
  </conditionalFormatting>
  <conditionalFormatting sqref="AE261">
    <cfRule type="expression" dxfId="414" priority="215">
      <formula>$E261&lt;&gt;"Yes"</formula>
    </cfRule>
  </conditionalFormatting>
  <conditionalFormatting sqref="N261">
    <cfRule type="expression" dxfId="413" priority="214">
      <formula>$E$7&lt;&gt;"Yes"</formula>
    </cfRule>
  </conditionalFormatting>
  <conditionalFormatting sqref="N261">
    <cfRule type="expression" dxfId="412" priority="213">
      <formula>$E261&lt;&gt;"Yes"</formula>
    </cfRule>
  </conditionalFormatting>
  <conditionalFormatting sqref="AB261">
    <cfRule type="expression" dxfId="411" priority="212">
      <formula>$E$7&lt;&gt;"Yes"</formula>
    </cfRule>
  </conditionalFormatting>
  <conditionalFormatting sqref="AB261">
    <cfRule type="expression" dxfId="410" priority="211">
      <formula>$E261&lt;&gt;"Yes"</formula>
    </cfRule>
  </conditionalFormatting>
  <conditionalFormatting sqref="AA261">
    <cfRule type="expression" dxfId="409" priority="210">
      <formula>$E$7&lt;&gt;"Yes"</formula>
    </cfRule>
  </conditionalFormatting>
  <conditionalFormatting sqref="AA261">
    <cfRule type="expression" dxfId="408" priority="209">
      <formula>$E261&lt;&gt;"Yes"</formula>
    </cfRule>
  </conditionalFormatting>
  <conditionalFormatting sqref="Y261">
    <cfRule type="expression" dxfId="407" priority="208">
      <formula>$E$7&lt;&gt;"Yes"</formula>
    </cfRule>
  </conditionalFormatting>
  <conditionalFormatting sqref="Y261">
    <cfRule type="expression" dxfId="406" priority="207">
      <formula>$E261&lt;&gt;"Yes"</formula>
    </cfRule>
  </conditionalFormatting>
  <conditionalFormatting sqref="O261:P261">
    <cfRule type="expression" dxfId="405" priority="206">
      <formula>$E$7&lt;&gt;"Yes"</formula>
    </cfRule>
  </conditionalFormatting>
  <conditionalFormatting sqref="O261:P261">
    <cfRule type="expression" dxfId="404" priority="205">
      <formula>$E261&lt;&gt;"Yes"</formula>
    </cfRule>
  </conditionalFormatting>
  <conditionalFormatting sqref="X261">
    <cfRule type="expression" dxfId="403" priority="204">
      <formula>$E$7&lt;&gt;"Yes"</formula>
    </cfRule>
  </conditionalFormatting>
  <conditionalFormatting sqref="X261">
    <cfRule type="expression" dxfId="402" priority="203">
      <formula>$E261&lt;&gt;"Yes"</formula>
    </cfRule>
  </conditionalFormatting>
  <conditionalFormatting sqref="AD261">
    <cfRule type="expression" dxfId="401" priority="202">
      <formula>$E$7&lt;&gt;"Yes"</formula>
    </cfRule>
  </conditionalFormatting>
  <conditionalFormatting sqref="AD261">
    <cfRule type="expression" dxfId="400" priority="201">
      <formula>$E261&lt;&gt;"Yes"</formula>
    </cfRule>
  </conditionalFormatting>
  <conditionalFormatting sqref="AC261">
    <cfRule type="expression" dxfId="399" priority="200">
      <formula>$E$7&lt;&gt;"Yes"</formula>
    </cfRule>
  </conditionalFormatting>
  <conditionalFormatting sqref="AC261">
    <cfRule type="expression" dxfId="398" priority="199">
      <formula>$E261&lt;&gt;"Yes"</formula>
    </cfRule>
  </conditionalFormatting>
  <conditionalFormatting sqref="R261:V261">
    <cfRule type="expression" dxfId="397" priority="198">
      <formula>$E$7&lt;&gt;"Yes"</formula>
    </cfRule>
  </conditionalFormatting>
  <conditionalFormatting sqref="R261:V261">
    <cfRule type="expression" dxfId="396" priority="197">
      <formula>$E261&lt;&gt;"Yes"</formula>
    </cfRule>
  </conditionalFormatting>
  <conditionalFormatting sqref="S261">
    <cfRule type="expression" dxfId="395" priority="196">
      <formula>$E$7&lt;&gt;"Yes"</formula>
    </cfRule>
  </conditionalFormatting>
  <conditionalFormatting sqref="S261">
    <cfRule type="expression" dxfId="394" priority="195">
      <formula>$E261&lt;&gt;"Yes"</formula>
    </cfRule>
  </conditionalFormatting>
  <conditionalFormatting sqref="T261">
    <cfRule type="expression" dxfId="393" priority="194">
      <formula>$E$7&lt;&gt;"Yes"</formula>
    </cfRule>
  </conditionalFormatting>
  <conditionalFormatting sqref="T261">
    <cfRule type="expression" dxfId="392" priority="193">
      <formula>$E261&lt;&gt;"Yes"</formula>
    </cfRule>
  </conditionalFormatting>
  <conditionalFormatting sqref="U261">
    <cfRule type="expression" dxfId="391" priority="192">
      <formula>$E$7&lt;&gt;"Yes"</formula>
    </cfRule>
  </conditionalFormatting>
  <conditionalFormatting sqref="U261">
    <cfRule type="expression" dxfId="390" priority="191">
      <formula>$E261&lt;&gt;"Yes"</formula>
    </cfRule>
  </conditionalFormatting>
  <conditionalFormatting sqref="V261">
    <cfRule type="expression" dxfId="389" priority="190">
      <formula>$E$7&lt;&gt;"Yes"</formula>
    </cfRule>
  </conditionalFormatting>
  <conditionalFormatting sqref="V261">
    <cfRule type="expression" dxfId="388" priority="189">
      <formula>$E261&lt;&gt;"Yes"</formula>
    </cfRule>
  </conditionalFormatting>
  <conditionalFormatting sqref="R261:V261">
    <cfRule type="expression" dxfId="387" priority="188">
      <formula>$E$7&lt;&gt;"Yes"</formula>
    </cfRule>
  </conditionalFormatting>
  <conditionalFormatting sqref="R261:V261">
    <cfRule type="expression" dxfId="386" priority="187">
      <formula>$E261&lt;&gt;"Yes"</formula>
    </cfRule>
  </conditionalFormatting>
  <conditionalFormatting sqref="Z261">
    <cfRule type="expression" dxfId="385" priority="186">
      <formula>$E$7&lt;&gt;"Yes"</formula>
    </cfRule>
  </conditionalFormatting>
  <conditionalFormatting sqref="Z261">
    <cfRule type="expression" dxfId="384" priority="185">
      <formula>$E261&lt;&gt;"Yes"</formula>
    </cfRule>
  </conditionalFormatting>
  <conditionalFormatting sqref="AN261:AO261">
    <cfRule type="expression" dxfId="383" priority="184">
      <formula>$E$7&lt;&gt;"Yes"</formula>
    </cfRule>
  </conditionalFormatting>
  <conditionalFormatting sqref="AN261:AO261">
    <cfRule type="expression" dxfId="382" priority="183">
      <formula>$E261&lt;&gt;"Yes"</formula>
    </cfRule>
  </conditionalFormatting>
  <conditionalFormatting sqref="AI261">
    <cfRule type="expression" dxfId="381" priority="182">
      <formula>$E$7&lt;&gt;"Yes"</formula>
    </cfRule>
  </conditionalFormatting>
  <conditionalFormatting sqref="AI261">
    <cfRule type="expression" dxfId="380" priority="181">
      <formula>$E261&lt;&gt;"Yes"</formula>
    </cfRule>
  </conditionalFormatting>
  <conditionalFormatting sqref="Q259 Y259 AF259:AH259 AJ259:AK259">
    <cfRule type="expression" dxfId="379" priority="135">
      <formula>$E$7&lt;&gt;"Yes"</formula>
    </cfRule>
  </conditionalFormatting>
  <conditionalFormatting sqref="Q259 Y259 AF259:AH259 AJ259:AK259">
    <cfRule type="expression" dxfId="378" priority="134">
      <formula>$E259&lt;&gt;"Yes"</formula>
    </cfRule>
  </conditionalFormatting>
  <conditionalFormatting sqref="G259">
    <cfRule type="expression" dxfId="377" priority="131">
      <formula>$E$7&lt;&gt;"Yes"</formula>
    </cfRule>
  </conditionalFormatting>
  <conditionalFormatting sqref="M259 F259:J259 Q259">
    <cfRule type="expression" dxfId="376" priority="133">
      <formula>$E$7&lt;&gt;"Yes"</formula>
    </cfRule>
  </conditionalFormatting>
  <conditionalFormatting sqref="M259 F259:J259 Q259">
    <cfRule type="expression" dxfId="375" priority="132">
      <formula>$E259&lt;&gt;"Yes"</formula>
    </cfRule>
  </conditionalFormatting>
  <conditionalFormatting sqref="K259:L259">
    <cfRule type="expression" dxfId="374" priority="130">
      <formula>$E$7&lt;&gt;"Yes"</formula>
    </cfRule>
  </conditionalFormatting>
  <conditionalFormatting sqref="K259:L259">
    <cfRule type="expression" dxfId="373" priority="129">
      <formula>$E259&lt;&gt;"Yes"</formula>
    </cfRule>
  </conditionalFormatting>
  <conditionalFormatting sqref="W259">
    <cfRule type="expression" dxfId="372" priority="128">
      <formula>$E$7&lt;&gt;"Yes"</formula>
    </cfRule>
  </conditionalFormatting>
  <conditionalFormatting sqref="W259">
    <cfRule type="expression" dxfId="371" priority="127">
      <formula>$E259&lt;&gt;"Yes"</formula>
    </cfRule>
  </conditionalFormatting>
  <conditionalFormatting sqref="AE259">
    <cfRule type="expression" dxfId="370" priority="126">
      <formula>$E$7&lt;&gt;"Yes"</formula>
    </cfRule>
  </conditionalFormatting>
  <conditionalFormatting sqref="AE259">
    <cfRule type="expression" dxfId="369" priority="125">
      <formula>$E259&lt;&gt;"Yes"</formula>
    </cfRule>
  </conditionalFormatting>
  <conditionalFormatting sqref="N259">
    <cfRule type="expression" dxfId="368" priority="124">
      <formula>$E$7&lt;&gt;"Yes"</formula>
    </cfRule>
  </conditionalFormatting>
  <conditionalFormatting sqref="N259">
    <cfRule type="expression" dxfId="367" priority="123">
      <formula>$E259&lt;&gt;"Yes"</formula>
    </cfRule>
  </conditionalFormatting>
  <conditionalFormatting sqref="AB259">
    <cfRule type="expression" dxfId="366" priority="122">
      <formula>$E$7&lt;&gt;"Yes"</formula>
    </cfRule>
  </conditionalFormatting>
  <conditionalFormatting sqref="AB259">
    <cfRule type="expression" dxfId="365" priority="121">
      <formula>$E259&lt;&gt;"Yes"</formula>
    </cfRule>
  </conditionalFormatting>
  <conditionalFormatting sqref="AA259">
    <cfRule type="expression" dxfId="364" priority="120">
      <formula>$E$7&lt;&gt;"Yes"</formula>
    </cfRule>
  </conditionalFormatting>
  <conditionalFormatting sqref="AA259">
    <cfRule type="expression" dxfId="363" priority="119">
      <formula>$E259&lt;&gt;"Yes"</formula>
    </cfRule>
  </conditionalFormatting>
  <conditionalFormatting sqref="Y259">
    <cfRule type="expression" dxfId="362" priority="118">
      <formula>$E$7&lt;&gt;"Yes"</formula>
    </cfRule>
  </conditionalFormatting>
  <conditionalFormatting sqref="Y259">
    <cfRule type="expression" dxfId="361" priority="117">
      <formula>$E259&lt;&gt;"Yes"</formula>
    </cfRule>
  </conditionalFormatting>
  <conditionalFormatting sqref="O259:P259">
    <cfRule type="expression" dxfId="360" priority="116">
      <formula>$E$7&lt;&gt;"Yes"</formula>
    </cfRule>
  </conditionalFormatting>
  <conditionalFormatting sqref="O259:P259">
    <cfRule type="expression" dxfId="359" priority="115">
      <formula>$E259&lt;&gt;"Yes"</formula>
    </cfRule>
  </conditionalFormatting>
  <conditionalFormatting sqref="X259">
    <cfRule type="expression" dxfId="358" priority="114">
      <formula>$E$7&lt;&gt;"Yes"</formula>
    </cfRule>
  </conditionalFormatting>
  <conditionalFormatting sqref="X259">
    <cfRule type="expression" dxfId="357" priority="113">
      <formula>$E259&lt;&gt;"Yes"</formula>
    </cfRule>
  </conditionalFormatting>
  <conditionalFormatting sqref="AD259">
    <cfRule type="expression" dxfId="356" priority="112">
      <formula>$E$7&lt;&gt;"Yes"</formula>
    </cfRule>
  </conditionalFormatting>
  <conditionalFormatting sqref="AD259">
    <cfRule type="expression" dxfId="355" priority="111">
      <formula>$E259&lt;&gt;"Yes"</formula>
    </cfRule>
  </conditionalFormatting>
  <conditionalFormatting sqref="AC259">
    <cfRule type="expression" dxfId="354" priority="110">
      <formula>$E$7&lt;&gt;"Yes"</formula>
    </cfRule>
  </conditionalFormatting>
  <conditionalFormatting sqref="AC259">
    <cfRule type="expression" dxfId="353" priority="109">
      <formula>$E259&lt;&gt;"Yes"</formula>
    </cfRule>
  </conditionalFormatting>
  <conditionalFormatting sqref="R259:V259">
    <cfRule type="expression" dxfId="352" priority="108">
      <formula>$E$7&lt;&gt;"Yes"</formula>
    </cfRule>
  </conditionalFormatting>
  <conditionalFormatting sqref="R259:V259">
    <cfRule type="expression" dxfId="351" priority="107">
      <formula>$E259&lt;&gt;"Yes"</formula>
    </cfRule>
  </conditionalFormatting>
  <conditionalFormatting sqref="S259">
    <cfRule type="expression" dxfId="350" priority="106">
      <formula>$E$7&lt;&gt;"Yes"</formula>
    </cfRule>
  </conditionalFormatting>
  <conditionalFormatting sqref="S259">
    <cfRule type="expression" dxfId="349" priority="105">
      <formula>$E259&lt;&gt;"Yes"</formula>
    </cfRule>
  </conditionalFormatting>
  <conditionalFormatting sqref="T259">
    <cfRule type="expression" dxfId="348" priority="104">
      <formula>$E$7&lt;&gt;"Yes"</formula>
    </cfRule>
  </conditionalFormatting>
  <conditionalFormatting sqref="T259">
    <cfRule type="expression" dxfId="347" priority="103">
      <formula>$E259&lt;&gt;"Yes"</formula>
    </cfRule>
  </conditionalFormatting>
  <conditionalFormatting sqref="U259">
    <cfRule type="expression" dxfId="346" priority="102">
      <formula>$E$7&lt;&gt;"Yes"</formula>
    </cfRule>
  </conditionalFormatting>
  <conditionalFormatting sqref="U259">
    <cfRule type="expression" dxfId="345" priority="101">
      <formula>$E259&lt;&gt;"Yes"</formula>
    </cfRule>
  </conditionalFormatting>
  <conditionalFormatting sqref="V259">
    <cfRule type="expression" dxfId="344" priority="100">
      <formula>$E$7&lt;&gt;"Yes"</formula>
    </cfRule>
  </conditionalFormatting>
  <conditionalFormatting sqref="V259">
    <cfRule type="expression" dxfId="343" priority="99">
      <formula>$E259&lt;&gt;"Yes"</formula>
    </cfRule>
  </conditionalFormatting>
  <conditionalFormatting sqref="R259:V259">
    <cfRule type="expression" dxfId="342" priority="98">
      <formula>$E$7&lt;&gt;"Yes"</formula>
    </cfRule>
  </conditionalFormatting>
  <conditionalFormatting sqref="R259:V259">
    <cfRule type="expression" dxfId="341" priority="97">
      <formula>$E259&lt;&gt;"Yes"</formula>
    </cfRule>
  </conditionalFormatting>
  <conditionalFormatting sqref="Z259">
    <cfRule type="expression" dxfId="340" priority="96">
      <formula>$E$7&lt;&gt;"Yes"</formula>
    </cfRule>
  </conditionalFormatting>
  <conditionalFormatting sqref="Z259">
    <cfRule type="expression" dxfId="339" priority="95">
      <formula>$E259&lt;&gt;"Yes"</formula>
    </cfRule>
  </conditionalFormatting>
  <conditionalFormatting sqref="AN259:AO259">
    <cfRule type="expression" dxfId="338" priority="94">
      <formula>$E$7&lt;&gt;"Yes"</formula>
    </cfRule>
  </conditionalFormatting>
  <conditionalFormatting sqref="AN259:AO259">
    <cfRule type="expression" dxfId="337" priority="93">
      <formula>$E259&lt;&gt;"Yes"</formula>
    </cfRule>
  </conditionalFormatting>
  <conditionalFormatting sqref="AI259">
    <cfRule type="expression" dxfId="336" priority="92">
      <formula>$E$7&lt;&gt;"Yes"</formula>
    </cfRule>
  </conditionalFormatting>
  <conditionalFormatting sqref="AI259">
    <cfRule type="expression" dxfId="335" priority="91">
      <formula>$E259&lt;&gt;"Yes"</formula>
    </cfRule>
  </conditionalFormatting>
  <conditionalFormatting sqref="Q258 Y258 AF258:AH258 AJ258:AK258">
    <cfRule type="expression" dxfId="334" priority="180">
      <formula>$E$7&lt;&gt;"Yes"</formula>
    </cfRule>
  </conditionalFormatting>
  <conditionalFormatting sqref="Q258 Y258 AF258:AH258 AJ258:AK258">
    <cfRule type="expression" dxfId="333" priority="179">
      <formula>$E258&lt;&gt;"Yes"</formula>
    </cfRule>
  </conditionalFormatting>
  <conditionalFormatting sqref="G258">
    <cfRule type="expression" dxfId="332" priority="176">
      <formula>$E$7&lt;&gt;"Yes"</formula>
    </cfRule>
  </conditionalFormatting>
  <conditionalFormatting sqref="M258 F258:J258 Q258">
    <cfRule type="expression" dxfId="331" priority="178">
      <formula>$E$7&lt;&gt;"Yes"</formula>
    </cfRule>
  </conditionalFormatting>
  <conditionalFormatting sqref="M258 F258:J258 Q258">
    <cfRule type="expression" dxfId="330" priority="177">
      <formula>$E258&lt;&gt;"Yes"</formula>
    </cfRule>
  </conditionalFormatting>
  <conditionalFormatting sqref="K258:L258">
    <cfRule type="expression" dxfId="329" priority="175">
      <formula>$E$7&lt;&gt;"Yes"</formula>
    </cfRule>
  </conditionalFormatting>
  <conditionalFormatting sqref="K258:L258">
    <cfRule type="expression" dxfId="328" priority="174">
      <formula>$E258&lt;&gt;"Yes"</formula>
    </cfRule>
  </conditionalFormatting>
  <conditionalFormatting sqref="W258">
    <cfRule type="expression" dxfId="327" priority="173">
      <formula>$E$7&lt;&gt;"Yes"</formula>
    </cfRule>
  </conditionalFormatting>
  <conditionalFormatting sqref="W258">
    <cfRule type="expression" dxfId="326" priority="172">
      <formula>$E258&lt;&gt;"Yes"</formula>
    </cfRule>
  </conditionalFormatting>
  <conditionalFormatting sqref="AE258">
    <cfRule type="expression" dxfId="325" priority="171">
      <formula>$E$7&lt;&gt;"Yes"</formula>
    </cfRule>
  </conditionalFormatting>
  <conditionalFormatting sqref="AE258">
    <cfRule type="expression" dxfId="324" priority="170">
      <formula>$E258&lt;&gt;"Yes"</formula>
    </cfRule>
  </conditionalFormatting>
  <conditionalFormatting sqref="N258">
    <cfRule type="expression" dxfId="323" priority="169">
      <formula>$E$7&lt;&gt;"Yes"</formula>
    </cfRule>
  </conditionalFormatting>
  <conditionalFormatting sqref="N258">
    <cfRule type="expression" dxfId="322" priority="168">
      <formula>$E258&lt;&gt;"Yes"</formula>
    </cfRule>
  </conditionalFormatting>
  <conditionalFormatting sqref="AB258">
    <cfRule type="expression" dxfId="321" priority="167">
      <formula>$E$7&lt;&gt;"Yes"</formula>
    </cfRule>
  </conditionalFormatting>
  <conditionalFormatting sqref="AB258">
    <cfRule type="expression" dxfId="320" priority="166">
      <formula>$E258&lt;&gt;"Yes"</formula>
    </cfRule>
  </conditionalFormatting>
  <conditionalFormatting sqref="AA258">
    <cfRule type="expression" dxfId="319" priority="165">
      <formula>$E$7&lt;&gt;"Yes"</formula>
    </cfRule>
  </conditionalFormatting>
  <conditionalFormatting sqref="AA258">
    <cfRule type="expression" dxfId="318" priority="164">
      <formula>$E258&lt;&gt;"Yes"</formula>
    </cfRule>
  </conditionalFormatting>
  <conditionalFormatting sqref="Y258">
    <cfRule type="expression" dxfId="317" priority="163">
      <formula>$E$7&lt;&gt;"Yes"</formula>
    </cfRule>
  </conditionalFormatting>
  <conditionalFormatting sqref="Y258">
    <cfRule type="expression" dxfId="316" priority="162">
      <formula>$E258&lt;&gt;"Yes"</formula>
    </cfRule>
  </conditionalFormatting>
  <conditionalFormatting sqref="O258:P258">
    <cfRule type="expression" dxfId="315" priority="161">
      <formula>$E$7&lt;&gt;"Yes"</formula>
    </cfRule>
  </conditionalFormatting>
  <conditionalFormatting sqref="O258:P258">
    <cfRule type="expression" dxfId="314" priority="160">
      <formula>$E258&lt;&gt;"Yes"</formula>
    </cfRule>
  </conditionalFormatting>
  <conditionalFormatting sqref="X258">
    <cfRule type="expression" dxfId="313" priority="159">
      <formula>$E$7&lt;&gt;"Yes"</formula>
    </cfRule>
  </conditionalFormatting>
  <conditionalFormatting sqref="X258">
    <cfRule type="expression" dxfId="312" priority="158">
      <formula>$E258&lt;&gt;"Yes"</formula>
    </cfRule>
  </conditionalFormatting>
  <conditionalFormatting sqref="AD258">
    <cfRule type="expression" dxfId="311" priority="157">
      <formula>$E$7&lt;&gt;"Yes"</formula>
    </cfRule>
  </conditionalFormatting>
  <conditionalFormatting sqref="AD258">
    <cfRule type="expression" dxfId="310" priority="156">
      <formula>$E258&lt;&gt;"Yes"</formula>
    </cfRule>
  </conditionalFormatting>
  <conditionalFormatting sqref="AC258">
    <cfRule type="expression" dxfId="309" priority="155">
      <formula>$E$7&lt;&gt;"Yes"</formula>
    </cfRule>
  </conditionalFormatting>
  <conditionalFormatting sqref="AC258">
    <cfRule type="expression" dxfId="308" priority="154">
      <formula>$E258&lt;&gt;"Yes"</formula>
    </cfRule>
  </conditionalFormatting>
  <conditionalFormatting sqref="R258:V258">
    <cfRule type="expression" dxfId="307" priority="153">
      <formula>$E$7&lt;&gt;"Yes"</formula>
    </cfRule>
  </conditionalFormatting>
  <conditionalFormatting sqref="R258:V258">
    <cfRule type="expression" dxfId="306" priority="152">
      <formula>$E258&lt;&gt;"Yes"</formula>
    </cfRule>
  </conditionalFormatting>
  <conditionalFormatting sqref="S258">
    <cfRule type="expression" dxfId="305" priority="151">
      <formula>$E$7&lt;&gt;"Yes"</formula>
    </cfRule>
  </conditionalFormatting>
  <conditionalFormatting sqref="S258">
    <cfRule type="expression" dxfId="304" priority="150">
      <formula>$E258&lt;&gt;"Yes"</formula>
    </cfRule>
  </conditionalFormatting>
  <conditionalFormatting sqref="T258">
    <cfRule type="expression" dxfId="303" priority="149">
      <formula>$E$7&lt;&gt;"Yes"</formula>
    </cfRule>
  </conditionalFormatting>
  <conditionalFormatting sqref="T258">
    <cfRule type="expression" dxfId="302" priority="148">
      <formula>$E258&lt;&gt;"Yes"</formula>
    </cfRule>
  </conditionalFormatting>
  <conditionalFormatting sqref="U258">
    <cfRule type="expression" dxfId="301" priority="147">
      <formula>$E$7&lt;&gt;"Yes"</formula>
    </cfRule>
  </conditionalFormatting>
  <conditionalFormatting sqref="U258">
    <cfRule type="expression" dxfId="300" priority="146">
      <formula>$E258&lt;&gt;"Yes"</formula>
    </cfRule>
  </conditionalFormatting>
  <conditionalFormatting sqref="V258">
    <cfRule type="expression" dxfId="299" priority="145">
      <formula>$E$7&lt;&gt;"Yes"</formula>
    </cfRule>
  </conditionalFormatting>
  <conditionalFormatting sqref="V258">
    <cfRule type="expression" dxfId="298" priority="144">
      <formula>$E258&lt;&gt;"Yes"</formula>
    </cfRule>
  </conditionalFormatting>
  <conditionalFormatting sqref="R258:V258">
    <cfRule type="expression" dxfId="297" priority="143">
      <formula>$E$7&lt;&gt;"Yes"</formula>
    </cfRule>
  </conditionalFormatting>
  <conditionalFormatting sqref="R258:V258">
    <cfRule type="expression" dxfId="296" priority="142">
      <formula>$E258&lt;&gt;"Yes"</formula>
    </cfRule>
  </conditionalFormatting>
  <conditionalFormatting sqref="Z258">
    <cfRule type="expression" dxfId="295" priority="141">
      <formula>$E$7&lt;&gt;"Yes"</formula>
    </cfRule>
  </conditionalFormatting>
  <conditionalFormatting sqref="Z258">
    <cfRule type="expression" dxfId="294" priority="140">
      <formula>$E258&lt;&gt;"Yes"</formula>
    </cfRule>
  </conditionalFormatting>
  <conditionalFormatting sqref="AN258:AO258">
    <cfRule type="expression" dxfId="293" priority="139">
      <formula>$E$7&lt;&gt;"Yes"</formula>
    </cfRule>
  </conditionalFormatting>
  <conditionalFormatting sqref="AN258:AO258">
    <cfRule type="expression" dxfId="292" priority="138">
      <formula>$E258&lt;&gt;"Yes"</formula>
    </cfRule>
  </conditionalFormatting>
  <conditionalFormatting sqref="AI258">
    <cfRule type="expression" dxfId="291" priority="137">
      <formula>$E$7&lt;&gt;"Yes"</formula>
    </cfRule>
  </conditionalFormatting>
  <conditionalFormatting sqref="AI258">
    <cfRule type="expression" dxfId="290" priority="136">
      <formula>$E258&lt;&gt;"Yes"</formula>
    </cfRule>
  </conditionalFormatting>
  <conditionalFormatting sqref="Q361 Y361 AF361:AH361 AJ361:AK361">
    <cfRule type="expression" dxfId="289" priority="90">
      <formula>$E$7&lt;&gt;"Yes"</formula>
    </cfRule>
  </conditionalFormatting>
  <conditionalFormatting sqref="Q361 Y361 AF361:AH361 AJ361:AK361">
    <cfRule type="expression" dxfId="288" priority="89">
      <formula>$E361&lt;&gt;"Yes"</formula>
    </cfRule>
  </conditionalFormatting>
  <conditionalFormatting sqref="G361">
    <cfRule type="expression" dxfId="287" priority="86">
      <formula>$E$7&lt;&gt;"Yes"</formula>
    </cfRule>
  </conditionalFormatting>
  <conditionalFormatting sqref="M361 F361:J361 Q361">
    <cfRule type="expression" dxfId="286" priority="88">
      <formula>$E$7&lt;&gt;"Yes"</formula>
    </cfRule>
  </conditionalFormatting>
  <conditionalFormatting sqref="M361 F361:J361 Q361">
    <cfRule type="expression" dxfId="285" priority="87">
      <formula>$E361&lt;&gt;"Yes"</formula>
    </cfRule>
  </conditionalFormatting>
  <conditionalFormatting sqref="K361:L361">
    <cfRule type="expression" dxfId="284" priority="85">
      <formula>$E$7&lt;&gt;"Yes"</formula>
    </cfRule>
  </conditionalFormatting>
  <conditionalFormatting sqref="K361:L361">
    <cfRule type="expression" dxfId="283" priority="84">
      <formula>$E361&lt;&gt;"Yes"</formula>
    </cfRule>
  </conditionalFormatting>
  <conditionalFormatting sqref="W361">
    <cfRule type="expression" dxfId="282" priority="83">
      <formula>$E$7&lt;&gt;"Yes"</formula>
    </cfRule>
  </conditionalFormatting>
  <conditionalFormatting sqref="W361">
    <cfRule type="expression" dxfId="281" priority="82">
      <formula>$E361&lt;&gt;"Yes"</formula>
    </cfRule>
  </conditionalFormatting>
  <conditionalFormatting sqref="AE361">
    <cfRule type="expression" dxfId="280" priority="81">
      <formula>$E$7&lt;&gt;"Yes"</formula>
    </cfRule>
  </conditionalFormatting>
  <conditionalFormatting sqref="AE361">
    <cfRule type="expression" dxfId="279" priority="80">
      <formula>$E361&lt;&gt;"Yes"</formula>
    </cfRule>
  </conditionalFormatting>
  <conditionalFormatting sqref="N361">
    <cfRule type="expression" dxfId="278" priority="79">
      <formula>$E$7&lt;&gt;"Yes"</formula>
    </cfRule>
  </conditionalFormatting>
  <conditionalFormatting sqref="N361">
    <cfRule type="expression" dxfId="277" priority="78">
      <formula>$E361&lt;&gt;"Yes"</formula>
    </cfRule>
  </conditionalFormatting>
  <conditionalFormatting sqref="AB361">
    <cfRule type="expression" dxfId="276" priority="77">
      <formula>$E$7&lt;&gt;"Yes"</formula>
    </cfRule>
  </conditionalFormatting>
  <conditionalFormatting sqref="AB361">
    <cfRule type="expression" dxfId="275" priority="76">
      <formula>$E361&lt;&gt;"Yes"</formula>
    </cfRule>
  </conditionalFormatting>
  <conditionalFormatting sqref="AA361">
    <cfRule type="expression" dxfId="274" priority="75">
      <formula>$E$7&lt;&gt;"Yes"</formula>
    </cfRule>
  </conditionalFormatting>
  <conditionalFormatting sqref="AA361">
    <cfRule type="expression" dxfId="273" priority="74">
      <formula>$E361&lt;&gt;"Yes"</formula>
    </cfRule>
  </conditionalFormatting>
  <conditionalFormatting sqref="Y361">
    <cfRule type="expression" dxfId="272" priority="73">
      <formula>$E$7&lt;&gt;"Yes"</formula>
    </cfRule>
  </conditionalFormatting>
  <conditionalFormatting sqref="Y361">
    <cfRule type="expression" dxfId="271" priority="72">
      <formula>$E361&lt;&gt;"Yes"</formula>
    </cfRule>
  </conditionalFormatting>
  <conditionalFormatting sqref="O361:P361">
    <cfRule type="expression" dxfId="270" priority="71">
      <formula>$E$7&lt;&gt;"Yes"</formula>
    </cfRule>
  </conditionalFormatting>
  <conditionalFormatting sqref="O361:P361">
    <cfRule type="expression" dxfId="269" priority="70">
      <formula>$E361&lt;&gt;"Yes"</formula>
    </cfRule>
  </conditionalFormatting>
  <conditionalFormatting sqref="X361">
    <cfRule type="expression" dxfId="268" priority="69">
      <formula>$E$7&lt;&gt;"Yes"</formula>
    </cfRule>
  </conditionalFormatting>
  <conditionalFormatting sqref="X361">
    <cfRule type="expression" dxfId="267" priority="68">
      <formula>$E361&lt;&gt;"Yes"</formula>
    </cfRule>
  </conditionalFormatting>
  <conditionalFormatting sqref="AD361">
    <cfRule type="expression" dxfId="266" priority="67">
      <formula>$E$7&lt;&gt;"Yes"</formula>
    </cfRule>
  </conditionalFormatting>
  <conditionalFormatting sqref="AD361">
    <cfRule type="expression" dxfId="265" priority="66">
      <formula>$E361&lt;&gt;"Yes"</formula>
    </cfRule>
  </conditionalFormatting>
  <conditionalFormatting sqref="AC361">
    <cfRule type="expression" dxfId="264" priority="65">
      <formula>$E$7&lt;&gt;"Yes"</formula>
    </cfRule>
  </conditionalFormatting>
  <conditionalFormatting sqref="AC361">
    <cfRule type="expression" dxfId="263" priority="64">
      <formula>$E361&lt;&gt;"Yes"</formula>
    </cfRule>
  </conditionalFormatting>
  <conditionalFormatting sqref="R361:V361">
    <cfRule type="expression" dxfId="262" priority="63">
      <formula>$E$7&lt;&gt;"Yes"</formula>
    </cfRule>
  </conditionalFormatting>
  <conditionalFormatting sqref="R361:V361">
    <cfRule type="expression" dxfId="261" priority="62">
      <formula>$E361&lt;&gt;"Yes"</formula>
    </cfRule>
  </conditionalFormatting>
  <conditionalFormatting sqref="S361">
    <cfRule type="expression" dxfId="260" priority="61">
      <formula>$E$7&lt;&gt;"Yes"</formula>
    </cfRule>
  </conditionalFormatting>
  <conditionalFormatting sqref="S361">
    <cfRule type="expression" dxfId="259" priority="60">
      <formula>$E361&lt;&gt;"Yes"</formula>
    </cfRule>
  </conditionalFormatting>
  <conditionalFormatting sqref="T361">
    <cfRule type="expression" dxfId="258" priority="59">
      <formula>$E$7&lt;&gt;"Yes"</formula>
    </cfRule>
  </conditionalFormatting>
  <conditionalFormatting sqref="T361">
    <cfRule type="expression" dxfId="257" priority="58">
      <formula>$E361&lt;&gt;"Yes"</formula>
    </cfRule>
  </conditionalFormatting>
  <conditionalFormatting sqref="U361">
    <cfRule type="expression" dxfId="256" priority="57">
      <formula>$E$7&lt;&gt;"Yes"</formula>
    </cfRule>
  </conditionalFormatting>
  <conditionalFormatting sqref="U361">
    <cfRule type="expression" dxfId="255" priority="56">
      <formula>$E361&lt;&gt;"Yes"</formula>
    </cfRule>
  </conditionalFormatting>
  <conditionalFormatting sqref="V361">
    <cfRule type="expression" dxfId="254" priority="55">
      <formula>$E$7&lt;&gt;"Yes"</formula>
    </cfRule>
  </conditionalFormatting>
  <conditionalFormatting sqref="V361">
    <cfRule type="expression" dxfId="253" priority="54">
      <formula>$E361&lt;&gt;"Yes"</formula>
    </cfRule>
  </conditionalFormatting>
  <conditionalFormatting sqref="R361:V361">
    <cfRule type="expression" dxfId="252" priority="53">
      <formula>$E$7&lt;&gt;"Yes"</formula>
    </cfRule>
  </conditionalFormatting>
  <conditionalFormatting sqref="R361:V361">
    <cfRule type="expression" dxfId="251" priority="52">
      <formula>$E361&lt;&gt;"Yes"</formula>
    </cfRule>
  </conditionalFormatting>
  <conditionalFormatting sqref="Z361">
    <cfRule type="expression" dxfId="250" priority="51">
      <formula>$E$7&lt;&gt;"Yes"</formula>
    </cfRule>
  </conditionalFormatting>
  <conditionalFormatting sqref="Z361">
    <cfRule type="expression" dxfId="249" priority="50">
      <formula>$E361&lt;&gt;"Yes"</formula>
    </cfRule>
  </conditionalFormatting>
  <conditionalFormatting sqref="AN361:AO361">
    <cfRule type="expression" dxfId="248" priority="49">
      <formula>$E$7&lt;&gt;"Yes"</formula>
    </cfRule>
  </conditionalFormatting>
  <conditionalFormatting sqref="AN361:AO361">
    <cfRule type="expression" dxfId="247" priority="48">
      <formula>$E361&lt;&gt;"Yes"</formula>
    </cfRule>
  </conditionalFormatting>
  <conditionalFormatting sqref="AI361">
    <cfRule type="expression" dxfId="246" priority="47">
      <formula>$E$7&lt;&gt;"Yes"</formula>
    </cfRule>
  </conditionalFormatting>
  <conditionalFormatting sqref="AI361">
    <cfRule type="expression" dxfId="245" priority="46">
      <formula>$E361&lt;&gt;"Yes"</formula>
    </cfRule>
  </conditionalFormatting>
  <conditionalFormatting sqref="Q362 Y362 AF362:AH362 AJ362:AK362">
    <cfRule type="expression" dxfId="244" priority="45">
      <formula>$E$7&lt;&gt;"Yes"</formula>
    </cfRule>
  </conditionalFormatting>
  <conditionalFormatting sqref="Q362 Y362 AF362:AH362 AJ362:AK362">
    <cfRule type="expression" dxfId="243" priority="44">
      <formula>$E362&lt;&gt;"Yes"</formula>
    </cfRule>
  </conditionalFormatting>
  <conditionalFormatting sqref="G362">
    <cfRule type="expression" dxfId="242" priority="41">
      <formula>$E$7&lt;&gt;"Yes"</formula>
    </cfRule>
  </conditionalFormatting>
  <conditionalFormatting sqref="M362 F362:J362 Q362">
    <cfRule type="expression" dxfId="241" priority="43">
      <formula>$E$7&lt;&gt;"Yes"</formula>
    </cfRule>
  </conditionalFormatting>
  <conditionalFormatting sqref="M362 F362:J362 Q362">
    <cfRule type="expression" dxfId="240" priority="42">
      <formula>$E362&lt;&gt;"Yes"</formula>
    </cfRule>
  </conditionalFormatting>
  <conditionalFormatting sqref="K362:L362">
    <cfRule type="expression" dxfId="239" priority="40">
      <formula>$E$7&lt;&gt;"Yes"</formula>
    </cfRule>
  </conditionalFormatting>
  <conditionalFormatting sqref="K362:L362">
    <cfRule type="expression" dxfId="238" priority="39">
      <formula>$E362&lt;&gt;"Yes"</formula>
    </cfRule>
  </conditionalFormatting>
  <conditionalFormatting sqref="W362">
    <cfRule type="expression" dxfId="237" priority="38">
      <formula>$E$7&lt;&gt;"Yes"</formula>
    </cfRule>
  </conditionalFormatting>
  <conditionalFormatting sqref="W362">
    <cfRule type="expression" dxfId="236" priority="37">
      <formula>$E362&lt;&gt;"Yes"</formula>
    </cfRule>
  </conditionalFormatting>
  <conditionalFormatting sqref="AE362">
    <cfRule type="expression" dxfId="235" priority="36">
      <formula>$E$7&lt;&gt;"Yes"</formula>
    </cfRule>
  </conditionalFormatting>
  <conditionalFormatting sqref="AE362">
    <cfRule type="expression" dxfId="234" priority="35">
      <formula>$E362&lt;&gt;"Yes"</formula>
    </cfRule>
  </conditionalFormatting>
  <conditionalFormatting sqref="N362">
    <cfRule type="expression" dxfId="233" priority="34">
      <formula>$E$7&lt;&gt;"Yes"</formula>
    </cfRule>
  </conditionalFormatting>
  <conditionalFormatting sqref="N362">
    <cfRule type="expression" dxfId="232" priority="33">
      <formula>$E362&lt;&gt;"Yes"</formula>
    </cfRule>
  </conditionalFormatting>
  <conditionalFormatting sqref="AB362">
    <cfRule type="expression" dxfId="231" priority="32">
      <formula>$E$7&lt;&gt;"Yes"</formula>
    </cfRule>
  </conditionalFormatting>
  <conditionalFormatting sqref="AB362">
    <cfRule type="expression" dxfId="230" priority="31">
      <formula>$E362&lt;&gt;"Yes"</formula>
    </cfRule>
  </conditionalFormatting>
  <conditionalFormatting sqref="AA362">
    <cfRule type="expression" dxfId="229" priority="30">
      <formula>$E$7&lt;&gt;"Yes"</formula>
    </cfRule>
  </conditionalFormatting>
  <conditionalFormatting sqref="AA362">
    <cfRule type="expression" dxfId="228" priority="29">
      <formula>$E362&lt;&gt;"Yes"</formula>
    </cfRule>
  </conditionalFormatting>
  <conditionalFormatting sqref="Y362">
    <cfRule type="expression" dxfId="227" priority="28">
      <formula>$E$7&lt;&gt;"Yes"</formula>
    </cfRule>
  </conditionalFormatting>
  <conditionalFormatting sqref="Y362">
    <cfRule type="expression" dxfId="226" priority="27">
      <formula>$E362&lt;&gt;"Yes"</formula>
    </cfRule>
  </conditionalFormatting>
  <conditionalFormatting sqref="O362:P362">
    <cfRule type="expression" dxfId="225" priority="26">
      <formula>$E$7&lt;&gt;"Yes"</formula>
    </cfRule>
  </conditionalFormatting>
  <conditionalFormatting sqref="O362:P362">
    <cfRule type="expression" dxfId="224" priority="25">
      <formula>$E362&lt;&gt;"Yes"</formula>
    </cfRule>
  </conditionalFormatting>
  <conditionalFormatting sqref="X362">
    <cfRule type="expression" dxfId="223" priority="24">
      <formula>$E$7&lt;&gt;"Yes"</formula>
    </cfRule>
  </conditionalFormatting>
  <conditionalFormatting sqref="X362">
    <cfRule type="expression" dxfId="222" priority="23">
      <formula>$E362&lt;&gt;"Yes"</formula>
    </cfRule>
  </conditionalFormatting>
  <conditionalFormatting sqref="AD362">
    <cfRule type="expression" dxfId="221" priority="22">
      <formula>$E$7&lt;&gt;"Yes"</formula>
    </cfRule>
  </conditionalFormatting>
  <conditionalFormatting sqref="AD362">
    <cfRule type="expression" dxfId="220" priority="21">
      <formula>$E362&lt;&gt;"Yes"</formula>
    </cfRule>
  </conditionalFormatting>
  <conditionalFormatting sqref="AC362">
    <cfRule type="expression" dxfId="219" priority="20">
      <formula>$E$7&lt;&gt;"Yes"</formula>
    </cfRule>
  </conditionalFormatting>
  <conditionalFormatting sqref="AC362">
    <cfRule type="expression" dxfId="218" priority="19">
      <formula>$E362&lt;&gt;"Yes"</formula>
    </cfRule>
  </conditionalFormatting>
  <conditionalFormatting sqref="R362:V362">
    <cfRule type="expression" dxfId="217" priority="18">
      <formula>$E$7&lt;&gt;"Yes"</formula>
    </cfRule>
  </conditionalFormatting>
  <conditionalFormatting sqref="R362:V362">
    <cfRule type="expression" dxfId="216" priority="17">
      <formula>$E362&lt;&gt;"Yes"</formula>
    </cfRule>
  </conditionalFormatting>
  <conditionalFormatting sqref="S362">
    <cfRule type="expression" dxfId="215" priority="16">
      <formula>$E$7&lt;&gt;"Yes"</formula>
    </cfRule>
  </conditionalFormatting>
  <conditionalFormatting sqref="S362">
    <cfRule type="expression" dxfId="214" priority="15">
      <formula>$E362&lt;&gt;"Yes"</formula>
    </cfRule>
  </conditionalFormatting>
  <conditionalFormatting sqref="T362">
    <cfRule type="expression" dxfId="213" priority="14">
      <formula>$E$7&lt;&gt;"Yes"</formula>
    </cfRule>
  </conditionalFormatting>
  <conditionalFormatting sqref="T362">
    <cfRule type="expression" dxfId="212" priority="13">
      <formula>$E362&lt;&gt;"Yes"</formula>
    </cfRule>
  </conditionalFormatting>
  <conditionalFormatting sqref="U362">
    <cfRule type="expression" dxfId="211" priority="12">
      <formula>$E$7&lt;&gt;"Yes"</formula>
    </cfRule>
  </conditionalFormatting>
  <conditionalFormatting sqref="U362">
    <cfRule type="expression" dxfId="210" priority="11">
      <formula>$E362&lt;&gt;"Yes"</formula>
    </cfRule>
  </conditionalFormatting>
  <conditionalFormatting sqref="V362">
    <cfRule type="expression" dxfId="209" priority="10">
      <formula>$E$7&lt;&gt;"Yes"</formula>
    </cfRule>
  </conditionalFormatting>
  <conditionalFormatting sqref="V362">
    <cfRule type="expression" dxfId="208" priority="9">
      <formula>$E362&lt;&gt;"Yes"</formula>
    </cfRule>
  </conditionalFormatting>
  <conditionalFormatting sqref="R362:V362">
    <cfRule type="expression" dxfId="207" priority="8">
      <formula>$E$7&lt;&gt;"Yes"</formula>
    </cfRule>
  </conditionalFormatting>
  <conditionalFormatting sqref="R362:V362">
    <cfRule type="expression" dxfId="206" priority="7">
      <formula>$E362&lt;&gt;"Yes"</formula>
    </cfRule>
  </conditionalFormatting>
  <conditionalFormatting sqref="Z362">
    <cfRule type="expression" dxfId="205" priority="6">
      <formula>$E$7&lt;&gt;"Yes"</formula>
    </cfRule>
  </conditionalFormatting>
  <conditionalFormatting sqref="Z362">
    <cfRule type="expression" dxfId="204" priority="5">
      <formula>$E362&lt;&gt;"Yes"</formula>
    </cfRule>
  </conditionalFormatting>
  <conditionalFormatting sqref="AN362:AO362">
    <cfRule type="expression" dxfId="203" priority="4">
      <formula>$E$7&lt;&gt;"Yes"</formula>
    </cfRule>
  </conditionalFormatting>
  <conditionalFormatting sqref="AN362:AO362">
    <cfRule type="expression" dxfId="202" priority="3">
      <formula>$E362&lt;&gt;"Yes"</formula>
    </cfRule>
  </conditionalFormatting>
  <conditionalFormatting sqref="AI362">
    <cfRule type="expression" dxfId="201" priority="2">
      <formula>$E$7&lt;&gt;"Yes"</formula>
    </cfRule>
  </conditionalFormatting>
  <conditionalFormatting sqref="AI362">
    <cfRule type="expression" dxfId="200" priority="1">
      <formula>$E362&lt;&gt;"Yes"</formula>
    </cfRule>
  </conditionalFormatting>
  <dataValidations count="2">
    <dataValidation type="list" allowBlank="1" showInputMessage="1" showErrorMessage="1" sqref="AE7:AE461" xr:uid="{E02DD67D-C1DD-6C44-9A54-CDE2D37E323C}">
      <formula1>Category</formula1>
    </dataValidation>
    <dataValidation type="list" allowBlank="1" showInputMessage="1" showErrorMessage="1" sqref="Q7:Q461" xr:uid="{10AA9D42-C8C9-ED47-B7E9-3455599FEF24}">
      <formula1>INDIRECT(AE7)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8B365A7-DA6F-9B45-AB8D-38547E3B6D39}">
          <x14:formula1>
            <xm:f>Tables_Cat!$A$3:$B$3</xm:f>
          </x14:formula1>
          <xm:sqref>E7:E461</xm:sqref>
        </x14:dataValidation>
        <x14:dataValidation type="list" allowBlank="1" showInputMessage="1" showErrorMessage="1" xr:uid="{19CE115E-4734-9143-8820-343DE7C083F5}">
          <x14:formula1>
            <xm:f>Tables_Cat!$B$4:$D$4</xm:f>
          </x14:formula1>
          <xm:sqref>M7:M461</xm:sqref>
        </x14:dataValidation>
        <x14:dataValidation type="list" allowBlank="1" showInputMessage="1" showErrorMessage="1" xr:uid="{3A96B9BB-81D4-4B41-8BE1-773B95E8C93D}">
          <x14:formula1>
            <xm:f>Tables_Cat!$B$5:$N$5</xm:f>
          </x14:formula1>
          <xm:sqref>N7:N461</xm:sqref>
        </x14:dataValidation>
        <x14:dataValidation type="list" allowBlank="1" showInputMessage="1" showErrorMessage="1" xr:uid="{4025DA2A-1069-514E-8657-DA3D2E5E1389}">
          <x14:formula1>
            <xm:f>Tables_Cat!$B$8:$F$8</xm:f>
          </x14:formula1>
          <xm:sqref>AA7:AA461</xm:sqref>
        </x14:dataValidation>
        <x14:dataValidation type="list" allowBlank="1" showInputMessage="1" showErrorMessage="1" xr:uid="{56F9A1E6-6A1B-4C4A-B484-B0062913AD8D}">
          <x14:formula1>
            <xm:f>Tables_Cat!$B$6:$P$6</xm:f>
          </x14:formula1>
          <xm:sqref>X7:X461</xm:sqref>
        </x14:dataValidation>
        <x14:dataValidation type="list" allowBlank="1" showInputMessage="1" showErrorMessage="1" xr:uid="{B23BDFEB-DB2A-6540-A55E-76D8162ACF24}">
          <x14:formula1>
            <xm:f>Tables_Cat!$B$9:$J$9</xm:f>
          </x14:formula1>
          <xm:sqref>Z7:Z461</xm:sqref>
        </x14:dataValidation>
        <x14:dataValidation type="list" allowBlank="1" showInputMessage="1" showErrorMessage="1" xr:uid="{B6FE7746-A7FD-9D4E-883B-8D25B0C049B7}">
          <x14:formula1>
            <xm:f>Tables_Cat!$B$10:$M$10</xm:f>
          </x14:formula1>
          <xm:sqref>AC7:AC461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64"/>
  <sheetViews>
    <sheetView zoomScale="25" zoomScaleNormal="25" workbookViewId="0">
      <selection activeCell="D5" sqref="D5"/>
    </sheetView>
  </sheetViews>
  <sheetFormatPr defaultColWidth="9" defaultRowHeight="12"/>
  <cols>
    <col min="1" max="14" width="10.5" style="50" customWidth="1"/>
    <col min="15" max="16" width="9" style="50"/>
    <col min="17" max="17" width="10.5" style="50" customWidth="1"/>
    <col min="18" max="16384" width="9" style="50"/>
  </cols>
  <sheetData>
    <row r="1" spans="1:17" s="45" customFormat="1">
      <c r="A1" s="44" t="s">
        <v>1379</v>
      </c>
    </row>
    <row r="2" spans="1:17" s="48" customFormat="1">
      <c r="A2" s="46" t="s">
        <v>687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17">
      <c r="A3" s="49" t="s">
        <v>3</v>
      </c>
      <c r="B3" s="49" t="s">
        <v>4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</row>
    <row r="4" spans="1:17">
      <c r="A4" s="51" t="s">
        <v>659</v>
      </c>
      <c r="B4" s="49" t="s">
        <v>750</v>
      </c>
      <c r="C4" s="49" t="s">
        <v>694</v>
      </c>
      <c r="D4" s="49" t="s">
        <v>755</v>
      </c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</row>
    <row r="5" spans="1:17" ht="24">
      <c r="A5" s="51" t="s">
        <v>660</v>
      </c>
      <c r="B5" s="49" t="s">
        <v>707</v>
      </c>
      <c r="C5" s="49" t="s">
        <v>787</v>
      </c>
      <c r="D5" s="49" t="s">
        <v>781</v>
      </c>
      <c r="E5" s="49" t="s">
        <v>769</v>
      </c>
      <c r="F5" s="49" t="s">
        <v>735</v>
      </c>
      <c r="G5" s="49" t="s">
        <v>1318</v>
      </c>
      <c r="H5" s="49" t="s">
        <v>763</v>
      </c>
      <c r="I5" s="49" t="s">
        <v>1380</v>
      </c>
      <c r="J5" s="49" t="s">
        <v>748</v>
      </c>
      <c r="K5" s="49" t="s">
        <v>720</v>
      </c>
      <c r="L5" s="49" t="s">
        <v>937</v>
      </c>
      <c r="M5" s="49" t="s">
        <v>695</v>
      </c>
      <c r="N5" s="49" t="s">
        <v>1381</v>
      </c>
      <c r="O5" s="49"/>
      <c r="P5" s="49"/>
      <c r="Q5" s="49"/>
    </row>
    <row r="6" spans="1:17" ht="36">
      <c r="A6" s="51" t="s">
        <v>1382</v>
      </c>
      <c r="B6" s="49" t="s">
        <v>881</v>
      </c>
      <c r="C6" s="49" t="s">
        <v>801</v>
      </c>
      <c r="D6" s="49" t="s">
        <v>911</v>
      </c>
      <c r="E6" s="49" t="s">
        <v>92</v>
      </c>
      <c r="F6" s="49" t="s">
        <v>727</v>
      </c>
      <c r="G6" s="49" t="s">
        <v>771</v>
      </c>
      <c r="H6" s="49" t="s">
        <v>741</v>
      </c>
      <c r="I6" s="49" t="s">
        <v>759</v>
      </c>
      <c r="J6" s="49" t="s">
        <v>820</v>
      </c>
      <c r="K6" s="49" t="s">
        <v>860</v>
      </c>
      <c r="L6" s="49" t="s">
        <v>914</v>
      </c>
      <c r="M6" s="49" t="s">
        <v>699</v>
      </c>
      <c r="N6" s="49" t="s">
        <v>745</v>
      </c>
      <c r="O6" s="49" t="s">
        <v>1007</v>
      </c>
      <c r="P6" s="49" t="s">
        <v>464</v>
      </c>
      <c r="Q6" s="49"/>
    </row>
    <row r="7" spans="1:17" ht="24">
      <c r="A7" s="52" t="s">
        <v>1383</v>
      </c>
      <c r="B7" s="53" t="s">
        <v>1384</v>
      </c>
      <c r="C7" s="53" t="s">
        <v>1384</v>
      </c>
      <c r="D7" s="53" t="s">
        <v>1384</v>
      </c>
      <c r="E7" s="53" t="s">
        <v>1384</v>
      </c>
      <c r="F7" s="53" t="s">
        <v>1384</v>
      </c>
      <c r="G7" s="53" t="s">
        <v>1384</v>
      </c>
      <c r="H7" s="53" t="s">
        <v>1384</v>
      </c>
      <c r="I7" s="53" t="s">
        <v>1385</v>
      </c>
      <c r="J7" s="53" t="s">
        <v>1385</v>
      </c>
      <c r="K7" s="53" t="s">
        <v>1385</v>
      </c>
      <c r="L7" s="53" t="s">
        <v>1385</v>
      </c>
      <c r="M7" s="53" t="s">
        <v>1385</v>
      </c>
      <c r="N7" s="53" t="s">
        <v>1385</v>
      </c>
      <c r="O7" s="53" t="s">
        <v>1385</v>
      </c>
      <c r="P7" s="53" t="s">
        <v>1385</v>
      </c>
      <c r="Q7" s="53"/>
    </row>
    <row r="8" spans="1:17">
      <c r="A8" s="51" t="s">
        <v>1386</v>
      </c>
      <c r="B8" s="49" t="s">
        <v>950</v>
      </c>
      <c r="C8" s="49" t="s">
        <v>751</v>
      </c>
      <c r="D8" s="49" t="s">
        <v>701</v>
      </c>
      <c r="E8" s="49" t="s">
        <v>728</v>
      </c>
      <c r="F8" s="49" t="s">
        <v>765</v>
      </c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</row>
    <row r="9" spans="1:17" ht="48">
      <c r="A9" s="51" t="s">
        <v>1387</v>
      </c>
      <c r="B9" s="49" t="s">
        <v>793</v>
      </c>
      <c r="C9" s="49" t="s">
        <v>709</v>
      </c>
      <c r="D9" s="49" t="s">
        <v>904</v>
      </c>
      <c r="E9" s="49" t="s">
        <v>1313</v>
      </c>
      <c r="F9" s="49" t="s">
        <v>874</v>
      </c>
      <c r="G9" s="49" t="s">
        <v>869</v>
      </c>
      <c r="H9" s="49" t="s">
        <v>61</v>
      </c>
      <c r="I9" s="49" t="s">
        <v>700</v>
      </c>
      <c r="J9" s="49" t="s">
        <v>1388</v>
      </c>
      <c r="K9" s="49"/>
      <c r="L9" s="49"/>
      <c r="M9" s="49"/>
      <c r="N9" s="49"/>
      <c r="O9" s="49"/>
      <c r="P9" s="49"/>
      <c r="Q9" s="49"/>
    </row>
    <row r="10" spans="1:17" ht="48">
      <c r="A10" s="51" t="s">
        <v>1303</v>
      </c>
      <c r="B10" s="49" t="s">
        <v>1216</v>
      </c>
      <c r="C10" s="49" t="s">
        <v>1008</v>
      </c>
      <c r="D10" s="49" t="s">
        <v>1012</v>
      </c>
      <c r="E10" s="49" t="s">
        <v>922</v>
      </c>
      <c r="F10" s="49" t="s">
        <v>971</v>
      </c>
      <c r="G10" s="49" t="s">
        <v>1166</v>
      </c>
      <c r="H10" s="49" t="s">
        <v>752</v>
      </c>
      <c r="I10" s="49" t="s">
        <v>912</v>
      </c>
      <c r="J10" s="49" t="s">
        <v>932</v>
      </c>
      <c r="K10" s="49" t="s">
        <v>1275</v>
      </c>
      <c r="L10" s="49" t="s">
        <v>1338</v>
      </c>
      <c r="M10" s="49" t="s">
        <v>702</v>
      </c>
      <c r="N10" s="49"/>
      <c r="O10" s="49"/>
      <c r="P10" s="49"/>
      <c r="Q10" s="49"/>
    </row>
    <row r="12" spans="1:17">
      <c r="A12" s="54" t="s">
        <v>1389</v>
      </c>
      <c r="B12" s="54"/>
      <c r="L12" s="44" t="s">
        <v>1390</v>
      </c>
    </row>
    <row r="13" spans="1:17" s="54" customFormat="1" ht="24">
      <c r="A13" s="51" t="s">
        <v>1391</v>
      </c>
      <c r="B13" s="51" t="s">
        <v>1392</v>
      </c>
      <c r="C13" s="51" t="s">
        <v>1393</v>
      </c>
      <c r="D13" s="51" t="s">
        <v>1394</v>
      </c>
      <c r="E13" s="51" t="s">
        <v>1395</v>
      </c>
      <c r="F13" s="51" t="s">
        <v>1396</v>
      </c>
      <c r="G13" s="51" t="s">
        <v>1397</v>
      </c>
      <c r="H13" s="51" t="s">
        <v>1398</v>
      </c>
      <c r="I13" s="51" t="s">
        <v>1399</v>
      </c>
      <c r="J13" s="51" t="s">
        <v>1400</v>
      </c>
      <c r="L13" s="51">
        <v>5</v>
      </c>
      <c r="M13" s="51">
        <v>4</v>
      </c>
      <c r="N13" s="51">
        <v>3</v>
      </c>
      <c r="O13" s="51">
        <v>2</v>
      </c>
      <c r="P13" s="51">
        <v>1</v>
      </c>
    </row>
    <row r="14" spans="1:17" ht="48">
      <c r="A14" s="49" t="s">
        <v>1401</v>
      </c>
      <c r="B14" s="49" t="s">
        <v>1402</v>
      </c>
      <c r="C14" s="49" t="s">
        <v>1403</v>
      </c>
      <c r="D14" s="49">
        <v>1</v>
      </c>
      <c r="E14" s="50" t="s">
        <v>1404</v>
      </c>
      <c r="F14" s="49">
        <v>1</v>
      </c>
      <c r="G14" s="49" t="s">
        <v>1405</v>
      </c>
      <c r="H14" s="49">
        <v>5</v>
      </c>
      <c r="I14" s="49" t="s">
        <v>1406</v>
      </c>
      <c r="J14" s="49" t="s">
        <v>4</v>
      </c>
      <c r="L14" s="49" t="s">
        <v>1407</v>
      </c>
      <c r="M14" s="49" t="s">
        <v>1408</v>
      </c>
      <c r="N14" s="49" t="s">
        <v>1409</v>
      </c>
      <c r="O14" s="49" t="s">
        <v>1410</v>
      </c>
      <c r="P14" s="49" t="s">
        <v>1411</v>
      </c>
    </row>
    <row r="15" spans="1:17">
      <c r="A15" s="49"/>
      <c r="B15" s="49"/>
      <c r="C15" s="49"/>
      <c r="D15" s="49"/>
      <c r="E15" s="49"/>
      <c r="F15" s="49"/>
      <c r="G15" s="49" t="s">
        <v>1412</v>
      </c>
      <c r="H15" s="49">
        <v>4</v>
      </c>
      <c r="I15" s="49" t="s">
        <v>1413</v>
      </c>
      <c r="J15" s="49"/>
    </row>
    <row r="16" spans="1:17" ht="24">
      <c r="A16" s="49"/>
      <c r="B16" s="49"/>
      <c r="C16" s="49"/>
      <c r="D16" s="49"/>
      <c r="E16" s="49"/>
      <c r="F16" s="49"/>
      <c r="G16" s="49" t="s">
        <v>1414</v>
      </c>
      <c r="H16" s="49">
        <v>3</v>
      </c>
      <c r="I16" s="49" t="s">
        <v>1415</v>
      </c>
      <c r="J16" s="49"/>
    </row>
    <row r="17" spans="1:10" ht="36">
      <c r="A17" s="49"/>
      <c r="B17" s="49"/>
      <c r="C17" s="49"/>
      <c r="D17" s="49"/>
      <c r="E17" s="49"/>
      <c r="F17" s="49"/>
      <c r="G17" s="49" t="s">
        <v>1416</v>
      </c>
      <c r="H17" s="49">
        <v>2</v>
      </c>
      <c r="I17" s="49" t="s">
        <v>1410</v>
      </c>
      <c r="J17" s="49"/>
    </row>
    <row r="18" spans="1:10" ht="36">
      <c r="A18" s="49" t="s">
        <v>1417</v>
      </c>
      <c r="B18" s="49"/>
      <c r="C18" s="49" t="s">
        <v>1403</v>
      </c>
      <c r="D18" s="49">
        <v>1</v>
      </c>
      <c r="E18" s="50" t="s">
        <v>1418</v>
      </c>
      <c r="F18" s="49">
        <v>3</v>
      </c>
      <c r="G18" s="49" t="s">
        <v>1419</v>
      </c>
      <c r="H18" s="49">
        <v>5</v>
      </c>
      <c r="I18" s="49" t="s">
        <v>1406</v>
      </c>
      <c r="J18" s="49" t="s">
        <v>3</v>
      </c>
    </row>
    <row r="19" spans="1:10" ht="60">
      <c r="A19" s="49"/>
      <c r="B19" s="49"/>
      <c r="C19" s="49"/>
      <c r="D19" s="49"/>
      <c r="E19" s="49"/>
      <c r="F19" s="49"/>
      <c r="G19" s="49" t="s">
        <v>1420</v>
      </c>
      <c r="H19" s="49">
        <v>3</v>
      </c>
      <c r="I19" s="49" t="s">
        <v>1421</v>
      </c>
      <c r="J19" s="49"/>
    </row>
    <row r="20" spans="1:10" ht="36">
      <c r="A20" s="49"/>
      <c r="B20" s="49"/>
      <c r="C20" s="49"/>
      <c r="D20" s="49"/>
      <c r="E20" s="49"/>
      <c r="F20" s="49"/>
      <c r="G20" s="49" t="s">
        <v>1422</v>
      </c>
      <c r="H20" s="49">
        <v>2</v>
      </c>
      <c r="I20" s="49" t="s">
        <v>1410</v>
      </c>
      <c r="J20" s="49"/>
    </row>
    <row r="21" spans="1:10" ht="48">
      <c r="A21" s="49" t="s">
        <v>22</v>
      </c>
      <c r="B21" s="49"/>
      <c r="C21" s="49" t="s">
        <v>1403</v>
      </c>
      <c r="D21" s="49">
        <v>1</v>
      </c>
      <c r="E21" s="50" t="s">
        <v>1423</v>
      </c>
      <c r="F21" s="49">
        <v>3</v>
      </c>
      <c r="G21" s="49" t="s">
        <v>1424</v>
      </c>
      <c r="H21" s="49">
        <v>5</v>
      </c>
      <c r="I21" s="49" t="s">
        <v>1406</v>
      </c>
      <c r="J21" s="49" t="s">
        <v>3</v>
      </c>
    </row>
    <row r="22" spans="1:10" ht="60">
      <c r="A22" s="49"/>
      <c r="B22" s="49"/>
      <c r="C22" s="49"/>
      <c r="D22" s="49"/>
      <c r="E22" s="49"/>
      <c r="F22" s="49"/>
      <c r="G22" s="49" t="s">
        <v>1425</v>
      </c>
      <c r="H22" s="49">
        <v>4</v>
      </c>
      <c r="I22" s="49" t="s">
        <v>1426</v>
      </c>
      <c r="J22" s="49"/>
    </row>
    <row r="23" spans="1:10" ht="36">
      <c r="A23" s="49"/>
      <c r="B23" s="49"/>
      <c r="C23" s="49"/>
      <c r="D23" s="49"/>
      <c r="E23" s="49"/>
      <c r="F23" s="49"/>
      <c r="G23" s="49" t="s">
        <v>1427</v>
      </c>
      <c r="H23" s="49">
        <v>2</v>
      </c>
      <c r="I23" s="49" t="s">
        <v>1410</v>
      </c>
      <c r="J23" s="49"/>
    </row>
    <row r="24" spans="1:10" ht="36">
      <c r="A24" s="49" t="s">
        <v>1428</v>
      </c>
      <c r="B24" s="49"/>
      <c r="C24" s="49" t="s">
        <v>1429</v>
      </c>
      <c r="D24" s="49">
        <v>2</v>
      </c>
      <c r="E24" s="50" t="s">
        <v>1430</v>
      </c>
      <c r="F24" s="49">
        <v>2</v>
      </c>
      <c r="G24" s="49" t="s">
        <v>1431</v>
      </c>
      <c r="H24" s="49">
        <v>5</v>
      </c>
      <c r="I24" s="49" t="s">
        <v>1406</v>
      </c>
      <c r="J24" s="49" t="s">
        <v>4</v>
      </c>
    </row>
    <row r="25" spans="1:10" ht="48">
      <c r="A25" s="49"/>
      <c r="B25" s="49"/>
      <c r="C25" s="49"/>
      <c r="D25" s="49"/>
      <c r="E25" s="49"/>
      <c r="F25" s="49"/>
      <c r="G25" s="49" t="s">
        <v>1432</v>
      </c>
      <c r="H25" s="49">
        <v>3</v>
      </c>
      <c r="I25" s="49" t="s">
        <v>1433</v>
      </c>
      <c r="J25" s="49"/>
    </row>
    <row r="26" spans="1:10" ht="48">
      <c r="A26" s="49"/>
      <c r="B26" s="49"/>
      <c r="C26" s="49"/>
      <c r="D26" s="49"/>
      <c r="E26" s="49"/>
      <c r="F26" s="49"/>
      <c r="G26" s="49" t="s">
        <v>1434</v>
      </c>
      <c r="H26" s="49">
        <v>3</v>
      </c>
      <c r="I26" s="49" t="s">
        <v>1433</v>
      </c>
      <c r="J26" s="49"/>
    </row>
    <row r="27" spans="1:10" ht="60">
      <c r="A27" s="49"/>
      <c r="B27" s="49"/>
      <c r="C27" s="49"/>
      <c r="D27" s="49"/>
      <c r="E27" s="49"/>
      <c r="F27" s="49"/>
      <c r="G27" s="49" t="s">
        <v>1435</v>
      </c>
      <c r="H27" s="49">
        <v>4</v>
      </c>
      <c r="I27" s="49" t="s">
        <v>1436</v>
      </c>
      <c r="J27" s="49"/>
    </row>
    <row r="28" spans="1:10" ht="36">
      <c r="A28" s="49"/>
      <c r="B28" s="49"/>
      <c r="C28" s="49"/>
      <c r="D28" s="49"/>
      <c r="E28" s="49"/>
      <c r="F28" s="49"/>
      <c r="G28" s="49" t="s">
        <v>1437</v>
      </c>
      <c r="H28" s="49">
        <v>2</v>
      </c>
      <c r="I28" s="49" t="s">
        <v>1410</v>
      </c>
      <c r="J28" s="49"/>
    </row>
    <row r="29" spans="1:10" ht="96">
      <c r="A29" s="49" t="s">
        <v>1438</v>
      </c>
      <c r="B29" s="49" t="s">
        <v>1439</v>
      </c>
      <c r="C29" s="49" t="s">
        <v>1403</v>
      </c>
      <c r="D29" s="49">
        <v>1</v>
      </c>
      <c r="E29" s="50" t="s">
        <v>1440</v>
      </c>
      <c r="F29" s="49">
        <v>1</v>
      </c>
      <c r="G29" s="49" t="s">
        <v>1441</v>
      </c>
      <c r="H29" s="49">
        <v>5</v>
      </c>
      <c r="I29" s="49" t="s">
        <v>1406</v>
      </c>
      <c r="J29" s="49" t="s">
        <v>4</v>
      </c>
    </row>
    <row r="30" spans="1:10" ht="36">
      <c r="A30" s="49"/>
      <c r="B30" s="49"/>
      <c r="C30" s="49"/>
      <c r="D30" s="49"/>
      <c r="E30" s="49"/>
      <c r="F30" s="49"/>
      <c r="G30" s="49" t="s">
        <v>1442</v>
      </c>
      <c r="H30" s="49">
        <v>3</v>
      </c>
      <c r="I30" s="49" t="s">
        <v>1443</v>
      </c>
      <c r="J30" s="49"/>
    </row>
    <row r="31" spans="1:10" ht="72">
      <c r="A31" s="49" t="s">
        <v>1444</v>
      </c>
      <c r="B31" s="49"/>
      <c r="C31" s="49" t="s">
        <v>1403</v>
      </c>
      <c r="D31" s="49">
        <v>1</v>
      </c>
      <c r="E31" s="50" t="s">
        <v>1445</v>
      </c>
      <c r="F31" s="49">
        <v>2</v>
      </c>
      <c r="G31" s="49" t="s">
        <v>1384</v>
      </c>
      <c r="H31" s="49">
        <v>5</v>
      </c>
      <c r="I31" s="49" t="s">
        <v>1406</v>
      </c>
      <c r="J31" s="49" t="s">
        <v>4</v>
      </c>
    </row>
    <row r="32" spans="1:10" ht="36">
      <c r="A32" s="49"/>
      <c r="B32" s="49"/>
      <c r="C32" s="49"/>
      <c r="D32" s="49"/>
      <c r="E32" s="49"/>
      <c r="F32" s="49"/>
      <c r="G32" s="49" t="s">
        <v>1446</v>
      </c>
      <c r="H32" s="49">
        <v>4</v>
      </c>
      <c r="I32" s="49" t="s">
        <v>1426</v>
      </c>
      <c r="J32" s="49"/>
    </row>
    <row r="33" spans="1:10" ht="36">
      <c r="A33" s="49"/>
      <c r="B33" s="49"/>
      <c r="C33" s="49"/>
      <c r="D33" s="49"/>
      <c r="E33" s="49"/>
      <c r="F33" s="49"/>
      <c r="G33" s="49" t="s">
        <v>1447</v>
      </c>
      <c r="H33" s="49">
        <v>3</v>
      </c>
      <c r="I33" s="49" t="s">
        <v>1443</v>
      </c>
      <c r="J33" s="49"/>
    </row>
    <row r="34" spans="1:10" ht="60">
      <c r="A34" s="49" t="s">
        <v>1448</v>
      </c>
      <c r="B34" s="49"/>
      <c r="C34" s="49" t="s">
        <v>1403</v>
      </c>
      <c r="D34" s="49">
        <v>1</v>
      </c>
      <c r="E34" s="50" t="s">
        <v>1449</v>
      </c>
      <c r="F34" s="49">
        <v>2</v>
      </c>
      <c r="G34" s="49" t="s">
        <v>1450</v>
      </c>
      <c r="H34" s="49">
        <v>5</v>
      </c>
      <c r="I34" s="49" t="s">
        <v>1406</v>
      </c>
      <c r="J34" s="49" t="s">
        <v>4</v>
      </c>
    </row>
    <row r="35" spans="1:10" ht="60">
      <c r="A35" s="49"/>
      <c r="B35" s="49"/>
      <c r="C35" s="49"/>
      <c r="D35" s="49"/>
      <c r="E35" s="49"/>
      <c r="F35" s="49"/>
      <c r="G35" s="49" t="s">
        <v>1451</v>
      </c>
      <c r="H35" s="49">
        <v>4</v>
      </c>
      <c r="I35" s="49" t="s">
        <v>1452</v>
      </c>
      <c r="J35" s="49"/>
    </row>
    <row r="36" spans="1:10" ht="72">
      <c r="A36" s="49"/>
      <c r="B36" s="49"/>
      <c r="C36" s="49"/>
      <c r="D36" s="49"/>
      <c r="E36" s="49"/>
      <c r="F36" s="49"/>
      <c r="G36" s="49" t="s">
        <v>1453</v>
      </c>
      <c r="H36" s="49">
        <v>3</v>
      </c>
      <c r="I36" s="49" t="s">
        <v>1454</v>
      </c>
      <c r="J36" s="49"/>
    </row>
    <row r="37" spans="1:10" ht="60">
      <c r="A37" s="49"/>
      <c r="B37" s="49"/>
      <c r="C37" s="49"/>
      <c r="D37" s="49"/>
      <c r="E37" s="49"/>
      <c r="F37" s="49"/>
      <c r="G37" s="49" t="s">
        <v>1455</v>
      </c>
      <c r="H37" s="49">
        <v>5</v>
      </c>
      <c r="I37" s="49" t="s">
        <v>1452</v>
      </c>
      <c r="J37" s="49"/>
    </row>
    <row r="38" spans="1:10" ht="60">
      <c r="A38" s="49"/>
      <c r="B38" s="49"/>
      <c r="C38" s="49"/>
      <c r="D38" s="49"/>
      <c r="E38" s="49"/>
      <c r="F38" s="49"/>
      <c r="G38" s="49" t="s">
        <v>1456</v>
      </c>
      <c r="H38" s="49">
        <v>4</v>
      </c>
      <c r="I38" s="49" t="s">
        <v>1452</v>
      </c>
      <c r="J38" s="49"/>
    </row>
    <row r="39" spans="1:10" ht="36">
      <c r="A39" s="49"/>
      <c r="B39" s="49"/>
      <c r="C39" s="49"/>
      <c r="D39" s="49"/>
      <c r="E39" s="49"/>
      <c r="F39" s="49"/>
      <c r="G39" s="49" t="s">
        <v>1457</v>
      </c>
      <c r="H39" s="49">
        <v>3</v>
      </c>
      <c r="I39" s="49" t="s">
        <v>1443</v>
      </c>
      <c r="J39" s="49"/>
    </row>
    <row r="40" spans="1:10" ht="72">
      <c r="A40" s="49"/>
      <c r="B40" s="49"/>
      <c r="C40" s="49"/>
      <c r="D40" s="49"/>
      <c r="E40" s="49"/>
      <c r="F40" s="49"/>
      <c r="G40" s="49" t="s">
        <v>1458</v>
      </c>
      <c r="H40" s="49">
        <v>3</v>
      </c>
      <c r="I40" s="49" t="s">
        <v>1454</v>
      </c>
      <c r="J40" s="49"/>
    </row>
    <row r="41" spans="1:10" ht="36">
      <c r="A41" s="49"/>
      <c r="B41" s="49"/>
      <c r="C41" s="49"/>
      <c r="D41" s="49"/>
      <c r="E41" s="49"/>
      <c r="F41" s="49"/>
      <c r="G41" s="49" t="s">
        <v>1459</v>
      </c>
      <c r="H41" s="49">
        <v>2</v>
      </c>
      <c r="I41" s="49" t="s">
        <v>1410</v>
      </c>
      <c r="J41" s="49"/>
    </row>
    <row r="42" spans="1:10" ht="48">
      <c r="A42" s="49" t="s">
        <v>1460</v>
      </c>
      <c r="B42" s="49"/>
      <c r="C42" s="49" t="s">
        <v>1429</v>
      </c>
      <c r="D42" s="49">
        <v>2</v>
      </c>
      <c r="E42" s="50" t="s">
        <v>1461</v>
      </c>
      <c r="F42" s="49">
        <v>3</v>
      </c>
      <c r="G42" s="49" t="s">
        <v>1462</v>
      </c>
      <c r="H42" s="49">
        <v>3</v>
      </c>
      <c r="I42" s="49" t="s">
        <v>1463</v>
      </c>
      <c r="J42" s="49" t="s">
        <v>4</v>
      </c>
    </row>
    <row r="43" spans="1:10" ht="36">
      <c r="A43" s="49"/>
      <c r="B43" s="49"/>
      <c r="C43" s="49"/>
      <c r="D43" s="49"/>
      <c r="E43" s="49"/>
      <c r="F43" s="49"/>
      <c r="G43" s="49" t="s">
        <v>1464</v>
      </c>
      <c r="H43" s="49">
        <v>4</v>
      </c>
      <c r="I43" s="49" t="s">
        <v>1465</v>
      </c>
      <c r="J43" s="49"/>
    </row>
    <row r="44" spans="1:10" ht="36">
      <c r="A44" s="49"/>
      <c r="B44" s="49"/>
      <c r="C44" s="49"/>
      <c r="D44" s="49"/>
      <c r="E44" s="49"/>
      <c r="F44" s="49"/>
      <c r="G44" s="49" t="s">
        <v>1466</v>
      </c>
      <c r="H44" s="49">
        <v>2</v>
      </c>
      <c r="I44" s="49" t="s">
        <v>1467</v>
      </c>
      <c r="J44" s="49"/>
    </row>
    <row r="45" spans="1:10" ht="36">
      <c r="A45" s="49"/>
      <c r="B45" s="49"/>
      <c r="C45" s="49"/>
      <c r="D45" s="49"/>
      <c r="E45" s="49"/>
      <c r="F45" s="49"/>
      <c r="G45" s="49" t="s">
        <v>1468</v>
      </c>
      <c r="H45" s="49">
        <v>5</v>
      </c>
      <c r="I45" s="49" t="s">
        <v>1406</v>
      </c>
      <c r="J45" s="49"/>
    </row>
    <row r="46" spans="1:10" ht="96">
      <c r="A46" s="49" t="s">
        <v>1469</v>
      </c>
      <c r="B46" s="49" t="s">
        <v>1470</v>
      </c>
      <c r="C46" s="49" t="s">
        <v>1403</v>
      </c>
      <c r="D46" s="49">
        <v>1</v>
      </c>
      <c r="E46" s="50" t="s">
        <v>1471</v>
      </c>
      <c r="F46" s="49">
        <v>3</v>
      </c>
      <c r="G46" s="49" t="s">
        <v>1472</v>
      </c>
      <c r="H46" s="49">
        <v>5</v>
      </c>
      <c r="I46" s="49" t="s">
        <v>1406</v>
      </c>
      <c r="J46" s="49" t="s">
        <v>1473</v>
      </c>
    </row>
    <row r="47" spans="1:10" ht="60">
      <c r="A47" s="49"/>
      <c r="B47" s="49"/>
      <c r="C47" s="49"/>
      <c r="D47" s="49"/>
      <c r="E47" s="49"/>
      <c r="F47" s="49"/>
      <c r="G47" s="49" t="s">
        <v>1474</v>
      </c>
      <c r="H47" s="49">
        <v>4</v>
      </c>
      <c r="I47" s="49" t="s">
        <v>1426</v>
      </c>
      <c r="J47" s="49"/>
    </row>
    <row r="48" spans="1:10" ht="60">
      <c r="A48" s="49"/>
      <c r="B48" s="49"/>
      <c r="C48" s="49"/>
      <c r="D48" s="49"/>
      <c r="E48" s="49"/>
      <c r="F48" s="49"/>
      <c r="G48" s="49" t="s">
        <v>1475</v>
      </c>
      <c r="H48" s="49">
        <v>3</v>
      </c>
      <c r="I48" s="49" t="s">
        <v>1443</v>
      </c>
      <c r="J48" s="49"/>
    </row>
    <row r="49" spans="1:10" ht="36">
      <c r="A49" s="49"/>
      <c r="B49" s="49"/>
      <c r="C49" s="49"/>
      <c r="D49" s="49"/>
      <c r="E49" s="49"/>
      <c r="F49" s="49"/>
      <c r="G49" s="49" t="s">
        <v>1476</v>
      </c>
      <c r="H49" s="49">
        <v>3</v>
      </c>
      <c r="I49" s="49" t="s">
        <v>1443</v>
      </c>
      <c r="J49" s="49"/>
    </row>
    <row r="50" spans="1:10" ht="36">
      <c r="A50" s="49"/>
      <c r="B50" s="49"/>
      <c r="C50" s="49"/>
      <c r="D50" s="49"/>
      <c r="E50" s="49"/>
      <c r="F50" s="49"/>
      <c r="G50" s="49" t="s">
        <v>1477</v>
      </c>
      <c r="H50" s="49">
        <v>2</v>
      </c>
      <c r="I50" s="49" t="s">
        <v>1478</v>
      </c>
      <c r="J50" s="49"/>
    </row>
    <row r="51" spans="1:10" ht="36">
      <c r="A51" s="49" t="s">
        <v>1479</v>
      </c>
      <c r="B51" s="49"/>
      <c r="C51" s="49" t="s">
        <v>1403</v>
      </c>
      <c r="D51" s="49">
        <v>2</v>
      </c>
      <c r="E51" s="50" t="s">
        <v>1480</v>
      </c>
      <c r="F51" s="49">
        <v>3</v>
      </c>
      <c r="G51" s="49" t="s">
        <v>1481</v>
      </c>
      <c r="H51" s="49">
        <v>5</v>
      </c>
      <c r="I51" s="49" t="s">
        <v>1406</v>
      </c>
      <c r="J51" s="49" t="s">
        <v>1482</v>
      </c>
    </row>
    <row r="52" spans="1:10" ht="48">
      <c r="A52" s="49"/>
      <c r="B52" s="49"/>
      <c r="C52" s="49"/>
      <c r="D52" s="49"/>
      <c r="E52" s="49"/>
      <c r="F52" s="49"/>
      <c r="G52" s="49" t="s">
        <v>1483</v>
      </c>
      <c r="H52" s="49">
        <v>4</v>
      </c>
      <c r="I52" s="49" t="s">
        <v>1426</v>
      </c>
      <c r="J52" s="49"/>
    </row>
    <row r="53" spans="1:10" ht="36">
      <c r="A53" s="49"/>
      <c r="B53" s="49"/>
      <c r="C53" s="49"/>
      <c r="D53" s="49"/>
      <c r="E53" s="49"/>
      <c r="F53" s="49"/>
      <c r="G53" s="49" t="s">
        <v>1484</v>
      </c>
      <c r="H53" s="49">
        <v>3</v>
      </c>
      <c r="I53" s="49" t="s">
        <v>1485</v>
      </c>
      <c r="J53" s="49"/>
    </row>
    <row r="54" spans="1:10" ht="24">
      <c r="A54" s="49"/>
      <c r="B54" s="49"/>
      <c r="C54" s="49"/>
      <c r="D54" s="49"/>
      <c r="E54" s="49"/>
      <c r="F54" s="49"/>
      <c r="G54" s="49" t="s">
        <v>1486</v>
      </c>
      <c r="H54" s="49">
        <v>2</v>
      </c>
      <c r="I54" s="49" t="s">
        <v>1487</v>
      </c>
      <c r="J54" s="49"/>
    </row>
    <row r="55" spans="1:10" ht="84">
      <c r="A55" s="49" t="s">
        <v>1488</v>
      </c>
      <c r="B55" s="49"/>
      <c r="C55" s="49" t="s">
        <v>1429</v>
      </c>
      <c r="D55" s="49">
        <v>2</v>
      </c>
      <c r="E55" s="50" t="s">
        <v>1489</v>
      </c>
      <c r="F55" s="49">
        <v>3</v>
      </c>
      <c r="G55" s="49" t="s">
        <v>1490</v>
      </c>
      <c r="H55" s="49">
        <v>5</v>
      </c>
      <c r="I55" s="49" t="s">
        <v>1406</v>
      </c>
      <c r="J55" s="49" t="s">
        <v>1482</v>
      </c>
    </row>
    <row r="56" spans="1:10" ht="96">
      <c r="A56" s="49"/>
      <c r="B56" s="49"/>
      <c r="C56" s="49"/>
      <c r="D56" s="49"/>
      <c r="E56" s="49"/>
      <c r="F56" s="49"/>
      <c r="G56" s="49" t="s">
        <v>1491</v>
      </c>
      <c r="H56" s="49">
        <v>3</v>
      </c>
      <c r="I56" s="49" t="s">
        <v>1492</v>
      </c>
      <c r="J56" s="49"/>
    </row>
    <row r="57" spans="1:10" ht="72">
      <c r="A57" s="49"/>
      <c r="B57" s="49"/>
      <c r="C57" s="49"/>
      <c r="D57" s="49"/>
      <c r="E57" s="49"/>
      <c r="F57" s="49"/>
      <c r="G57" s="49" t="s">
        <v>1493</v>
      </c>
      <c r="H57" s="49">
        <v>2</v>
      </c>
      <c r="I57" s="49" t="s">
        <v>1494</v>
      </c>
      <c r="J57" s="49"/>
    </row>
    <row r="58" spans="1:10" ht="108">
      <c r="A58" s="49"/>
      <c r="B58" s="49"/>
      <c r="C58" s="49"/>
      <c r="D58" s="49"/>
      <c r="E58" s="49"/>
      <c r="F58" s="49"/>
      <c r="G58" s="49" t="s">
        <v>1495</v>
      </c>
      <c r="H58" s="49">
        <v>4</v>
      </c>
      <c r="I58" s="49" t="s">
        <v>1496</v>
      </c>
      <c r="J58" s="49"/>
    </row>
    <row r="59" spans="1:10" ht="96">
      <c r="A59" s="49"/>
      <c r="B59" s="49"/>
      <c r="C59" s="49"/>
      <c r="D59" s="49"/>
      <c r="E59" s="49"/>
      <c r="F59" s="49"/>
      <c r="G59" s="49" t="s">
        <v>1497</v>
      </c>
      <c r="H59" s="49">
        <v>1</v>
      </c>
      <c r="I59" s="49" t="s">
        <v>1498</v>
      </c>
      <c r="J59" s="49"/>
    </row>
    <row r="60" spans="1:10" ht="84">
      <c r="A60" s="49" t="s">
        <v>1499</v>
      </c>
      <c r="B60" s="49"/>
      <c r="C60" s="49" t="s">
        <v>1429</v>
      </c>
      <c r="D60" s="49">
        <v>2</v>
      </c>
      <c r="E60" s="49" t="s">
        <v>1500</v>
      </c>
      <c r="F60" s="49">
        <v>3</v>
      </c>
      <c r="G60" s="49" t="s">
        <v>1501</v>
      </c>
      <c r="H60" s="49">
        <v>5</v>
      </c>
      <c r="I60" s="49" t="s">
        <v>1406</v>
      </c>
      <c r="J60" s="49" t="s">
        <v>1482</v>
      </c>
    </row>
    <row r="61" spans="1:10" ht="96">
      <c r="A61" s="49"/>
      <c r="B61" s="49"/>
      <c r="C61" s="49"/>
      <c r="D61" s="49"/>
      <c r="F61" s="49"/>
      <c r="G61" s="49" t="s">
        <v>1502</v>
      </c>
      <c r="H61" s="49">
        <v>4</v>
      </c>
      <c r="I61" s="49" t="s">
        <v>1503</v>
      </c>
      <c r="J61" s="49"/>
    </row>
    <row r="62" spans="1:10" ht="72">
      <c r="A62" s="49"/>
      <c r="B62" s="49"/>
      <c r="C62" s="49"/>
      <c r="D62" s="49"/>
      <c r="E62" s="49"/>
      <c r="F62" s="49"/>
      <c r="G62" s="49" t="s">
        <v>1504</v>
      </c>
      <c r="H62" s="49">
        <v>3</v>
      </c>
      <c r="I62" s="49" t="s">
        <v>1505</v>
      </c>
      <c r="J62" s="49"/>
    </row>
    <row r="63" spans="1:10" ht="36">
      <c r="A63" s="49"/>
      <c r="B63" s="49"/>
      <c r="C63" s="49"/>
      <c r="D63" s="49"/>
      <c r="E63" s="49"/>
      <c r="F63" s="49"/>
      <c r="G63" s="49" t="s">
        <v>1506</v>
      </c>
      <c r="H63" s="49">
        <v>2</v>
      </c>
      <c r="I63" s="49" t="s">
        <v>1410</v>
      </c>
      <c r="J63" s="49"/>
    </row>
    <row r="64" spans="1:10">
      <c r="A64" s="49"/>
      <c r="B64" s="49"/>
      <c r="C64" s="49"/>
      <c r="D64" s="49"/>
      <c r="E64" s="49"/>
      <c r="F64" s="49"/>
      <c r="G64" s="49"/>
      <c r="H64" s="49"/>
      <c r="I64" s="49"/>
      <c r="J64" s="49"/>
    </row>
  </sheetData>
  <sheetProtection algorithmName="SHA-512" hashValue="1mLRdPSQNxQQaH1YYMPM2S2ynNatY3TL12XDmODo+8lKLXdhwppw0YHlD7GMRLgk6xXcAYzrlK7MLGUqQaCejQ==" saltValue="zWTcnq7woT9AteSw2cmnEg==" spinCount="100000" sheet="1" objects="1" scenarios="1" selectLockedCells="1" selectUn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H97"/>
  <sheetViews>
    <sheetView zoomScale="25" zoomScaleNormal="25" workbookViewId="0">
      <pane xSplit="1" ySplit="4" topLeftCell="D5" activePane="bottomRight" state="frozen"/>
      <selection pane="bottomRight" activeCell="A3" sqref="A3"/>
      <selection pane="bottomLeft" activeCell="A5" sqref="A5"/>
      <selection pane="topRight" activeCell="B1" sqref="B1"/>
    </sheetView>
  </sheetViews>
  <sheetFormatPr defaultColWidth="9" defaultRowHeight="11.25"/>
  <cols>
    <col min="1" max="1" width="16.625" style="41" customWidth="1"/>
    <col min="2" max="2" width="12.125" style="41" customWidth="1"/>
    <col min="3" max="3" width="14.875" style="41" customWidth="1"/>
    <col min="4" max="4" width="11.625" style="41" customWidth="1"/>
    <col min="5" max="5" width="9" style="41"/>
    <col min="6" max="6" width="9.625" style="41" customWidth="1"/>
    <col min="7" max="7" width="10.5" style="41" customWidth="1"/>
    <col min="8" max="8" width="11.625" style="41" customWidth="1"/>
    <col min="9" max="9" width="18.875" style="41" customWidth="1"/>
    <col min="10" max="10" width="15" style="41" customWidth="1"/>
    <col min="11" max="11" width="18.5" style="41" customWidth="1"/>
    <col min="12" max="12" width="14.875" style="41" customWidth="1"/>
    <col min="13" max="13" width="12.125" style="41" customWidth="1"/>
    <col min="14" max="14" width="14.125" style="41" customWidth="1"/>
    <col min="15" max="15" width="12.875" style="41" customWidth="1"/>
    <col min="16" max="16" width="22" style="41" customWidth="1"/>
    <col min="17" max="17" width="16" style="41" customWidth="1"/>
    <col min="18" max="18" width="16.125" style="41" customWidth="1"/>
    <col min="19" max="19" width="12.375" style="41" customWidth="1"/>
    <col min="20" max="20" width="14.875" style="41" customWidth="1"/>
    <col min="21" max="21" width="17.5" style="41" customWidth="1"/>
    <col min="22" max="22" width="16.375" style="41" customWidth="1"/>
    <col min="23" max="23" width="12.125" style="41" customWidth="1"/>
    <col min="24" max="24" width="14.875" style="41" customWidth="1"/>
    <col min="25" max="25" width="9" style="41"/>
    <col min="26" max="26" width="11.5" style="41" customWidth="1"/>
    <col min="27" max="27" width="16.875" style="41" customWidth="1"/>
    <col min="28" max="28" width="15.125" style="41" customWidth="1"/>
    <col min="29" max="29" width="14.875" style="41" customWidth="1"/>
    <col min="30" max="30" width="9" style="41"/>
    <col min="31" max="31" width="14.5" style="41" customWidth="1"/>
    <col min="32" max="32" width="12.625" style="41" customWidth="1"/>
    <col min="33" max="33" width="14.5" style="41" customWidth="1"/>
    <col min="34" max="34" width="17.125" style="41" customWidth="1"/>
    <col min="35" max="16384" width="9" style="41"/>
  </cols>
  <sheetData>
    <row r="1" spans="1:34" s="38" customFormat="1">
      <c r="A1" s="37" t="s">
        <v>1379</v>
      </c>
      <c r="D1" s="55" t="s">
        <v>1507</v>
      </c>
      <c r="F1" s="56" t="s">
        <v>1508</v>
      </c>
    </row>
    <row r="2" spans="1:34" s="58" customFormat="1">
      <c r="A2" s="57" t="s">
        <v>1509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</row>
    <row r="3" spans="1:34" s="59" customFormat="1">
      <c r="B3" s="59">
        <v>1</v>
      </c>
      <c r="C3" s="59">
        <v>2</v>
      </c>
      <c r="D3" s="59">
        <v>3</v>
      </c>
      <c r="E3" s="59">
        <v>4</v>
      </c>
      <c r="F3" s="59">
        <v>5</v>
      </c>
      <c r="G3" s="59">
        <v>6</v>
      </c>
      <c r="H3" s="59">
        <v>7</v>
      </c>
      <c r="I3" s="59">
        <v>8</v>
      </c>
      <c r="J3" s="59">
        <v>9</v>
      </c>
      <c r="K3" s="59">
        <v>10</v>
      </c>
      <c r="L3" s="59">
        <v>11</v>
      </c>
      <c r="M3" s="59">
        <v>12</v>
      </c>
      <c r="N3" s="59">
        <v>13</v>
      </c>
      <c r="O3" s="59">
        <v>14</v>
      </c>
      <c r="P3" s="59">
        <v>15</v>
      </c>
      <c r="Q3" s="59">
        <v>16</v>
      </c>
      <c r="R3" s="59">
        <v>17</v>
      </c>
      <c r="S3" s="59">
        <v>18</v>
      </c>
      <c r="T3" s="59">
        <v>19</v>
      </c>
      <c r="U3" s="59">
        <v>20</v>
      </c>
      <c r="V3" s="59">
        <v>21</v>
      </c>
      <c r="W3" s="59">
        <v>22</v>
      </c>
      <c r="X3" s="59">
        <v>23</v>
      </c>
      <c r="Y3" s="59">
        <v>24</v>
      </c>
      <c r="Z3" s="59">
        <v>25</v>
      </c>
      <c r="AA3" s="59">
        <v>26</v>
      </c>
      <c r="AB3" s="59">
        <v>27</v>
      </c>
      <c r="AC3" s="59">
        <v>28</v>
      </c>
      <c r="AD3" s="59">
        <v>29</v>
      </c>
      <c r="AE3" s="59" t="s">
        <v>1510</v>
      </c>
      <c r="AF3" s="59">
        <v>31</v>
      </c>
      <c r="AG3" s="59">
        <v>32</v>
      </c>
      <c r="AH3" s="59">
        <v>33</v>
      </c>
    </row>
    <row r="4" spans="1:34" s="59" customFormat="1" ht="22.5">
      <c r="A4" s="60" t="s">
        <v>1392</v>
      </c>
      <c r="B4" s="61" t="s">
        <v>703</v>
      </c>
      <c r="C4" s="61" t="s">
        <v>821</v>
      </c>
      <c r="D4" s="61" t="s">
        <v>760</v>
      </c>
      <c r="E4" s="61" t="s">
        <v>1326</v>
      </c>
      <c r="F4" s="61" t="s">
        <v>1050</v>
      </c>
      <c r="G4" s="61" t="s">
        <v>1511</v>
      </c>
      <c r="H4" s="61" t="s">
        <v>1076</v>
      </c>
      <c r="I4" s="61" t="s">
        <v>878</v>
      </c>
      <c r="J4" s="61" t="s">
        <v>839</v>
      </c>
      <c r="K4" s="61" t="s">
        <v>996</v>
      </c>
      <c r="L4" s="61" t="s">
        <v>1029</v>
      </c>
      <c r="M4" s="61" t="s">
        <v>1099</v>
      </c>
      <c r="N4" s="61" t="s">
        <v>1281</v>
      </c>
      <c r="O4" s="61" t="s">
        <v>1512</v>
      </c>
      <c r="P4" s="61" t="s">
        <v>1022</v>
      </c>
      <c r="Q4" s="61" t="s">
        <v>1513</v>
      </c>
      <c r="R4" s="61" t="s">
        <v>1119</v>
      </c>
      <c r="S4" s="61" t="s">
        <v>1153</v>
      </c>
      <c r="T4" s="61" t="s">
        <v>923</v>
      </c>
      <c r="U4" s="61" t="s">
        <v>1159</v>
      </c>
      <c r="V4" s="61" t="s">
        <v>794</v>
      </c>
      <c r="W4" s="61" t="s">
        <v>1514</v>
      </c>
      <c r="X4" s="61" t="s">
        <v>1515</v>
      </c>
      <c r="Y4" s="61" t="s">
        <v>1516</v>
      </c>
      <c r="Z4" s="61" t="s">
        <v>1517</v>
      </c>
      <c r="AA4" s="61" t="s">
        <v>1518</v>
      </c>
      <c r="AB4" s="62" t="s">
        <v>772</v>
      </c>
      <c r="AC4" s="61" t="s">
        <v>870</v>
      </c>
      <c r="AD4" s="61" t="s">
        <v>1519</v>
      </c>
      <c r="AE4" s="63" t="s">
        <v>824</v>
      </c>
      <c r="AF4" s="61" t="s">
        <v>1314</v>
      </c>
      <c r="AG4" s="61" t="s">
        <v>721</v>
      </c>
      <c r="AH4" s="61" t="s">
        <v>1520</v>
      </c>
    </row>
    <row r="5" spans="1:34" ht="33.75">
      <c r="A5" s="41" t="str">
        <f>B4</f>
        <v>I01_Doc_generate</v>
      </c>
      <c r="B5" s="64" t="s">
        <v>698</v>
      </c>
      <c r="C5" s="64" t="s">
        <v>1055</v>
      </c>
      <c r="D5" s="64" t="s">
        <v>758</v>
      </c>
      <c r="E5" s="64" t="s">
        <v>1521</v>
      </c>
      <c r="F5" s="64" t="s">
        <v>1049</v>
      </c>
      <c r="G5" s="64"/>
      <c r="H5" s="64" t="s">
        <v>1075</v>
      </c>
      <c r="I5" s="64" t="s">
        <v>1107</v>
      </c>
      <c r="J5" s="64" t="s">
        <v>1125</v>
      </c>
      <c r="K5" s="64" t="s">
        <v>1522</v>
      </c>
      <c r="L5" s="64" t="s">
        <v>1028</v>
      </c>
      <c r="M5" s="64" t="s">
        <v>1098</v>
      </c>
      <c r="N5" s="64" t="s">
        <v>1280</v>
      </c>
      <c r="O5" s="64" t="s">
        <v>1523</v>
      </c>
      <c r="P5" s="64" t="s">
        <v>947</v>
      </c>
      <c r="Q5" s="64"/>
      <c r="R5" s="64" t="s">
        <v>1118</v>
      </c>
      <c r="S5" s="64" t="s">
        <v>1152</v>
      </c>
      <c r="T5" s="64" t="s">
        <v>1156</v>
      </c>
      <c r="U5" s="64" t="s">
        <v>1158</v>
      </c>
      <c r="V5" s="64" t="s">
        <v>792</v>
      </c>
      <c r="W5" s="64" t="s">
        <v>770</v>
      </c>
      <c r="X5" s="64" t="s">
        <v>1524</v>
      </c>
      <c r="Y5" s="64" t="s">
        <v>1525</v>
      </c>
      <c r="Z5" s="64" t="s">
        <v>1526</v>
      </c>
      <c r="AA5" s="64" t="s">
        <v>1527</v>
      </c>
      <c r="AB5" s="64" t="s">
        <v>770</v>
      </c>
      <c r="AC5" s="64" t="s">
        <v>868</v>
      </c>
      <c r="AD5" s="64" t="s">
        <v>1528</v>
      </c>
      <c r="AE5" s="40" t="s">
        <v>1059</v>
      </c>
      <c r="AF5" s="64" t="s">
        <v>1312</v>
      </c>
      <c r="AG5" s="64" t="s">
        <v>1529</v>
      </c>
      <c r="AH5" s="64"/>
    </row>
    <row r="6" spans="1:34" ht="22.5">
      <c r="A6" s="41" t="str">
        <f>C4</f>
        <v>I02_Workflow_appdesigncode</v>
      </c>
      <c r="B6" s="64" t="s">
        <v>1530</v>
      </c>
      <c r="C6" s="64" t="s">
        <v>1531</v>
      </c>
      <c r="D6" s="64" t="s">
        <v>1532</v>
      </c>
      <c r="E6" s="64" t="s">
        <v>1533</v>
      </c>
      <c r="F6" s="64" t="s">
        <v>1534</v>
      </c>
      <c r="G6" s="64"/>
      <c r="H6" s="64" t="s">
        <v>1535</v>
      </c>
      <c r="I6" s="64" t="s">
        <v>1536</v>
      </c>
      <c r="J6" s="64" t="s">
        <v>1237</v>
      </c>
      <c r="K6" s="64" t="s">
        <v>995</v>
      </c>
      <c r="L6" s="64" t="s">
        <v>1537</v>
      </c>
      <c r="M6" s="64" t="s">
        <v>1538</v>
      </c>
      <c r="N6" s="64" t="s">
        <v>1539</v>
      </c>
      <c r="O6" s="64" t="s">
        <v>1540</v>
      </c>
      <c r="P6" s="64" t="s">
        <v>1541</v>
      </c>
      <c r="Q6" s="64"/>
      <c r="R6" s="64" t="s">
        <v>1542</v>
      </c>
      <c r="S6" s="64" t="s">
        <v>1543</v>
      </c>
      <c r="T6" s="64" t="s">
        <v>1544</v>
      </c>
      <c r="U6" s="64" t="s">
        <v>1545</v>
      </c>
      <c r="V6" s="64" t="s">
        <v>1546</v>
      </c>
      <c r="W6" s="64" t="s">
        <v>1547</v>
      </c>
      <c r="X6" s="64" t="s">
        <v>1548</v>
      </c>
      <c r="Y6" s="64" t="s">
        <v>1549</v>
      </c>
      <c r="Z6" s="64" t="s">
        <v>1550</v>
      </c>
      <c r="AA6" s="64" t="s">
        <v>1551</v>
      </c>
      <c r="AB6" s="64" t="s">
        <v>1547</v>
      </c>
      <c r="AC6" s="64" t="s">
        <v>1552</v>
      </c>
      <c r="AD6" s="64" t="s">
        <v>1553</v>
      </c>
      <c r="AE6" s="40" t="s">
        <v>1554</v>
      </c>
      <c r="AF6" s="64" t="s">
        <v>1555</v>
      </c>
      <c r="AG6" s="64" t="s">
        <v>1556</v>
      </c>
      <c r="AH6" s="64"/>
    </row>
    <row r="7" spans="1:34" ht="45">
      <c r="A7" s="41" t="str">
        <f>D4</f>
        <v>I03_Agile_tracker</v>
      </c>
      <c r="B7" s="64" t="s">
        <v>1557</v>
      </c>
      <c r="C7" s="64" t="s">
        <v>1558</v>
      </c>
      <c r="D7" s="64" t="s">
        <v>1559</v>
      </c>
      <c r="E7" s="64" t="s">
        <v>463</v>
      </c>
      <c r="F7" s="64" t="s">
        <v>1560</v>
      </c>
      <c r="G7" s="64"/>
      <c r="H7" s="64" t="s">
        <v>1561</v>
      </c>
      <c r="I7" s="64" t="s">
        <v>1562</v>
      </c>
      <c r="J7" s="64" t="s">
        <v>1563</v>
      </c>
      <c r="K7" s="64" t="s">
        <v>1564</v>
      </c>
      <c r="L7" s="64" t="s">
        <v>1565</v>
      </c>
      <c r="M7" s="64" t="s">
        <v>1566</v>
      </c>
      <c r="N7" s="64" t="s">
        <v>1541</v>
      </c>
      <c r="O7" s="64" t="s">
        <v>1567</v>
      </c>
      <c r="P7" s="64" t="s">
        <v>1568</v>
      </c>
      <c r="Q7" s="64"/>
      <c r="R7" s="64" t="s">
        <v>1569</v>
      </c>
      <c r="S7" s="64" t="s">
        <v>1570</v>
      </c>
      <c r="T7" s="64" t="s">
        <v>1571</v>
      </c>
      <c r="U7" s="64" t="s">
        <v>1572</v>
      </c>
      <c r="V7" s="64" t="s">
        <v>1573</v>
      </c>
      <c r="W7" s="64" t="s">
        <v>1574</v>
      </c>
      <c r="X7" s="64" t="s">
        <v>1575</v>
      </c>
      <c r="Y7" s="64" t="s">
        <v>1576</v>
      </c>
      <c r="Z7" s="64" t="s">
        <v>1577</v>
      </c>
      <c r="AA7" s="64" t="s">
        <v>1578</v>
      </c>
      <c r="AB7" s="64" t="s">
        <v>1574</v>
      </c>
      <c r="AC7" s="64" t="s">
        <v>1579</v>
      </c>
      <c r="AD7" s="64" t="s">
        <v>1580</v>
      </c>
      <c r="AE7" s="40" t="s">
        <v>1581</v>
      </c>
      <c r="AF7" s="64" t="s">
        <v>1582</v>
      </c>
      <c r="AG7" s="64" t="s">
        <v>1583</v>
      </c>
      <c r="AH7" s="64"/>
    </row>
    <row r="8" spans="1:34" ht="45">
      <c r="A8" s="41" t="str">
        <f>E4</f>
        <v>I04_Chat</v>
      </c>
      <c r="B8" s="64" t="s">
        <v>1584</v>
      </c>
      <c r="C8" s="64" t="s">
        <v>1585</v>
      </c>
      <c r="D8" s="64" t="s">
        <v>1586</v>
      </c>
      <c r="E8" s="64" t="s">
        <v>1587</v>
      </c>
      <c r="F8" s="64" t="s">
        <v>1588</v>
      </c>
      <c r="G8" s="64"/>
      <c r="H8" s="64" t="s">
        <v>1589</v>
      </c>
      <c r="I8" s="64" t="s">
        <v>1590</v>
      </c>
      <c r="J8" s="64" t="s">
        <v>1562</v>
      </c>
      <c r="K8" s="64" t="s">
        <v>1591</v>
      </c>
      <c r="L8" s="64" t="s">
        <v>1592</v>
      </c>
      <c r="M8" s="64" t="s">
        <v>1593</v>
      </c>
      <c r="N8" s="64" t="s">
        <v>1568</v>
      </c>
      <c r="O8" s="64" t="s">
        <v>1594</v>
      </c>
      <c r="P8" s="64" t="s">
        <v>1595</v>
      </c>
      <c r="Q8" s="64"/>
      <c r="R8" s="64" t="s">
        <v>1596</v>
      </c>
      <c r="S8" s="64" t="s">
        <v>1597</v>
      </c>
      <c r="T8" s="64" t="s">
        <v>1570</v>
      </c>
      <c r="U8" s="64" t="s">
        <v>1598</v>
      </c>
      <c r="V8" s="64" t="s">
        <v>1599</v>
      </c>
      <c r="W8" s="64" t="s">
        <v>1600</v>
      </c>
      <c r="X8" s="64" t="s">
        <v>1601</v>
      </c>
      <c r="Y8" s="64" t="s">
        <v>1602</v>
      </c>
      <c r="Z8" s="64" t="s">
        <v>1603</v>
      </c>
      <c r="AA8" s="64" t="s">
        <v>1604</v>
      </c>
      <c r="AB8" s="64" t="s">
        <v>1600</v>
      </c>
      <c r="AC8" s="64" t="s">
        <v>1605</v>
      </c>
      <c r="AD8" s="64" t="s">
        <v>1606</v>
      </c>
      <c r="AE8" s="40" t="s">
        <v>1607</v>
      </c>
      <c r="AF8" s="64" t="s">
        <v>1608</v>
      </c>
      <c r="AG8" s="64" t="s">
        <v>1609</v>
      </c>
      <c r="AH8" s="65"/>
    </row>
    <row r="9" spans="1:34" ht="22.5">
      <c r="A9" s="41" t="str">
        <f>F4</f>
        <v>M05_Editor_IDE</v>
      </c>
      <c r="B9" s="64" t="s">
        <v>1610</v>
      </c>
      <c r="C9" s="64" t="s">
        <v>1611</v>
      </c>
      <c r="D9" s="64" t="s">
        <v>1612</v>
      </c>
      <c r="E9" s="64" t="s">
        <v>1613</v>
      </c>
      <c r="F9" s="64" t="s">
        <v>1614</v>
      </c>
      <c r="G9" s="64"/>
      <c r="H9" s="64" t="s">
        <v>1615</v>
      </c>
      <c r="I9" s="64" t="s">
        <v>1616</v>
      </c>
      <c r="J9" s="64" t="s">
        <v>1107</v>
      </c>
      <c r="K9" s="64" t="s">
        <v>1617</v>
      </c>
      <c r="L9" s="64" t="s">
        <v>1602</v>
      </c>
      <c r="M9" s="64" t="s">
        <v>1618</v>
      </c>
      <c r="N9" s="64" t="s">
        <v>1595</v>
      </c>
      <c r="O9" s="64" t="s">
        <v>1619</v>
      </c>
      <c r="P9" s="64" t="s">
        <v>1620</v>
      </c>
      <c r="Q9" s="64"/>
      <c r="R9" s="64" t="s">
        <v>1621</v>
      </c>
      <c r="S9" s="64" t="s">
        <v>1622</v>
      </c>
      <c r="T9" s="64" t="s">
        <v>1623</v>
      </c>
      <c r="U9" s="64" t="s">
        <v>1624</v>
      </c>
      <c r="V9" s="40" t="s">
        <v>1625</v>
      </c>
      <c r="W9" s="64" t="s">
        <v>1626</v>
      </c>
      <c r="X9" s="64" t="s">
        <v>1627</v>
      </c>
      <c r="Y9" s="64" t="s">
        <v>61</v>
      </c>
      <c r="Z9" s="64" t="s">
        <v>1628</v>
      </c>
      <c r="AA9" s="64" t="s">
        <v>1629</v>
      </c>
      <c r="AB9" s="64" t="s">
        <v>1626</v>
      </c>
      <c r="AC9" s="64" t="s">
        <v>1630</v>
      </c>
      <c r="AD9" s="64" t="s">
        <v>1631</v>
      </c>
      <c r="AE9" s="40" t="s">
        <v>1632</v>
      </c>
      <c r="AF9" s="65" t="s">
        <v>1541</v>
      </c>
      <c r="AG9" s="64" t="s">
        <v>1633</v>
      </c>
      <c r="AH9" s="40"/>
    </row>
    <row r="10" spans="1:34" ht="22.5">
      <c r="A10" s="41" t="str">
        <f>G4</f>
        <v>M06_Placeholder</v>
      </c>
      <c r="B10" s="64" t="s">
        <v>1634</v>
      </c>
      <c r="C10" s="64" t="s">
        <v>847</v>
      </c>
      <c r="D10" s="64" t="s">
        <v>1635</v>
      </c>
      <c r="E10" s="64" t="s">
        <v>1636</v>
      </c>
      <c r="F10" s="64" t="s">
        <v>1637</v>
      </c>
      <c r="G10" s="64"/>
      <c r="H10" s="64" t="s">
        <v>1638</v>
      </c>
      <c r="I10" s="64" t="s">
        <v>910</v>
      </c>
      <c r="J10" s="64" t="s">
        <v>910</v>
      </c>
      <c r="K10" s="64" t="s">
        <v>1592</v>
      </c>
      <c r="L10" s="65" t="s">
        <v>61</v>
      </c>
      <c r="M10" s="64" t="s">
        <v>1639</v>
      </c>
      <c r="N10" s="64" t="s">
        <v>1640</v>
      </c>
      <c r="O10" s="64" t="s">
        <v>1592</v>
      </c>
      <c r="P10" s="64" t="s">
        <v>1641</v>
      </c>
      <c r="Q10" s="65"/>
      <c r="R10" s="64" t="s">
        <v>1642</v>
      </c>
      <c r="S10" s="65" t="s">
        <v>1643</v>
      </c>
      <c r="T10" s="64" t="s">
        <v>1644</v>
      </c>
      <c r="U10" s="64" t="s">
        <v>1645</v>
      </c>
      <c r="V10" s="40" t="s">
        <v>1646</v>
      </c>
      <c r="W10" s="64" t="s">
        <v>1647</v>
      </c>
      <c r="X10" s="64" t="s">
        <v>1602</v>
      </c>
      <c r="Y10" s="65" t="s">
        <v>464</v>
      </c>
      <c r="Z10" s="64" t="s">
        <v>1648</v>
      </c>
      <c r="AA10" s="64" t="s">
        <v>1649</v>
      </c>
      <c r="AB10" s="64" t="s">
        <v>1647</v>
      </c>
      <c r="AC10" s="64" t="s">
        <v>1650</v>
      </c>
      <c r="AD10" s="64" t="s">
        <v>1602</v>
      </c>
      <c r="AE10" s="40" t="s">
        <v>1651</v>
      </c>
      <c r="AF10" s="65" t="s">
        <v>1568</v>
      </c>
      <c r="AG10" s="64" t="s">
        <v>1652</v>
      </c>
      <c r="AH10" s="40"/>
    </row>
    <row r="11" spans="1:34" ht="33.75">
      <c r="A11" s="41" t="str">
        <f>H4</f>
        <v>M07_Code_quality</v>
      </c>
      <c r="B11" s="64" t="s">
        <v>1653</v>
      </c>
      <c r="C11" s="64" t="s">
        <v>1654</v>
      </c>
      <c r="D11" s="64" t="s">
        <v>1655</v>
      </c>
      <c r="E11" s="64" t="s">
        <v>1602</v>
      </c>
      <c r="F11" s="64" t="s">
        <v>1656</v>
      </c>
      <c r="G11" s="65"/>
      <c r="H11" s="64" t="s">
        <v>1657</v>
      </c>
      <c r="I11" s="64" t="s">
        <v>1658</v>
      </c>
      <c r="J11" s="64" t="s">
        <v>1659</v>
      </c>
      <c r="K11" s="64" t="s">
        <v>1660</v>
      </c>
      <c r="L11" s="65" t="s">
        <v>464</v>
      </c>
      <c r="M11" s="64" t="s">
        <v>1661</v>
      </c>
      <c r="N11" s="64" t="s">
        <v>1662</v>
      </c>
      <c r="O11" s="64" t="s">
        <v>1602</v>
      </c>
      <c r="P11" s="64" t="s">
        <v>1663</v>
      </c>
      <c r="Q11" s="65"/>
      <c r="R11" s="64" t="s">
        <v>1664</v>
      </c>
      <c r="S11" s="65" t="s">
        <v>1665</v>
      </c>
      <c r="T11" s="65" t="s">
        <v>1666</v>
      </c>
      <c r="U11" s="64" t="s">
        <v>1667</v>
      </c>
      <c r="V11" s="40" t="s">
        <v>1668</v>
      </c>
      <c r="W11" s="64" t="s">
        <v>1669</v>
      </c>
      <c r="X11" s="64" t="s">
        <v>61</v>
      </c>
      <c r="Y11" s="40"/>
      <c r="Z11" s="64" t="s">
        <v>1670</v>
      </c>
      <c r="AA11" s="64" t="s">
        <v>1627</v>
      </c>
      <c r="AB11" s="64" t="s">
        <v>1669</v>
      </c>
      <c r="AC11" s="64" t="s">
        <v>1671</v>
      </c>
      <c r="AD11" s="64" t="s">
        <v>61</v>
      </c>
      <c r="AE11" s="40" t="s">
        <v>1672</v>
      </c>
      <c r="AF11" s="65" t="s">
        <v>1673</v>
      </c>
      <c r="AG11" s="64" t="s">
        <v>1674</v>
      </c>
      <c r="AH11" s="40"/>
    </row>
    <row r="12" spans="1:34" ht="22.5">
      <c r="A12" s="41" t="str">
        <f>I4</f>
        <v>M08_Continuous_integration</v>
      </c>
      <c r="B12" s="64" t="s">
        <v>1602</v>
      </c>
      <c r="C12" s="65" t="s">
        <v>1675</v>
      </c>
      <c r="D12" s="64" t="s">
        <v>1676</v>
      </c>
      <c r="E12" s="65" t="s">
        <v>61</v>
      </c>
      <c r="F12" s="64" t="s">
        <v>1677</v>
      </c>
      <c r="G12" s="40"/>
      <c r="H12" s="64" t="s">
        <v>1678</v>
      </c>
      <c r="I12" s="64" t="s">
        <v>1679</v>
      </c>
      <c r="J12" s="64" t="s">
        <v>1680</v>
      </c>
      <c r="K12" s="64" t="s">
        <v>1602</v>
      </c>
      <c r="L12" s="40"/>
      <c r="M12" s="64" t="s">
        <v>1681</v>
      </c>
      <c r="N12" s="65" t="s">
        <v>1682</v>
      </c>
      <c r="O12" s="65" t="s">
        <v>61</v>
      </c>
      <c r="P12" s="64" t="s">
        <v>1683</v>
      </c>
      <c r="Q12" s="65"/>
      <c r="R12" s="64" t="s">
        <v>1570</v>
      </c>
      <c r="S12" s="65" t="s">
        <v>1684</v>
      </c>
      <c r="T12" s="65" t="s">
        <v>1685</v>
      </c>
      <c r="U12" s="64" t="s">
        <v>1570</v>
      </c>
      <c r="V12" s="42" t="s">
        <v>1686</v>
      </c>
      <c r="W12" s="64" t="s">
        <v>1687</v>
      </c>
      <c r="X12" s="65" t="s">
        <v>464</v>
      </c>
      <c r="Y12" s="40"/>
      <c r="Z12" s="64" t="s">
        <v>1688</v>
      </c>
      <c r="AA12" s="64" t="s">
        <v>1602</v>
      </c>
      <c r="AB12" s="64" t="s">
        <v>1687</v>
      </c>
      <c r="AC12" s="64" t="s">
        <v>1689</v>
      </c>
      <c r="AD12" s="65" t="s">
        <v>464</v>
      </c>
      <c r="AE12" s="40" t="s">
        <v>1690</v>
      </c>
      <c r="AF12" s="65" t="s">
        <v>1691</v>
      </c>
      <c r="AG12" s="65" t="s">
        <v>1692</v>
      </c>
      <c r="AH12" s="40"/>
    </row>
    <row r="13" spans="1:34" ht="33.75">
      <c r="A13" s="41" t="str">
        <f>J4</f>
        <v>M09_Continuous_deploy</v>
      </c>
      <c r="B13" s="64" t="s">
        <v>461</v>
      </c>
      <c r="C13" s="65" t="s">
        <v>1693</v>
      </c>
      <c r="D13" s="64" t="s">
        <v>1694</v>
      </c>
      <c r="E13" s="65" t="s">
        <v>464</v>
      </c>
      <c r="F13" s="64" t="s">
        <v>1695</v>
      </c>
      <c r="G13" s="40"/>
      <c r="H13" s="64" t="s">
        <v>1696</v>
      </c>
      <c r="I13" s="64" t="s">
        <v>1697</v>
      </c>
      <c r="J13" s="64" t="s">
        <v>1698</v>
      </c>
      <c r="K13" s="65" t="s">
        <v>461</v>
      </c>
      <c r="L13" s="40"/>
      <c r="M13" s="64" t="s">
        <v>1699</v>
      </c>
      <c r="N13" s="65" t="s">
        <v>1602</v>
      </c>
      <c r="O13" s="65" t="s">
        <v>464</v>
      </c>
      <c r="P13" s="64" t="s">
        <v>1700</v>
      </c>
      <c r="Q13" s="65"/>
      <c r="R13" s="64" t="s">
        <v>1701</v>
      </c>
      <c r="S13" s="65" t="s">
        <v>1702</v>
      </c>
      <c r="T13" s="65" t="s">
        <v>1678</v>
      </c>
      <c r="U13" s="64" t="s">
        <v>1703</v>
      </c>
      <c r="V13" s="40" t="s">
        <v>1704</v>
      </c>
      <c r="W13" s="64" t="s">
        <v>1705</v>
      </c>
      <c r="X13" s="40"/>
      <c r="Y13" s="40"/>
      <c r="Z13" s="64" t="s">
        <v>1706</v>
      </c>
      <c r="AA13" s="64" t="s">
        <v>61</v>
      </c>
      <c r="AB13" s="64" t="s">
        <v>1705</v>
      </c>
      <c r="AC13" s="65" t="s">
        <v>1707</v>
      </c>
      <c r="AD13" s="40"/>
      <c r="AE13" s="40" t="s">
        <v>1708</v>
      </c>
      <c r="AF13" s="65" t="s">
        <v>1709</v>
      </c>
      <c r="AG13" s="65" t="s">
        <v>1710</v>
      </c>
      <c r="AH13" s="40"/>
    </row>
    <row r="14" spans="1:34" ht="33.75">
      <c r="A14" s="41" t="str">
        <f>K4</f>
        <v>M10_Sourcecode_repository</v>
      </c>
      <c r="B14" s="65" t="s">
        <v>61</v>
      </c>
      <c r="C14" s="65" t="s">
        <v>1711</v>
      </c>
      <c r="D14" s="64" t="s">
        <v>1712</v>
      </c>
      <c r="E14" s="40"/>
      <c r="F14" s="64" t="s">
        <v>1713</v>
      </c>
      <c r="G14" s="40"/>
      <c r="H14" s="65" t="s">
        <v>1714</v>
      </c>
      <c r="I14" s="64" t="s">
        <v>1715</v>
      </c>
      <c r="J14" s="64" t="s">
        <v>1716</v>
      </c>
      <c r="K14" s="65" t="s">
        <v>61</v>
      </c>
      <c r="L14" s="40"/>
      <c r="M14" s="64" t="s">
        <v>1602</v>
      </c>
      <c r="N14" s="65" t="s">
        <v>61</v>
      </c>
      <c r="O14" s="40"/>
      <c r="P14" s="64" t="s">
        <v>1717</v>
      </c>
      <c r="Q14" s="65"/>
      <c r="R14" s="64" t="s">
        <v>1718</v>
      </c>
      <c r="S14" s="65" t="s">
        <v>1719</v>
      </c>
      <c r="T14" s="65" t="s">
        <v>1720</v>
      </c>
      <c r="U14" s="64" t="s">
        <v>1721</v>
      </c>
      <c r="V14" s="40" t="s">
        <v>1722</v>
      </c>
      <c r="W14" s="64" t="s">
        <v>1723</v>
      </c>
      <c r="X14" s="40"/>
      <c r="Y14" s="40"/>
      <c r="Z14" s="64" t="s">
        <v>1724</v>
      </c>
      <c r="AA14" s="65" t="s">
        <v>464</v>
      </c>
      <c r="AB14" s="64" t="s">
        <v>1723</v>
      </c>
      <c r="AC14" s="65" t="s">
        <v>1725</v>
      </c>
      <c r="AD14" s="40"/>
      <c r="AE14" s="42" t="s">
        <v>1726</v>
      </c>
      <c r="AF14" s="65" t="s">
        <v>1727</v>
      </c>
      <c r="AG14" s="65" t="s">
        <v>1728</v>
      </c>
      <c r="AH14" s="40"/>
    </row>
    <row r="15" spans="1:34" ht="33.75">
      <c r="A15" s="41" t="str">
        <f>L4</f>
        <v>M11_Binary_repository</v>
      </c>
      <c r="B15" s="65" t="s">
        <v>464</v>
      </c>
      <c r="C15" s="65" t="s">
        <v>1729</v>
      </c>
      <c r="D15" s="64" t="s">
        <v>1730</v>
      </c>
      <c r="E15" s="40"/>
      <c r="F15" s="64" t="s">
        <v>1731</v>
      </c>
      <c r="G15" s="40"/>
      <c r="H15" s="65" t="s">
        <v>1732</v>
      </c>
      <c r="I15" s="64" t="s">
        <v>1733</v>
      </c>
      <c r="J15" s="64" t="s">
        <v>1734</v>
      </c>
      <c r="K15" s="65" t="s">
        <v>464</v>
      </c>
      <c r="L15" s="40"/>
      <c r="M15" s="64" t="s">
        <v>61</v>
      </c>
      <c r="N15" s="66" t="s">
        <v>464</v>
      </c>
      <c r="O15" s="40"/>
      <c r="P15" s="64" t="s">
        <v>1735</v>
      </c>
      <c r="Q15" s="65"/>
      <c r="R15" s="65" t="s">
        <v>1736</v>
      </c>
      <c r="S15" s="65" t="s">
        <v>1737</v>
      </c>
      <c r="T15" s="65" t="s">
        <v>1738</v>
      </c>
      <c r="U15" s="65" t="s">
        <v>1739</v>
      </c>
      <c r="V15" s="40" t="s">
        <v>1740</v>
      </c>
      <c r="W15" s="64" t="s">
        <v>1741</v>
      </c>
      <c r="X15" s="40"/>
      <c r="Y15" s="40"/>
      <c r="Z15" s="64" t="s">
        <v>1742</v>
      </c>
      <c r="AA15" s="40"/>
      <c r="AB15" s="64" t="s">
        <v>1524</v>
      </c>
      <c r="AC15" s="66" t="s">
        <v>1743</v>
      </c>
      <c r="AD15" s="40"/>
      <c r="AE15" s="42" t="s">
        <v>1744</v>
      </c>
      <c r="AF15" s="65" t="s">
        <v>1745</v>
      </c>
      <c r="AG15" s="65" t="s">
        <v>1746</v>
      </c>
      <c r="AH15" s="40"/>
    </row>
    <row r="16" spans="1:34" ht="33.75">
      <c r="A16" s="41" t="str">
        <f>M4</f>
        <v>M12_Build_package</v>
      </c>
      <c r="B16" s="67"/>
      <c r="C16" s="65" t="s">
        <v>1747</v>
      </c>
      <c r="D16" s="64" t="s">
        <v>460</v>
      </c>
      <c r="E16" s="40"/>
      <c r="F16" s="64" t="s">
        <v>1748</v>
      </c>
      <c r="G16" s="40"/>
      <c r="H16" s="65" t="s">
        <v>1602</v>
      </c>
      <c r="I16" s="64" t="s">
        <v>1749</v>
      </c>
      <c r="J16" s="64" t="s">
        <v>1750</v>
      </c>
      <c r="K16" s="40"/>
      <c r="L16" s="40"/>
      <c r="M16" s="65" t="s">
        <v>464</v>
      </c>
      <c r="N16" s="68"/>
      <c r="O16" s="40"/>
      <c r="P16" s="64" t="s">
        <v>1751</v>
      </c>
      <c r="Q16" s="65"/>
      <c r="R16" s="65" t="s">
        <v>1752</v>
      </c>
      <c r="S16" s="65" t="s">
        <v>1753</v>
      </c>
      <c r="T16" s="65" t="s">
        <v>1754</v>
      </c>
      <c r="U16" s="65" t="s">
        <v>1755</v>
      </c>
      <c r="V16" s="65" t="s">
        <v>1756</v>
      </c>
      <c r="W16" s="64" t="s">
        <v>1757</v>
      </c>
      <c r="X16" s="40"/>
      <c r="Y16" s="40"/>
      <c r="Z16" s="64" t="s">
        <v>1758</v>
      </c>
      <c r="AA16" s="40"/>
      <c r="AB16" s="64" t="s">
        <v>1548</v>
      </c>
      <c r="AC16" s="65" t="s">
        <v>1759</v>
      </c>
      <c r="AD16" s="40"/>
      <c r="AE16" s="42" t="s">
        <v>1760</v>
      </c>
      <c r="AF16" s="65" t="s">
        <v>1761</v>
      </c>
      <c r="AG16" s="65" t="s">
        <v>1762</v>
      </c>
      <c r="AH16" s="40"/>
    </row>
    <row r="17" spans="1:34" ht="33.75">
      <c r="A17" s="41" t="str">
        <f>N4</f>
        <v>I13_Datavisualization</v>
      </c>
      <c r="B17" s="67"/>
      <c r="C17" s="65" t="s">
        <v>1763</v>
      </c>
      <c r="D17" s="64" t="s">
        <v>459</v>
      </c>
      <c r="E17" s="40"/>
      <c r="F17" s="64" t="s">
        <v>1764</v>
      </c>
      <c r="G17" s="40"/>
      <c r="H17" s="65" t="s">
        <v>61</v>
      </c>
      <c r="I17" s="64" t="s">
        <v>1750</v>
      </c>
      <c r="J17" s="64" t="s">
        <v>1765</v>
      </c>
      <c r="K17" s="40"/>
      <c r="L17" s="40"/>
      <c r="M17" s="40"/>
      <c r="N17" s="69"/>
      <c r="O17" s="40"/>
      <c r="P17" s="64" t="s">
        <v>1766</v>
      </c>
      <c r="Q17" s="65"/>
      <c r="R17" s="65" t="s">
        <v>1767</v>
      </c>
      <c r="S17" s="65" t="s">
        <v>1768</v>
      </c>
      <c r="T17" s="65" t="s">
        <v>1769</v>
      </c>
      <c r="U17" s="65" t="s">
        <v>1770</v>
      </c>
      <c r="V17" s="65" t="s">
        <v>460</v>
      </c>
      <c r="W17" s="64" t="s">
        <v>1771</v>
      </c>
      <c r="X17" s="40"/>
      <c r="Y17" s="40"/>
      <c r="Z17" s="64" t="s">
        <v>1741</v>
      </c>
      <c r="AA17" s="40"/>
      <c r="AB17" s="64" t="s">
        <v>1575</v>
      </c>
      <c r="AC17" s="66" t="s">
        <v>1772</v>
      </c>
      <c r="AD17" s="40"/>
      <c r="AE17" s="42" t="s">
        <v>1773</v>
      </c>
      <c r="AF17" s="65" t="s">
        <v>1774</v>
      </c>
      <c r="AG17" s="65" t="s">
        <v>1775</v>
      </c>
      <c r="AH17" s="40"/>
    </row>
    <row r="18" spans="1:34" ht="33.75">
      <c r="A18" s="41" t="str">
        <f>O4</f>
        <v>I14_Release_mgmt</v>
      </c>
      <c r="B18" s="67"/>
      <c r="C18" s="65" t="s">
        <v>1776</v>
      </c>
      <c r="D18" s="64" t="s">
        <v>462</v>
      </c>
      <c r="E18" s="40"/>
      <c r="F18" s="64" t="s">
        <v>1777</v>
      </c>
      <c r="G18" s="40"/>
      <c r="H18" s="65" t="s">
        <v>464</v>
      </c>
      <c r="I18" s="64" t="s">
        <v>1778</v>
      </c>
      <c r="J18" s="64" t="s">
        <v>1779</v>
      </c>
      <c r="K18" s="40"/>
      <c r="L18" s="40"/>
      <c r="M18" s="40"/>
      <c r="N18" s="40"/>
      <c r="O18" s="40"/>
      <c r="P18" s="64" t="s">
        <v>1780</v>
      </c>
      <c r="Q18" s="65"/>
      <c r="R18" s="65" t="s">
        <v>1781</v>
      </c>
      <c r="S18" s="65" t="s">
        <v>1782</v>
      </c>
      <c r="T18" s="65" t="s">
        <v>1783</v>
      </c>
      <c r="U18" s="65" t="s">
        <v>1784</v>
      </c>
      <c r="V18" s="65" t="s">
        <v>462</v>
      </c>
      <c r="W18" s="64" t="s">
        <v>1602</v>
      </c>
      <c r="X18" s="40"/>
      <c r="Y18" s="40"/>
      <c r="Z18" s="64" t="s">
        <v>1657</v>
      </c>
      <c r="AA18" s="40"/>
      <c r="AB18" s="64" t="s">
        <v>1601</v>
      </c>
      <c r="AC18" s="65" t="s">
        <v>1785</v>
      </c>
      <c r="AD18" s="40"/>
      <c r="AE18" s="42" t="s">
        <v>1786</v>
      </c>
      <c r="AF18" s="65" t="s">
        <v>1787</v>
      </c>
      <c r="AG18" s="65" t="s">
        <v>1788</v>
      </c>
      <c r="AH18" s="40"/>
    </row>
    <row r="19" spans="1:34" ht="33.75">
      <c r="A19" s="41" t="str">
        <f>P4</f>
        <v>M15_Monitoring</v>
      </c>
      <c r="B19" s="67"/>
      <c r="C19" s="65" t="s">
        <v>1789</v>
      </c>
      <c r="D19" s="64" t="s">
        <v>463</v>
      </c>
      <c r="E19" s="40"/>
      <c r="F19" s="64" t="s">
        <v>1790</v>
      </c>
      <c r="G19" s="40"/>
      <c r="H19" s="40"/>
      <c r="I19" s="64" t="s">
        <v>1659</v>
      </c>
      <c r="J19" s="64" t="s">
        <v>1791</v>
      </c>
      <c r="K19" s="40"/>
      <c r="L19" s="40"/>
      <c r="M19" s="40"/>
      <c r="N19" s="40"/>
      <c r="O19" s="40"/>
      <c r="P19" s="64" t="s">
        <v>1792</v>
      </c>
      <c r="Q19" s="65"/>
      <c r="R19" s="65" t="s">
        <v>1793</v>
      </c>
      <c r="S19" s="65" t="s">
        <v>1794</v>
      </c>
      <c r="T19" s="65" t="s">
        <v>1795</v>
      </c>
      <c r="U19" s="65" t="s">
        <v>1796</v>
      </c>
      <c r="V19" s="65" t="s">
        <v>1797</v>
      </c>
      <c r="W19" s="65" t="s">
        <v>61</v>
      </c>
      <c r="X19" s="40"/>
      <c r="Y19" s="40"/>
      <c r="Z19" s="64" t="s">
        <v>1602</v>
      </c>
      <c r="AA19" s="40"/>
      <c r="AB19" s="64" t="s">
        <v>1525</v>
      </c>
      <c r="AC19" s="66" t="s">
        <v>1798</v>
      </c>
      <c r="AD19" s="40"/>
      <c r="AE19" s="42" t="s">
        <v>1799</v>
      </c>
      <c r="AF19" s="65" t="s">
        <v>1800</v>
      </c>
      <c r="AG19" s="65" t="s">
        <v>1801</v>
      </c>
      <c r="AH19" s="40"/>
    </row>
    <row r="20" spans="1:34" ht="33.75">
      <c r="A20" s="41" t="str">
        <f>Q4</f>
        <v>I16_Placeholder</v>
      </c>
      <c r="B20" s="67"/>
      <c r="C20" s="65" t="s">
        <v>1802</v>
      </c>
      <c r="D20" s="64" t="s">
        <v>1657</v>
      </c>
      <c r="E20" s="40"/>
      <c r="F20" s="65" t="s">
        <v>1803</v>
      </c>
      <c r="G20" s="40"/>
      <c r="H20" s="40"/>
      <c r="I20" s="64" t="s">
        <v>1804</v>
      </c>
      <c r="J20" s="64" t="s">
        <v>1805</v>
      </c>
      <c r="K20" s="40"/>
      <c r="L20" s="40"/>
      <c r="M20" s="40"/>
      <c r="N20" s="40"/>
      <c r="O20" s="40"/>
      <c r="P20" s="65" t="s">
        <v>1806</v>
      </c>
      <c r="Q20" s="65"/>
      <c r="R20" s="65" t="s">
        <v>1807</v>
      </c>
      <c r="S20" s="65" t="s">
        <v>1808</v>
      </c>
      <c r="T20" s="65" t="s">
        <v>1809</v>
      </c>
      <c r="U20" s="65" t="s">
        <v>1810</v>
      </c>
      <c r="V20" s="65" t="s">
        <v>1811</v>
      </c>
      <c r="W20" s="65" t="s">
        <v>464</v>
      </c>
      <c r="X20" s="40"/>
      <c r="Y20" s="40"/>
      <c r="Z20" s="64" t="s">
        <v>61</v>
      </c>
      <c r="AA20" s="40"/>
      <c r="AB20" s="64" t="s">
        <v>1549</v>
      </c>
      <c r="AC20" s="65" t="s">
        <v>1797</v>
      </c>
      <c r="AD20" s="40"/>
      <c r="AE20" s="42" t="s">
        <v>1812</v>
      </c>
      <c r="AF20" s="65" t="s">
        <v>1813</v>
      </c>
      <c r="AG20" s="65" t="s">
        <v>1602</v>
      </c>
      <c r="AH20" s="40"/>
    </row>
    <row r="21" spans="1:34" ht="33.75">
      <c r="A21" s="41" t="str">
        <f>R4</f>
        <v>I17_Testauto_functional</v>
      </c>
      <c r="B21" s="67"/>
      <c r="C21" s="65" t="s">
        <v>1814</v>
      </c>
      <c r="D21" s="64" t="s">
        <v>1815</v>
      </c>
      <c r="E21" s="40"/>
      <c r="F21" s="65" t="s">
        <v>1816</v>
      </c>
      <c r="G21" s="40"/>
      <c r="H21" s="40"/>
      <c r="I21" s="64" t="s">
        <v>1817</v>
      </c>
      <c r="J21" s="64" t="s">
        <v>1270</v>
      </c>
      <c r="K21" s="40"/>
      <c r="L21" s="40"/>
      <c r="M21" s="40"/>
      <c r="N21" s="40"/>
      <c r="O21" s="40"/>
      <c r="P21" s="65" t="s">
        <v>1818</v>
      </c>
      <c r="Q21" s="65"/>
      <c r="R21" s="65" t="s">
        <v>1819</v>
      </c>
      <c r="S21" s="65" t="s">
        <v>1820</v>
      </c>
      <c r="T21" s="65" t="s">
        <v>1821</v>
      </c>
      <c r="U21" s="65" t="s">
        <v>1822</v>
      </c>
      <c r="V21" s="65" t="s">
        <v>1823</v>
      </c>
      <c r="W21" s="40"/>
      <c r="X21" s="40"/>
      <c r="Y21" s="40"/>
      <c r="Z21" s="65" t="s">
        <v>464</v>
      </c>
      <c r="AA21" s="40"/>
      <c r="AB21" s="64" t="s">
        <v>1526</v>
      </c>
      <c r="AC21" s="66" t="s">
        <v>1824</v>
      </c>
      <c r="AD21" s="40"/>
      <c r="AE21" s="42" t="s">
        <v>1825</v>
      </c>
      <c r="AF21" s="65" t="s">
        <v>1826</v>
      </c>
      <c r="AG21" s="65" t="s">
        <v>61</v>
      </c>
      <c r="AH21" s="40"/>
    </row>
    <row r="22" spans="1:34" ht="33.75">
      <c r="A22" s="41" t="str">
        <f>S4</f>
        <v>I18_Testauto_perf</v>
      </c>
      <c r="B22" s="67"/>
      <c r="C22" s="65" t="s">
        <v>1827</v>
      </c>
      <c r="D22" s="64" t="s">
        <v>1592</v>
      </c>
      <c r="E22" s="40"/>
      <c r="F22" s="65" t="s">
        <v>1602</v>
      </c>
      <c r="G22" s="40"/>
      <c r="H22" s="40"/>
      <c r="I22" s="65" t="s">
        <v>1828</v>
      </c>
      <c r="J22" s="64" t="s">
        <v>1829</v>
      </c>
      <c r="K22" s="40"/>
      <c r="L22" s="40"/>
      <c r="M22" s="40"/>
      <c r="N22" s="40"/>
      <c r="O22" s="40"/>
      <c r="P22" s="65" t="s">
        <v>1830</v>
      </c>
      <c r="Q22" s="65"/>
      <c r="R22" s="65" t="s">
        <v>1831</v>
      </c>
      <c r="S22" s="65" t="s">
        <v>1832</v>
      </c>
      <c r="T22" s="65" t="s">
        <v>1833</v>
      </c>
      <c r="U22" s="65" t="s">
        <v>1834</v>
      </c>
      <c r="V22" s="65" t="s">
        <v>1835</v>
      </c>
      <c r="W22" s="40"/>
      <c r="X22" s="40"/>
      <c r="Y22" s="40"/>
      <c r="Z22" s="40"/>
      <c r="AA22" s="40"/>
      <c r="AB22" s="64" t="s">
        <v>1550</v>
      </c>
      <c r="AC22" s="65" t="s">
        <v>1836</v>
      </c>
      <c r="AD22" s="40"/>
      <c r="AE22" s="42" t="s">
        <v>1837</v>
      </c>
      <c r="AF22" s="65" t="s">
        <v>1838</v>
      </c>
      <c r="AG22" s="65" t="s">
        <v>464</v>
      </c>
      <c r="AH22" s="40"/>
    </row>
    <row r="23" spans="1:34" ht="22.5">
      <c r="A23" s="41" t="str">
        <f>T4</f>
        <v>I19_Testauto_security</v>
      </c>
      <c r="B23" s="67"/>
      <c r="C23" s="64" t="s">
        <v>1055</v>
      </c>
      <c r="D23" s="65" t="s">
        <v>1602</v>
      </c>
      <c r="E23" s="40"/>
      <c r="F23" s="65" t="s">
        <v>61</v>
      </c>
      <c r="G23" s="40"/>
      <c r="H23" s="40"/>
      <c r="I23" s="65" t="s">
        <v>1839</v>
      </c>
      <c r="J23" s="65" t="s">
        <v>1840</v>
      </c>
      <c r="K23" s="40"/>
      <c r="L23" s="40"/>
      <c r="M23" s="40"/>
      <c r="N23" s="40"/>
      <c r="O23" s="40"/>
      <c r="P23" s="65" t="s">
        <v>1841</v>
      </c>
      <c r="Q23" s="65"/>
      <c r="R23" s="65" t="s">
        <v>1842</v>
      </c>
      <c r="S23" s="65" t="s">
        <v>1843</v>
      </c>
      <c r="T23" s="65" t="s">
        <v>1844</v>
      </c>
      <c r="U23" s="65" t="s">
        <v>1845</v>
      </c>
      <c r="V23" s="65" t="s">
        <v>1846</v>
      </c>
      <c r="W23" s="40"/>
      <c r="X23" s="40"/>
      <c r="Y23" s="40"/>
      <c r="Z23" s="40"/>
      <c r="AA23" s="40"/>
      <c r="AB23" s="64" t="s">
        <v>1577</v>
      </c>
      <c r="AC23" s="66" t="s">
        <v>1847</v>
      </c>
      <c r="AD23" s="40"/>
      <c r="AE23" s="42" t="s">
        <v>78</v>
      </c>
      <c r="AF23" s="65" t="s">
        <v>1848</v>
      </c>
      <c r="AG23" s="40"/>
      <c r="AH23" s="40"/>
    </row>
    <row r="24" spans="1:34" ht="22.5">
      <c r="A24" s="41" t="str">
        <f>U4</f>
        <v>I20_Testauto_UIUXmobile</v>
      </c>
      <c r="B24" s="67"/>
      <c r="C24" s="64" t="s">
        <v>1531</v>
      </c>
      <c r="D24" s="65" t="s">
        <v>61</v>
      </c>
      <c r="E24" s="40"/>
      <c r="F24" s="65" t="s">
        <v>464</v>
      </c>
      <c r="G24" s="40"/>
      <c r="H24" s="40"/>
      <c r="I24" s="65" t="s">
        <v>1849</v>
      </c>
      <c r="J24" s="65" t="s">
        <v>1850</v>
      </c>
      <c r="K24" s="40"/>
      <c r="L24" s="40"/>
      <c r="M24" s="40"/>
      <c r="N24" s="40"/>
      <c r="O24" s="40"/>
      <c r="P24" s="65" t="s">
        <v>1662</v>
      </c>
      <c r="Q24" s="65"/>
      <c r="R24" s="65" t="s">
        <v>1851</v>
      </c>
      <c r="S24" s="65" t="s">
        <v>1852</v>
      </c>
      <c r="T24" s="65" t="s">
        <v>1853</v>
      </c>
      <c r="U24" s="65" t="s">
        <v>1854</v>
      </c>
      <c r="V24" s="64" t="s">
        <v>1855</v>
      </c>
      <c r="W24" s="40"/>
      <c r="X24" s="40"/>
      <c r="Y24" s="40"/>
      <c r="Z24" s="40"/>
      <c r="AA24" s="40"/>
      <c r="AB24" s="64" t="s">
        <v>1603</v>
      </c>
      <c r="AC24" s="65" t="s">
        <v>1856</v>
      </c>
      <c r="AD24" s="40"/>
      <c r="AE24" s="42" t="s">
        <v>1136</v>
      </c>
      <c r="AF24" s="65" t="s">
        <v>1857</v>
      </c>
      <c r="AG24" s="40"/>
      <c r="AH24" s="40"/>
    </row>
    <row r="25" spans="1:34" ht="22.5">
      <c r="A25" s="41" t="str">
        <f>V4</f>
        <v>I21_Testdesign_data_TDDBDD</v>
      </c>
      <c r="B25" s="67"/>
      <c r="C25" s="64" t="s">
        <v>1558</v>
      </c>
      <c r="D25" s="65" t="s">
        <v>464</v>
      </c>
      <c r="E25" s="40"/>
      <c r="F25" s="40"/>
      <c r="G25" s="40"/>
      <c r="H25" s="40"/>
      <c r="I25" s="65" t="s">
        <v>1602</v>
      </c>
      <c r="J25" s="65" t="s">
        <v>1858</v>
      </c>
      <c r="K25" s="40"/>
      <c r="L25" s="40"/>
      <c r="M25" s="40"/>
      <c r="N25" s="40"/>
      <c r="O25" s="40"/>
      <c r="P25" s="65" t="s">
        <v>1682</v>
      </c>
      <c r="Q25" s="65"/>
      <c r="R25" s="65" t="s">
        <v>1859</v>
      </c>
      <c r="S25" s="65" t="s">
        <v>1860</v>
      </c>
      <c r="T25" s="65" t="s">
        <v>1861</v>
      </c>
      <c r="U25" s="65" t="s">
        <v>1862</v>
      </c>
      <c r="V25" s="64" t="s">
        <v>1863</v>
      </c>
      <c r="W25" s="40"/>
      <c r="X25" s="40"/>
      <c r="Y25" s="40"/>
      <c r="Z25" s="40"/>
      <c r="AA25" s="40"/>
      <c r="AB25" s="64" t="s">
        <v>1628</v>
      </c>
      <c r="AC25" s="66" t="s">
        <v>1864</v>
      </c>
      <c r="AD25" s="40"/>
      <c r="AE25" s="42" t="s">
        <v>39</v>
      </c>
      <c r="AF25" s="65" t="s">
        <v>1865</v>
      </c>
      <c r="AG25" s="40"/>
      <c r="AH25" s="40"/>
    </row>
    <row r="26" spans="1:34" ht="22.5">
      <c r="A26" s="41" t="str">
        <f>W4</f>
        <v>M22_Env_provision</v>
      </c>
      <c r="B26" s="67"/>
      <c r="C26" s="64" t="s">
        <v>1585</v>
      </c>
      <c r="D26" s="40"/>
      <c r="E26" s="40"/>
      <c r="F26" s="40"/>
      <c r="G26" s="40"/>
      <c r="H26" s="40"/>
      <c r="I26" s="65" t="s">
        <v>61</v>
      </c>
      <c r="J26" s="65" t="s">
        <v>1866</v>
      </c>
      <c r="K26" s="40"/>
      <c r="L26" s="40"/>
      <c r="M26" s="40"/>
      <c r="N26" s="40"/>
      <c r="O26" s="40"/>
      <c r="P26" s="65" t="s">
        <v>1021</v>
      </c>
      <c r="Q26" s="65"/>
      <c r="R26" s="65" t="s">
        <v>1867</v>
      </c>
      <c r="S26" s="65" t="s">
        <v>1868</v>
      </c>
      <c r="T26" s="65" t="s">
        <v>1869</v>
      </c>
      <c r="U26" s="65" t="s">
        <v>1870</v>
      </c>
      <c r="V26" s="64" t="s">
        <v>1871</v>
      </c>
      <c r="W26" s="40"/>
      <c r="X26" s="40"/>
      <c r="Y26" s="40"/>
      <c r="Z26" s="40"/>
      <c r="AA26" s="40"/>
      <c r="AB26" s="64" t="s">
        <v>1648</v>
      </c>
      <c r="AC26" s="65" t="s">
        <v>1872</v>
      </c>
      <c r="AD26" s="40"/>
      <c r="AE26" s="42" t="s">
        <v>1873</v>
      </c>
      <c r="AF26" s="65" t="s">
        <v>1874</v>
      </c>
      <c r="AG26" s="40"/>
      <c r="AH26" s="40"/>
    </row>
    <row r="27" spans="1:34" ht="33.75">
      <c r="A27" s="41" t="str">
        <f>X4</f>
        <v>M23_VM_VMclustering</v>
      </c>
      <c r="B27" s="67"/>
      <c r="C27" s="65" t="s">
        <v>1875</v>
      </c>
      <c r="D27" s="40"/>
      <c r="E27" s="40"/>
      <c r="F27" s="40"/>
      <c r="G27" s="40"/>
      <c r="H27" s="40"/>
      <c r="I27" s="65" t="s">
        <v>464</v>
      </c>
      <c r="J27" s="65" t="s">
        <v>1876</v>
      </c>
      <c r="K27" s="40"/>
      <c r="L27" s="40"/>
      <c r="M27" s="40"/>
      <c r="N27" s="40"/>
      <c r="O27" s="40"/>
      <c r="P27" s="65" t="s">
        <v>1877</v>
      </c>
      <c r="Q27" s="65"/>
      <c r="R27" s="65" t="s">
        <v>1878</v>
      </c>
      <c r="S27" s="65" t="s">
        <v>1879</v>
      </c>
      <c r="T27" s="65" t="s">
        <v>1880</v>
      </c>
      <c r="U27" s="65" t="s">
        <v>1881</v>
      </c>
      <c r="V27" s="65" t="s">
        <v>1602</v>
      </c>
      <c r="W27" s="40"/>
      <c r="X27" s="40"/>
      <c r="Y27" s="40"/>
      <c r="Z27" s="40"/>
      <c r="AA27" s="40"/>
      <c r="AB27" s="64" t="s">
        <v>1670</v>
      </c>
      <c r="AC27" s="65" t="s">
        <v>1882</v>
      </c>
      <c r="AD27" s="40"/>
      <c r="AE27" s="42" t="s">
        <v>1883</v>
      </c>
      <c r="AF27" s="65" t="s">
        <v>1884</v>
      </c>
      <c r="AG27" s="40"/>
      <c r="AH27" s="40"/>
    </row>
    <row r="28" spans="1:34">
      <c r="A28" s="41" t="str">
        <f>Y4</f>
        <v>M24_HCI</v>
      </c>
      <c r="B28" s="67"/>
      <c r="C28" s="65" t="s">
        <v>1885</v>
      </c>
      <c r="D28" s="40"/>
      <c r="E28" s="40"/>
      <c r="F28" s="40"/>
      <c r="G28" s="40"/>
      <c r="H28" s="40"/>
      <c r="I28" s="40"/>
      <c r="J28" s="65" t="s">
        <v>1839</v>
      </c>
      <c r="K28" s="40"/>
      <c r="L28" s="40"/>
      <c r="M28" s="40"/>
      <c r="N28" s="40"/>
      <c r="O28" s="40"/>
      <c r="P28" s="65" t="s">
        <v>1886</v>
      </c>
      <c r="Q28" s="65"/>
      <c r="R28" s="65" t="s">
        <v>1887</v>
      </c>
      <c r="S28" s="65" t="s">
        <v>1888</v>
      </c>
      <c r="T28" s="65" t="s">
        <v>1889</v>
      </c>
      <c r="U28" s="65" t="s">
        <v>1890</v>
      </c>
      <c r="V28" s="64" t="s">
        <v>61</v>
      </c>
      <c r="W28" s="40"/>
      <c r="X28" s="40"/>
      <c r="Y28" s="40"/>
      <c r="Z28" s="40"/>
      <c r="AA28" s="40"/>
      <c r="AB28" s="64" t="s">
        <v>1688</v>
      </c>
      <c r="AC28" s="65" t="s">
        <v>1891</v>
      </c>
      <c r="AD28" s="40"/>
      <c r="AE28" s="42" t="s">
        <v>1892</v>
      </c>
      <c r="AF28" s="65" t="s">
        <v>1893</v>
      </c>
      <c r="AG28" s="40"/>
      <c r="AH28" s="40"/>
    </row>
    <row r="29" spans="1:34" ht="22.5">
      <c r="A29" s="41" t="str">
        <f>Z4</f>
        <v>M25_Cloud_mgmt</v>
      </c>
      <c r="B29" s="67"/>
      <c r="C29" s="65" t="s">
        <v>1894</v>
      </c>
      <c r="D29" s="40"/>
      <c r="E29" s="40"/>
      <c r="F29" s="40"/>
      <c r="G29" s="40"/>
      <c r="H29" s="40"/>
      <c r="I29" s="40"/>
      <c r="J29" s="65" t="s">
        <v>1592</v>
      </c>
      <c r="K29" s="40"/>
      <c r="L29" s="40"/>
      <c r="M29" s="40"/>
      <c r="N29" s="40"/>
      <c r="O29" s="40"/>
      <c r="P29" s="65" t="s">
        <v>1895</v>
      </c>
      <c r="Q29" s="65"/>
      <c r="R29" s="65" t="s">
        <v>1896</v>
      </c>
      <c r="S29" s="65" t="s">
        <v>1897</v>
      </c>
      <c r="T29" s="65" t="s">
        <v>1898</v>
      </c>
      <c r="U29" s="65" t="s">
        <v>1899</v>
      </c>
      <c r="V29" s="65" t="s">
        <v>464</v>
      </c>
      <c r="W29" s="40"/>
      <c r="X29" s="40"/>
      <c r="Y29" s="40"/>
      <c r="Z29" s="40"/>
      <c r="AA29" s="40"/>
      <c r="AB29" s="64" t="s">
        <v>1706</v>
      </c>
      <c r="AC29" s="65" t="s">
        <v>1602</v>
      </c>
      <c r="AD29" s="40"/>
      <c r="AE29" s="42" t="s">
        <v>1900</v>
      </c>
      <c r="AF29" s="65" t="s">
        <v>1901</v>
      </c>
      <c r="AG29" s="40"/>
      <c r="AH29" s="40"/>
    </row>
    <row r="30" spans="1:34" ht="33.75">
      <c r="A30" s="41" t="str">
        <f>AA4</f>
        <v>M26_Container_clustering</v>
      </c>
      <c r="B30" s="67"/>
      <c r="C30" s="65" t="s">
        <v>1902</v>
      </c>
      <c r="D30" s="40"/>
      <c r="E30" s="40"/>
      <c r="F30" s="40"/>
      <c r="G30" s="40"/>
      <c r="H30" s="40"/>
      <c r="I30" s="40"/>
      <c r="J30" s="65" t="s">
        <v>1903</v>
      </c>
      <c r="K30" s="40"/>
      <c r="L30" s="40"/>
      <c r="M30" s="40"/>
      <c r="N30" s="40"/>
      <c r="O30" s="40"/>
      <c r="P30" s="65" t="s">
        <v>1904</v>
      </c>
      <c r="Q30" s="65"/>
      <c r="R30" s="65" t="s">
        <v>1905</v>
      </c>
      <c r="S30" s="65" t="s">
        <v>1906</v>
      </c>
      <c r="T30" s="65" t="s">
        <v>1907</v>
      </c>
      <c r="U30" s="65" t="s">
        <v>1908</v>
      </c>
      <c r="V30" s="40"/>
      <c r="W30" s="40"/>
      <c r="X30" s="40"/>
      <c r="Y30" s="40"/>
      <c r="Z30" s="40"/>
      <c r="AA30" s="40"/>
      <c r="AB30" s="64" t="s">
        <v>1724</v>
      </c>
      <c r="AC30" s="65" t="s">
        <v>463</v>
      </c>
      <c r="AD30" s="40"/>
      <c r="AE30" s="42" t="s">
        <v>1909</v>
      </c>
      <c r="AF30" s="65" t="s">
        <v>1602</v>
      </c>
      <c r="AG30" s="40"/>
      <c r="AH30" s="40"/>
    </row>
    <row r="31" spans="1:34" ht="22.5">
      <c r="A31" s="41" t="str">
        <f>AB4</f>
        <v>M27_Infra_consolidated</v>
      </c>
      <c r="B31" s="67"/>
      <c r="C31" s="65" t="s">
        <v>1657</v>
      </c>
      <c r="D31" s="40"/>
      <c r="E31" s="40"/>
      <c r="F31" s="40"/>
      <c r="G31" s="40"/>
      <c r="H31" s="40"/>
      <c r="I31" s="40"/>
      <c r="J31" s="65" t="s">
        <v>1602</v>
      </c>
      <c r="K31" s="40"/>
      <c r="L31" s="40"/>
      <c r="M31" s="40"/>
      <c r="N31" s="40"/>
      <c r="O31" s="40"/>
      <c r="P31" s="65" t="s">
        <v>1910</v>
      </c>
      <c r="Q31" s="65"/>
      <c r="R31" s="65" t="s">
        <v>1911</v>
      </c>
      <c r="S31" s="65" t="s">
        <v>1912</v>
      </c>
      <c r="T31" s="65" t="s">
        <v>1913</v>
      </c>
      <c r="U31" s="65" t="s">
        <v>1914</v>
      </c>
      <c r="V31" s="40"/>
      <c r="W31" s="40"/>
      <c r="X31" s="40"/>
      <c r="Y31" s="40"/>
      <c r="Z31" s="40"/>
      <c r="AA31" s="40"/>
      <c r="AB31" s="64" t="s">
        <v>1742</v>
      </c>
      <c r="AC31" s="65" t="s">
        <v>61</v>
      </c>
      <c r="AD31" s="40"/>
      <c r="AE31" s="42" t="s">
        <v>1915</v>
      </c>
      <c r="AF31" s="65" t="s">
        <v>1916</v>
      </c>
      <c r="AG31" s="40"/>
      <c r="AH31" s="40"/>
    </row>
    <row r="32" spans="1:34" ht="22.5">
      <c r="A32" s="41" t="str">
        <f>AC4</f>
        <v>I28_Service_workflow</v>
      </c>
      <c r="B32" s="67"/>
      <c r="C32" s="65" t="s">
        <v>1917</v>
      </c>
      <c r="D32" s="40"/>
      <c r="E32" s="40"/>
      <c r="F32" s="40"/>
      <c r="G32" s="40"/>
      <c r="H32" s="40"/>
      <c r="I32" s="40"/>
      <c r="J32" s="65" t="s">
        <v>61</v>
      </c>
      <c r="K32" s="40"/>
      <c r="L32" s="40"/>
      <c r="M32" s="40"/>
      <c r="N32" s="40"/>
      <c r="O32" s="40"/>
      <c r="P32" s="65" t="s">
        <v>1918</v>
      </c>
      <c r="Q32" s="65"/>
      <c r="R32" s="65" t="s">
        <v>1919</v>
      </c>
      <c r="S32" s="65" t="s">
        <v>1920</v>
      </c>
      <c r="T32" s="65" t="s">
        <v>1921</v>
      </c>
      <c r="U32" s="65" t="s">
        <v>1922</v>
      </c>
      <c r="V32" s="40"/>
      <c r="W32" s="40"/>
      <c r="X32" s="40"/>
      <c r="Y32" s="40"/>
      <c r="Z32" s="40"/>
      <c r="AA32" s="40"/>
      <c r="AB32" s="64" t="s">
        <v>1758</v>
      </c>
      <c r="AC32" s="65" t="s">
        <v>464</v>
      </c>
      <c r="AD32" s="40"/>
      <c r="AE32" s="42" t="s">
        <v>1923</v>
      </c>
      <c r="AF32" s="65" t="s">
        <v>1924</v>
      </c>
      <c r="AG32" s="40"/>
      <c r="AH32" s="40"/>
    </row>
    <row r="33" spans="1:34" ht="22.5">
      <c r="A33" s="41" t="str">
        <f>AD4</f>
        <v>M29_RPA</v>
      </c>
      <c r="B33" s="67"/>
      <c r="C33" s="65" t="s">
        <v>1925</v>
      </c>
      <c r="D33" s="40"/>
      <c r="E33" s="40"/>
      <c r="F33" s="40"/>
      <c r="G33" s="40"/>
      <c r="H33" s="40"/>
      <c r="I33" s="40"/>
      <c r="J33" s="65" t="s">
        <v>464</v>
      </c>
      <c r="K33" s="40"/>
      <c r="L33" s="40"/>
      <c r="M33" s="40"/>
      <c r="N33" s="40"/>
      <c r="O33" s="40"/>
      <c r="P33" s="65" t="s">
        <v>1926</v>
      </c>
      <c r="Q33" s="65"/>
      <c r="R33" s="65" t="s">
        <v>1854</v>
      </c>
      <c r="S33" s="65" t="s">
        <v>1927</v>
      </c>
      <c r="T33" s="65" t="s">
        <v>921</v>
      </c>
      <c r="U33" s="65" t="s">
        <v>1928</v>
      </c>
      <c r="V33" s="40"/>
      <c r="W33" s="40"/>
      <c r="X33" s="40"/>
      <c r="Y33" s="40"/>
      <c r="Z33" s="40"/>
      <c r="AA33" s="40"/>
      <c r="AB33" s="64" t="s">
        <v>1527</v>
      </c>
      <c r="AC33" s="40"/>
      <c r="AD33" s="40"/>
      <c r="AE33" s="42" t="s">
        <v>1929</v>
      </c>
      <c r="AF33" s="65" t="s">
        <v>1930</v>
      </c>
      <c r="AG33" s="40"/>
      <c r="AH33" s="40"/>
    </row>
    <row r="34" spans="1:34" ht="22.5">
      <c r="A34" s="41" t="str">
        <f>AE4</f>
        <v>M30_Dbdesign_mgmt</v>
      </c>
      <c r="B34" s="67"/>
      <c r="C34" s="65" t="s">
        <v>1714</v>
      </c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65" t="s">
        <v>1931</v>
      </c>
      <c r="Q34" s="64"/>
      <c r="R34" s="65" t="s">
        <v>1932</v>
      </c>
      <c r="S34" s="65" t="s">
        <v>1933</v>
      </c>
      <c r="T34" s="65" t="s">
        <v>1934</v>
      </c>
      <c r="U34" s="65" t="s">
        <v>1935</v>
      </c>
      <c r="V34" s="40"/>
      <c r="W34" s="40"/>
      <c r="X34" s="40"/>
      <c r="Y34" s="40"/>
      <c r="Z34" s="40"/>
      <c r="AA34" s="40"/>
      <c r="AB34" s="64" t="s">
        <v>1551</v>
      </c>
      <c r="AC34" s="40"/>
      <c r="AD34" s="40"/>
      <c r="AE34" s="42" t="s">
        <v>1936</v>
      </c>
      <c r="AF34" s="65" t="s">
        <v>1937</v>
      </c>
      <c r="AG34" s="40"/>
      <c r="AH34" s="40"/>
    </row>
    <row r="35" spans="1:34" ht="33.75">
      <c r="A35" s="41" t="str">
        <f>AF4</f>
        <v>M31_AIOps</v>
      </c>
      <c r="B35" s="67"/>
      <c r="C35" s="65" t="s">
        <v>1938</v>
      </c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65" t="s">
        <v>1939</v>
      </c>
      <c r="Q35" s="64"/>
      <c r="R35" s="65" t="s">
        <v>1940</v>
      </c>
      <c r="S35" s="65" t="s">
        <v>1602</v>
      </c>
      <c r="T35" s="65" t="s">
        <v>1941</v>
      </c>
      <c r="U35" s="65" t="s">
        <v>1602</v>
      </c>
      <c r="V35" s="40"/>
      <c r="W35" s="40"/>
      <c r="X35" s="40"/>
      <c r="Y35" s="40"/>
      <c r="Z35" s="40"/>
      <c r="AA35" s="40"/>
      <c r="AB35" s="64" t="s">
        <v>1942</v>
      </c>
      <c r="AC35" s="40"/>
      <c r="AD35" s="40"/>
      <c r="AE35" s="42" t="s">
        <v>1943</v>
      </c>
      <c r="AF35" s="65" t="s">
        <v>61</v>
      </c>
      <c r="AG35" s="40"/>
      <c r="AH35" s="40"/>
    </row>
    <row r="36" spans="1:34">
      <c r="A36" s="41" t="str">
        <f>AG4</f>
        <v>M32_MLOps</v>
      </c>
      <c r="B36" s="67"/>
      <c r="C36" s="65" t="s">
        <v>1944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65" t="s">
        <v>1945</v>
      </c>
      <c r="Q36" s="64"/>
      <c r="R36" s="65" t="s">
        <v>1796</v>
      </c>
      <c r="S36" s="65" t="s">
        <v>61</v>
      </c>
      <c r="T36" s="65" t="s">
        <v>1946</v>
      </c>
      <c r="U36" s="65" t="s">
        <v>61</v>
      </c>
      <c r="V36" s="40"/>
      <c r="W36" s="40"/>
      <c r="X36" s="40"/>
      <c r="Y36" s="40"/>
      <c r="Z36" s="40"/>
      <c r="AA36" s="40"/>
      <c r="AB36" s="64" t="s">
        <v>1604</v>
      </c>
      <c r="AC36" s="40"/>
      <c r="AD36" s="40"/>
      <c r="AE36" s="42" t="s">
        <v>79</v>
      </c>
      <c r="AF36" s="65" t="s">
        <v>464</v>
      </c>
      <c r="AG36" s="40"/>
      <c r="AH36" s="40"/>
    </row>
    <row r="37" spans="1:34" ht="22.5">
      <c r="A37" s="41" t="str">
        <f>AH4</f>
        <v>M33_Placeholder</v>
      </c>
      <c r="B37" s="67"/>
      <c r="C37" s="65" t="s">
        <v>1947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65" t="s">
        <v>1948</v>
      </c>
      <c r="Q37" s="64"/>
      <c r="R37" s="65" t="s">
        <v>1949</v>
      </c>
      <c r="S37" s="65" t="s">
        <v>464</v>
      </c>
      <c r="T37" s="65" t="s">
        <v>1950</v>
      </c>
      <c r="U37" s="65" t="s">
        <v>464</v>
      </c>
      <c r="V37" s="40"/>
      <c r="W37" s="40"/>
      <c r="X37" s="40"/>
      <c r="Y37" s="40"/>
      <c r="Z37" s="40"/>
      <c r="AA37" s="40"/>
      <c r="AB37" s="64" t="s">
        <v>1629</v>
      </c>
      <c r="AC37" s="40"/>
      <c r="AD37" s="40"/>
      <c r="AE37" s="42" t="s">
        <v>1951</v>
      </c>
      <c r="AF37" s="40"/>
      <c r="AG37" s="40"/>
      <c r="AH37" s="40"/>
    </row>
    <row r="38" spans="1:34" ht="22.5">
      <c r="B38" s="67"/>
      <c r="C38" s="65" t="s">
        <v>1602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65" t="s">
        <v>1952</v>
      </c>
      <c r="Q38" s="64"/>
      <c r="R38" s="65" t="s">
        <v>1855</v>
      </c>
      <c r="S38" s="40"/>
      <c r="T38" s="65" t="s">
        <v>1953</v>
      </c>
      <c r="U38" s="40"/>
      <c r="V38" s="40"/>
      <c r="W38" s="40"/>
      <c r="X38" s="40"/>
      <c r="Y38" s="40"/>
      <c r="Z38" s="40"/>
      <c r="AA38" s="40"/>
      <c r="AB38" s="64" t="s">
        <v>1954</v>
      </c>
      <c r="AC38" s="40"/>
      <c r="AD38" s="40"/>
      <c r="AE38" s="42" t="s">
        <v>1955</v>
      </c>
      <c r="AF38" s="40"/>
      <c r="AG38" s="40"/>
      <c r="AH38" s="40"/>
    </row>
    <row r="39" spans="1:34" ht="22.5">
      <c r="B39" s="67"/>
      <c r="C39" s="65" t="s">
        <v>61</v>
      </c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65" t="s">
        <v>1602</v>
      </c>
      <c r="Q39" s="64"/>
      <c r="R39" s="65" t="s">
        <v>1956</v>
      </c>
      <c r="S39" s="40"/>
      <c r="T39" s="65" t="s">
        <v>1957</v>
      </c>
      <c r="U39" s="40"/>
      <c r="V39" s="40"/>
      <c r="W39" s="40"/>
      <c r="X39" s="40"/>
      <c r="Y39" s="40"/>
      <c r="Z39" s="40"/>
      <c r="AA39" s="40"/>
      <c r="AB39" s="64" t="s">
        <v>1958</v>
      </c>
      <c r="AC39" s="40"/>
      <c r="AD39" s="40"/>
      <c r="AE39" s="42" t="s">
        <v>1959</v>
      </c>
      <c r="AF39" s="40"/>
      <c r="AG39" s="40"/>
      <c r="AH39" s="40"/>
    </row>
    <row r="40" spans="1:34" ht="22.5">
      <c r="B40" s="70"/>
      <c r="C40" s="65" t="s">
        <v>464</v>
      </c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65" t="s">
        <v>61</v>
      </c>
      <c r="Q40" s="65"/>
      <c r="R40" s="64" t="s">
        <v>1960</v>
      </c>
      <c r="S40" s="42"/>
      <c r="T40" s="65" t="s">
        <v>1961</v>
      </c>
      <c r="U40" s="42"/>
      <c r="V40" s="42"/>
      <c r="W40" s="42"/>
      <c r="X40" s="42"/>
      <c r="Y40" s="42"/>
      <c r="Z40" s="42"/>
      <c r="AA40" s="42"/>
      <c r="AB40" s="64" t="s">
        <v>1771</v>
      </c>
      <c r="AC40" s="42"/>
      <c r="AD40" s="42"/>
      <c r="AE40" s="42" t="s">
        <v>1962</v>
      </c>
      <c r="AF40" s="42"/>
      <c r="AG40" s="42"/>
      <c r="AH40" s="42"/>
    </row>
    <row r="41" spans="1:34" ht="22.5">
      <c r="A41" s="40"/>
      <c r="B41" s="70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65" t="s">
        <v>464</v>
      </c>
      <c r="Q41" s="65"/>
      <c r="R41" s="64" t="s">
        <v>1963</v>
      </c>
      <c r="S41" s="42"/>
      <c r="T41" s="65" t="s">
        <v>1964</v>
      </c>
      <c r="U41" s="42"/>
      <c r="V41" s="42"/>
      <c r="W41" s="42"/>
      <c r="X41" s="42"/>
      <c r="Y41" s="42"/>
      <c r="Z41" s="42"/>
      <c r="AA41" s="42"/>
      <c r="AB41" s="65" t="s">
        <v>1602</v>
      </c>
      <c r="AC41" s="42"/>
      <c r="AD41" s="42"/>
      <c r="AE41" s="42" t="s">
        <v>1793</v>
      </c>
      <c r="AF41" s="42"/>
      <c r="AG41" s="42"/>
      <c r="AH41" s="42"/>
    </row>
    <row r="42" spans="1:34">
      <c r="A42" s="40"/>
      <c r="B42" s="70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65"/>
      <c r="R42" s="64" t="s">
        <v>1965</v>
      </c>
      <c r="S42" s="42"/>
      <c r="T42" s="65" t="s">
        <v>1966</v>
      </c>
      <c r="U42" s="42"/>
      <c r="V42" s="42"/>
      <c r="W42" s="42"/>
      <c r="X42" s="42"/>
      <c r="Y42" s="42"/>
      <c r="Z42" s="42"/>
      <c r="AA42" s="42"/>
      <c r="AB42" s="65" t="s">
        <v>61</v>
      </c>
      <c r="AC42" s="42"/>
      <c r="AD42" s="42"/>
      <c r="AE42" s="42" t="s">
        <v>87</v>
      </c>
      <c r="AF42" s="42"/>
      <c r="AG42" s="42"/>
      <c r="AH42" s="42"/>
    </row>
    <row r="43" spans="1:34">
      <c r="A43" s="40"/>
      <c r="B43" s="70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65"/>
      <c r="R43" s="64" t="s">
        <v>1967</v>
      </c>
      <c r="S43" s="42"/>
      <c r="T43" s="65" t="s">
        <v>1968</v>
      </c>
      <c r="U43" s="42"/>
      <c r="V43" s="42"/>
      <c r="W43" s="42"/>
      <c r="X43" s="42"/>
      <c r="Y43" s="42"/>
      <c r="Z43" s="42"/>
      <c r="AA43" s="42"/>
      <c r="AB43" s="65" t="s">
        <v>464</v>
      </c>
      <c r="AC43" s="42"/>
      <c r="AD43" s="42"/>
      <c r="AE43" s="42" t="s">
        <v>1736</v>
      </c>
      <c r="AF43" s="42"/>
      <c r="AG43" s="42"/>
      <c r="AH43" s="42"/>
    </row>
    <row r="44" spans="1:34" ht="22.5">
      <c r="A44" s="40"/>
      <c r="B44" s="70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65"/>
      <c r="R44" s="65" t="s">
        <v>1969</v>
      </c>
      <c r="S44" s="42"/>
      <c r="T44" s="65" t="s">
        <v>1970</v>
      </c>
      <c r="U44" s="42"/>
      <c r="V44" s="42"/>
      <c r="W44" s="42"/>
      <c r="X44" s="42"/>
      <c r="Y44" s="42"/>
      <c r="Z44" s="42"/>
      <c r="AA44" s="42"/>
      <c r="AB44" s="65"/>
      <c r="AC44" s="42"/>
      <c r="AD44" s="42"/>
      <c r="AE44" s="42" t="s">
        <v>1657</v>
      </c>
      <c r="AF44" s="42"/>
      <c r="AG44" s="42"/>
      <c r="AH44" s="42"/>
    </row>
    <row r="45" spans="1:34">
      <c r="A45" s="40"/>
      <c r="B45" s="70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65"/>
      <c r="R45" s="65" t="s">
        <v>1971</v>
      </c>
      <c r="S45" s="42"/>
      <c r="T45" s="65" t="s">
        <v>1972</v>
      </c>
      <c r="U45" s="42"/>
      <c r="V45" s="42"/>
      <c r="W45" s="42"/>
      <c r="X45" s="42"/>
      <c r="Y45" s="42"/>
      <c r="Z45" s="42"/>
      <c r="AA45" s="42"/>
      <c r="AB45" s="65"/>
      <c r="AC45" s="42"/>
      <c r="AD45" s="42"/>
      <c r="AE45" s="42" t="s">
        <v>1602</v>
      </c>
      <c r="AF45" s="42"/>
      <c r="AG45" s="42"/>
      <c r="AH45" s="42"/>
    </row>
    <row r="46" spans="1:34" ht="22.5">
      <c r="A46" s="40"/>
      <c r="B46" s="70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65"/>
      <c r="R46" s="65" t="s">
        <v>1973</v>
      </c>
      <c r="S46" s="42"/>
      <c r="T46" s="65" t="s">
        <v>1974</v>
      </c>
      <c r="U46" s="42"/>
      <c r="V46" s="42"/>
      <c r="W46" s="42"/>
      <c r="X46" s="42"/>
      <c r="Y46" s="42"/>
      <c r="Z46" s="42"/>
      <c r="AA46" s="42"/>
      <c r="AB46" s="65"/>
      <c r="AC46" s="42"/>
      <c r="AD46" s="42"/>
      <c r="AE46" s="42" t="s">
        <v>61</v>
      </c>
      <c r="AF46" s="42"/>
      <c r="AG46" s="42"/>
      <c r="AH46" s="42"/>
    </row>
    <row r="47" spans="1:34" ht="22.5">
      <c r="A47" s="40"/>
      <c r="B47" s="70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65"/>
      <c r="R47" s="65" t="s">
        <v>1975</v>
      </c>
      <c r="S47" s="42"/>
      <c r="T47" s="65" t="s">
        <v>1976</v>
      </c>
      <c r="U47" s="42"/>
      <c r="V47" s="42"/>
      <c r="W47" s="42"/>
      <c r="X47" s="42"/>
      <c r="Y47" s="42"/>
      <c r="Z47" s="42"/>
      <c r="AA47" s="42"/>
      <c r="AB47" s="65"/>
      <c r="AC47" s="42"/>
      <c r="AD47" s="42"/>
      <c r="AE47" s="42" t="s">
        <v>464</v>
      </c>
      <c r="AF47" s="42"/>
      <c r="AG47" s="42"/>
      <c r="AH47" s="42"/>
    </row>
    <row r="48" spans="1:34">
      <c r="A48" s="40"/>
      <c r="B48" s="70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65"/>
      <c r="R48" s="65" t="s">
        <v>1602</v>
      </c>
      <c r="S48" s="42"/>
      <c r="T48" s="65" t="s">
        <v>1977</v>
      </c>
      <c r="U48" s="42"/>
      <c r="V48" s="42"/>
      <c r="W48" s="42"/>
      <c r="X48" s="42"/>
      <c r="Y48" s="42"/>
      <c r="Z48" s="42"/>
      <c r="AA48" s="42"/>
      <c r="AB48" s="65"/>
      <c r="AC48" s="42"/>
      <c r="AD48" s="42"/>
      <c r="AE48" s="42"/>
      <c r="AF48" s="42"/>
      <c r="AG48" s="42"/>
      <c r="AH48" s="42"/>
    </row>
    <row r="49" spans="1:34" ht="22.5">
      <c r="A49" s="40"/>
      <c r="B49" s="70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65"/>
      <c r="R49" s="65" t="s">
        <v>61</v>
      </c>
      <c r="S49" s="42"/>
      <c r="T49" s="65" t="s">
        <v>1978</v>
      </c>
      <c r="U49" s="42"/>
      <c r="V49" s="42"/>
      <c r="W49" s="42"/>
      <c r="X49" s="42"/>
      <c r="Y49" s="42"/>
      <c r="Z49" s="42"/>
      <c r="AA49" s="42"/>
      <c r="AB49" s="65"/>
      <c r="AC49" s="42"/>
      <c r="AD49" s="42"/>
      <c r="AE49" s="42"/>
      <c r="AF49" s="42"/>
      <c r="AG49" s="42"/>
      <c r="AH49" s="42"/>
    </row>
    <row r="50" spans="1:34">
      <c r="A50" s="40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65"/>
      <c r="R50" s="65" t="s">
        <v>464</v>
      </c>
      <c r="S50" s="40"/>
      <c r="T50" s="65" t="s">
        <v>1979</v>
      </c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</row>
    <row r="51" spans="1:34">
      <c r="Q51" s="65"/>
      <c r="T51" s="65" t="s">
        <v>1980</v>
      </c>
    </row>
    <row r="52" spans="1:34">
      <c r="Q52" s="65"/>
      <c r="T52" s="65" t="s">
        <v>1602</v>
      </c>
    </row>
    <row r="53" spans="1:34">
      <c r="Q53" s="65"/>
      <c r="T53" s="65" t="s">
        <v>61</v>
      </c>
    </row>
    <row r="54" spans="1:34">
      <c r="Q54" s="65"/>
      <c r="T54" s="65" t="s">
        <v>464</v>
      </c>
    </row>
    <row r="55" spans="1:34">
      <c r="Q55" s="65"/>
    </row>
    <row r="56" spans="1:34">
      <c r="Q56" s="65"/>
    </row>
    <row r="57" spans="1:34">
      <c r="Q57" s="65"/>
    </row>
    <row r="58" spans="1:34">
      <c r="Q58" s="65"/>
    </row>
    <row r="59" spans="1:34">
      <c r="Q59" s="65"/>
    </row>
    <row r="60" spans="1:34">
      <c r="Q60" s="65"/>
    </row>
    <row r="61" spans="1:34">
      <c r="Q61" s="65"/>
    </row>
    <row r="62" spans="1:34">
      <c r="Q62" s="65"/>
    </row>
    <row r="63" spans="1:34">
      <c r="Q63" s="65"/>
    </row>
    <row r="64" spans="1:34">
      <c r="Q64" s="65"/>
    </row>
    <row r="65" spans="17:17">
      <c r="Q65" s="64"/>
    </row>
    <row r="66" spans="17:17">
      <c r="Q66" s="64"/>
    </row>
    <row r="67" spans="17:17">
      <c r="Q67" s="64"/>
    </row>
    <row r="68" spans="17:17">
      <c r="Q68" s="64"/>
    </row>
    <row r="69" spans="17:17">
      <c r="Q69" s="64"/>
    </row>
    <row r="70" spans="17:17">
      <c r="Q70" s="64"/>
    </row>
    <row r="71" spans="17:17">
      <c r="Q71" s="64"/>
    </row>
    <row r="72" spans="17:17">
      <c r="Q72" s="64"/>
    </row>
    <row r="73" spans="17:17">
      <c r="Q73" s="64"/>
    </row>
    <row r="74" spans="17:17">
      <c r="Q74" s="64"/>
    </row>
    <row r="75" spans="17:17">
      <c r="Q75" s="65"/>
    </row>
    <row r="76" spans="17:17">
      <c r="Q76" s="65"/>
    </row>
    <row r="77" spans="17:17">
      <c r="Q77" s="65"/>
    </row>
    <row r="78" spans="17:17">
      <c r="Q78" s="65"/>
    </row>
    <row r="79" spans="17:17">
      <c r="Q79" s="65"/>
    </row>
    <row r="80" spans="17:17">
      <c r="Q80" s="65"/>
    </row>
    <row r="81" spans="17:17">
      <c r="Q81" s="65"/>
    </row>
    <row r="82" spans="17:17">
      <c r="Q82" s="65"/>
    </row>
    <row r="83" spans="17:17">
      <c r="Q83" s="65"/>
    </row>
    <row r="84" spans="17:17">
      <c r="Q84" s="65"/>
    </row>
    <row r="85" spans="17:17">
      <c r="Q85" s="65"/>
    </row>
    <row r="86" spans="17:17">
      <c r="Q86" s="65"/>
    </row>
    <row r="87" spans="17:17">
      <c r="Q87" s="65"/>
    </row>
    <row r="88" spans="17:17">
      <c r="Q88" s="65"/>
    </row>
    <row r="89" spans="17:17">
      <c r="Q89" s="65"/>
    </row>
    <row r="90" spans="17:17">
      <c r="Q90" s="65"/>
    </row>
    <row r="91" spans="17:17">
      <c r="Q91" s="65"/>
    </row>
    <row r="92" spans="17:17">
      <c r="Q92" s="65"/>
    </row>
    <row r="93" spans="17:17">
      <c r="Q93" s="65"/>
    </row>
    <row r="94" spans="17:17">
      <c r="Q94" s="65"/>
    </row>
    <row r="95" spans="17:17">
      <c r="Q95" s="65"/>
    </row>
    <row r="96" spans="17:17">
      <c r="Q96" s="65"/>
    </row>
    <row r="97" spans="17:17">
      <c r="Q97" s="65"/>
    </row>
  </sheetData>
  <sheetProtection algorithmName="SHA-512" hashValue="43LNRq2Cwk2Q3bjdBpi9PMYKxc+jnuXHVhXjEyRdOQEPakWud9QRtMwyqS9RjSLrt4JonitcugsXx05JoSglNw==" saltValue="GTO3sWIQpQmmE73sLGvT6w==" spinCount="100000" sheet="1" objects="1" scenarios="1" selectLockedCells="1" selectUnlockedCells="1"/>
  <pageMargins left="0.7" right="0.7" top="0.75" bottom="0.75" header="0.3" footer="0.3"/>
  <pageSetup orientation="portrait" r:id="rId1"/>
  <tableParts count="3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dc015a0-b5a5-4e32-b7b4-198faf80e6ff">
      <Terms xmlns="http://schemas.microsoft.com/office/infopath/2007/PartnerControls"/>
    </lcf76f155ced4ddcb4097134ff3c332f>
    <TaxCatchAll xmlns="9f0cb9cd-6edd-4c00-ad5c-6a5e850b3d0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F2112DFA9DB14DB8462D4D5A148D36" ma:contentTypeVersion="15" ma:contentTypeDescription="Create a new document." ma:contentTypeScope="" ma:versionID="f974974ed0ef345506454b41eb6624f9">
  <xsd:schema xmlns:xsd="http://www.w3.org/2001/XMLSchema" xmlns:xs="http://www.w3.org/2001/XMLSchema" xmlns:p="http://schemas.microsoft.com/office/2006/metadata/properties" xmlns:ns2="6dc015a0-b5a5-4e32-b7b4-198faf80e6ff" xmlns:ns3="9f0cb9cd-6edd-4c00-ad5c-6a5e850b3d08" targetNamespace="http://schemas.microsoft.com/office/2006/metadata/properties" ma:root="true" ma:fieldsID="daf022e397841265b8baf565de3a09ee" ns2:_="" ns3:_="">
    <xsd:import namespace="6dc015a0-b5a5-4e32-b7b4-198faf80e6ff"/>
    <xsd:import namespace="9f0cb9cd-6edd-4c00-ad5c-6a5e850b3d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015a0-b5a5-4e32-b7b4-198faf80e6f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5866b93a-4635-4247-88ec-09744cab273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0cb9cd-6edd-4c00-ad5c-6a5e850b3d08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0d245a5d-16e4-4910-a71a-bf57bea1c482}" ma:internalName="TaxCatchAll" ma:showField="CatchAllData" ma:web="9f0cb9cd-6edd-4c00-ad5c-6a5e850b3d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AF8091C-DFAC-44D2-B97F-AD8D7E75FD47}"/>
</file>

<file path=customXml/itemProps2.xml><?xml version="1.0" encoding="utf-8"?>
<ds:datastoreItem xmlns:ds="http://schemas.openxmlformats.org/officeDocument/2006/customXml" ds:itemID="{AC1A69C9-EBFB-4B17-B589-760EA022703C}"/>
</file>

<file path=customXml/itemProps3.xml><?xml version="1.0" encoding="utf-8"?>
<ds:datastoreItem xmlns:ds="http://schemas.openxmlformats.org/officeDocument/2006/customXml" ds:itemID="{3261DB28-EE4C-4F74-8CED-547822671E9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Kaustav Chakraborty</cp:lastModifiedBy>
  <cp:revision/>
  <dcterms:created xsi:type="dcterms:W3CDTF">2017-10-21T18:23:06Z</dcterms:created>
  <dcterms:modified xsi:type="dcterms:W3CDTF">2022-12-13T06:31:49Z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0x010100ABF2112DFA9DB14DB8462D4D5A148D36</vt:lpwstr>
  </property>
  <property fmtid="{D5CDD505-2E9C-101B-9397-08002B2CF9AE}" pid="3" name="MediaServiceImageTags">
    <vt:lpwstr/>
  </property>
</Properties>
</file>